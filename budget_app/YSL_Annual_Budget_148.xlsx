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yardi_data" sheetId="1" r:id="rId1"/>
  </sheets>
  <definedNames>
    <definedName name="CRITERIA" localSheetId="0">yardi_data!$A$4:$A$5</definedName>
    <definedName name="_xlnm.Print_Area" localSheetId="0">yardi_data!$B$1:$I$673</definedName>
    <definedName name="_xlnm.Print_Titles" localSheetId="0">yardi_data!$8:$13</definedName>
    <definedName name="Print_Zone">yardi_data!$B$8:$E$676</definedName>
  </definedNames>
  <calcPr fullCalcOnLoad="1"/>
</workbook>
</file>

<file path=xl/sharedStrings.xml><?xml version="1.0" encoding="utf-8"?>
<sst xmlns="http://schemas.openxmlformats.org/spreadsheetml/2006/main" count="2032" uniqueCount="1260">
  <si>
    <t>YSL.Net: 70.8.0.0</t>
  </si>
  <si>
    <t/>
  </si>
  <si>
    <t>2/1/2026</t>
  </si>
  <si>
    <t>12/1/2026</t>
  </si>
  <si>
    <t>tempcen_cf</t>
  </si>
  <si>
    <t>$t=R$s=0$b=0$i=0$u=0$n=0$h=0$d=0</t>
  </si>
  <si>
    <t>$t=R$s=1$b=0$i=0$u=0$n=0$h=0$d=5</t>
  </si>
  <si>
    <t>Cash</t>
  </si>
  <si>
    <t>$t=H$s=2$b=1$i=0$u=1$n=1$h=0$d=1</t>
  </si>
  <si>
    <t>$t=R$s=1$b=0$i=0$u=0$n=1$h=0$d=5</t>
  </si>
  <si>
    <t>$t=H$s=2$b=1$i=0$u=0$n=1$h=0$d=1</t>
  </si>
  <si>
    <t>148</t>
  </si>
  <si>
    <t>Filter</t>
  </si>
  <si>
    <t>Oracle</t>
  </si>
  <si>
    <t>&lt;&gt;0</t>
  </si>
  <si>
    <t>Sql Server</t>
  </si>
  <si>
    <t>Y-T-D</t>
  </si>
  <si>
    <t>Budget</t>
  </si>
  <si>
    <t>GL#</t>
  </si>
  <si>
    <t>Actual</t>
  </si>
  <si>
    <t>BUDGET</t>
  </si>
  <si>
    <t>APPROVED</t>
  </si>
  <si>
    <t>$t=H$s=2$b=0$i=0$u=0$n=0$h=1$d=4</t>
  </si>
  <si>
    <t>$t=T$s=1$b=1$i=0$u=1$n=1$h=0$d=1</t>
  </si>
  <si>
    <t>$t=H$s=2$b=1$i=0$u=1$n=0$h=0$d=1</t>
  </si>
  <si>
    <t>$t=H$s=2$b=1$i=0$u=0$n=0$h=0$d=1</t>
  </si>
  <si>
    <t>$t=T$s=1$b=1$i=0$u=1$n=0$h=0$d=1</t>
  </si>
  <si>
    <t>$t=R$s=1$b=1$i=0$u=1$n=0$h=0$d=1</t>
  </si>
  <si>
    <t>$t=T$s=1$b=1$i=0$u=1$n=0$h=1$d=1</t>
  </si>
  <si>
    <t>$t=R$s=1$b=1$i=0$u=1$n=1$h=0$d=1</t>
  </si>
  <si>
    <t>$t=T$s=1$b=1$i=0$u=1$n=1$h=1$d=1</t>
  </si>
  <si>
    <t>$t=R$s=0$b=0$i=0$u=0$n=1$h=0$d=0</t>
  </si>
  <si>
    <t>$t=T$s=2$b=0$i=0$u=1$n=0$h=1$d=4</t>
  </si>
  <si>
    <t>$t=T$s=2$b=1$i=0$u=1$n=1$h=0$d=1</t>
  </si>
  <si>
    <t>$t=R$s=2$b=1$i=0$u=2$n=1$h=0$d=1</t>
  </si>
  <si>
    <t>$t=T$s=2$b=1$i=0$u=2$n=1$h=1$d=1</t>
  </si>
  <si>
    <t>130 East 18 Owners Corp</t>
  </si>
  <si>
    <t>0000-0000</t>
  </si>
  <si>
    <t xml:space="preserve">    CASH FLOW</t>
  </si>
  <si>
    <t xml:space="preserve">    (Header)</t>
  </si>
  <si>
    <t>4000-9994</t>
  </si>
  <si>
    <t xml:space="preserve"> INCOME</t>
  </si>
  <si>
    <t>4000-9995</t>
  </si>
  <si>
    <t xml:space="preserve"> RECURRING INCOME</t>
  </si>
  <si>
    <t>4010-0000</t>
  </si>
  <si>
    <t xml:space="preserve">     Maintenance</t>
  </si>
  <si>
    <t>4011-0000</t>
  </si>
  <si>
    <t xml:space="preserve">     Maintenance Sponsors</t>
  </si>
  <si>
    <t>4020-0000</t>
  </si>
  <si>
    <t xml:space="preserve">     Common Charges</t>
  </si>
  <si>
    <t>4030-0005</t>
  </si>
  <si>
    <t xml:space="preserve">     Commercial Common Charges</t>
  </si>
  <si>
    <t>4021-0000</t>
  </si>
  <si>
    <t xml:space="preserve">     Common Charges Sponsors</t>
  </si>
  <si>
    <t>4025-0000</t>
  </si>
  <si>
    <t>Homeowner Association Dues</t>
  </si>
  <si>
    <t>4030-0000</t>
  </si>
  <si>
    <t xml:space="preserve">     Rental Income</t>
  </si>
  <si>
    <t>4080-0000</t>
  </si>
  <si>
    <t xml:space="preserve">     Rents- Residential Below Market</t>
  </si>
  <si>
    <t>4030-0010</t>
  </si>
  <si>
    <t xml:space="preserve">     Vacancy Loss</t>
  </si>
  <si>
    <t>4040-0000</t>
  </si>
  <si>
    <t xml:space="preserve">     Commercial Rent</t>
  </si>
  <si>
    <t>4080-0002</t>
  </si>
  <si>
    <t xml:space="preserve">     Rents- Commercial Straight Line</t>
  </si>
  <si>
    <t>4080-0004</t>
  </si>
  <si>
    <t xml:space="preserve">     Rents-Commercial Above Market</t>
  </si>
  <si>
    <t>4080-0006</t>
  </si>
  <si>
    <t xml:space="preserve">     Rents- Commercial Below Market</t>
  </si>
  <si>
    <t>4040-0010</t>
  </si>
  <si>
    <t xml:space="preserve">     Common Area Maintenance</t>
  </si>
  <si>
    <t>4050-0000</t>
  </si>
  <si>
    <t xml:space="preserve">     Professional Rental Income</t>
  </si>
  <si>
    <t>4060-0000</t>
  </si>
  <si>
    <t xml:space="preserve">     Arrears</t>
  </si>
  <si>
    <t>4065-0000</t>
  </si>
  <si>
    <t xml:space="preserve">     Surcharge</t>
  </si>
  <si>
    <t>4070-0000</t>
  </si>
  <si>
    <t xml:space="preserve">     Prepaid Income</t>
  </si>
  <si>
    <t>4105-0000</t>
  </si>
  <si>
    <t xml:space="preserve">     Real Estate Tax Abatement</t>
  </si>
  <si>
    <t>4110-0000</t>
  </si>
  <si>
    <t xml:space="preserve">     STAR Exemption</t>
  </si>
  <si>
    <t>4115-0000</t>
  </si>
  <si>
    <t xml:space="preserve">     Veterans Exemption</t>
  </si>
  <si>
    <t>4120-0000</t>
  </si>
  <si>
    <t xml:space="preserve">     SCRIE</t>
  </si>
  <si>
    <t>4125-0000</t>
  </si>
  <si>
    <t xml:space="preserve">     SCHE</t>
  </si>
  <si>
    <t>4127-0000</t>
  </si>
  <si>
    <t xml:space="preserve">     Abatement</t>
  </si>
  <si>
    <t>4128-0000</t>
  </si>
  <si>
    <t xml:space="preserve">     MCI Increase</t>
  </si>
  <si>
    <t>4128-0002</t>
  </si>
  <si>
    <t xml:space="preserve">     IAI Increase</t>
  </si>
  <si>
    <t>4129-0000</t>
  </si>
  <si>
    <t xml:space="preserve">     Preferential Rent</t>
  </si>
  <si>
    <t>4130-0000</t>
  </si>
  <si>
    <t xml:space="preserve">     Apartment Charges</t>
  </si>
  <si>
    <t>4130-0010</t>
  </si>
  <si>
    <t xml:space="preserve">     Storage Room</t>
  </si>
  <si>
    <t>4130-0015</t>
  </si>
  <si>
    <t xml:space="preserve">     Bicycle Charge</t>
  </si>
  <si>
    <t>4130-0020</t>
  </si>
  <si>
    <t xml:space="preserve">     Gym Fees</t>
  </si>
  <si>
    <t>4130-0021</t>
  </si>
  <si>
    <t xml:space="preserve">     Business Center</t>
  </si>
  <si>
    <t>4130-0022</t>
  </si>
  <si>
    <t xml:space="preserve">     Cinema Room</t>
  </si>
  <si>
    <t>4130-0025</t>
  </si>
  <si>
    <t xml:space="preserve">     Energy Surcharge</t>
  </si>
  <si>
    <t>4130-0030</t>
  </si>
  <si>
    <t xml:space="preserve">     Laundry</t>
  </si>
  <si>
    <t>4130-0031</t>
  </si>
  <si>
    <t xml:space="preserve">     Valet</t>
  </si>
  <si>
    <t>4130-0035</t>
  </si>
  <si>
    <t xml:space="preserve">     Maids Room</t>
  </si>
  <si>
    <t>4130-0040</t>
  </si>
  <si>
    <t xml:space="preserve">     Pool Charges</t>
  </si>
  <si>
    <t>4135-0000</t>
  </si>
  <si>
    <t xml:space="preserve">     Garage &amp; Parking</t>
  </si>
  <si>
    <t>4135-0010</t>
  </si>
  <si>
    <t xml:space="preserve">     Garage</t>
  </si>
  <si>
    <t>4135-0011</t>
  </si>
  <si>
    <t xml:space="preserve">     Garage Sublet Fee</t>
  </si>
  <si>
    <t>4135- 0012</t>
  </si>
  <si>
    <t xml:space="preserve">     Garage SUV Surcharge</t>
  </si>
  <si>
    <t>4135-0013</t>
  </si>
  <si>
    <t xml:space="preserve">     Amenity1</t>
  </si>
  <si>
    <t>4135-0015</t>
  </si>
  <si>
    <t xml:space="preserve">     Garage - Non Residents</t>
  </si>
  <si>
    <t>4135-0020</t>
  </si>
  <si>
    <t xml:space="preserve">     Parking</t>
  </si>
  <si>
    <t>4135-0025</t>
  </si>
  <si>
    <t xml:space="preserve">     Parking - Non-Residents</t>
  </si>
  <si>
    <t>4135-0030</t>
  </si>
  <si>
    <t xml:space="preserve">     Garage Door Opener</t>
  </si>
  <si>
    <t>4140-0015</t>
  </si>
  <si>
    <t xml:space="preserve">     Accelerated Common Charges</t>
  </si>
  <si>
    <t>4200-0000</t>
  </si>
  <si>
    <t xml:space="preserve">     Assessment - Operating</t>
  </si>
  <si>
    <t>4200-0005</t>
  </si>
  <si>
    <t xml:space="preserve">     Special Assessment</t>
  </si>
  <si>
    <t>4200-0010</t>
  </si>
  <si>
    <t xml:space="preserve">     Discount on Prepaid Assessment</t>
  </si>
  <si>
    <t>4250-0000</t>
  </si>
  <si>
    <t xml:space="preserve">     Utility Income</t>
  </si>
  <si>
    <t>4250-0005</t>
  </si>
  <si>
    <t xml:space="preserve">     Refrigerator</t>
  </si>
  <si>
    <t>4250-0010</t>
  </si>
  <si>
    <t xml:space="preserve">     Cable TV</t>
  </si>
  <si>
    <t>4250-0015</t>
  </si>
  <si>
    <t xml:space="preserve">     Air Conditioner</t>
  </si>
  <si>
    <t>4250-0020</t>
  </si>
  <si>
    <t xml:space="preserve">     Gas</t>
  </si>
  <si>
    <t>4250-0025</t>
  </si>
  <si>
    <t xml:space="preserve">     Electric</t>
  </si>
  <si>
    <t>4250-0030</t>
  </si>
  <si>
    <t xml:space="preserve">     Washing Machine</t>
  </si>
  <si>
    <t>4250-0035</t>
  </si>
  <si>
    <t xml:space="preserve">     Dryer</t>
  </si>
  <si>
    <t>4250-0040</t>
  </si>
  <si>
    <t xml:space="preserve">     Dishwasher</t>
  </si>
  <si>
    <t>4250-0045</t>
  </si>
  <si>
    <t xml:space="preserve">     Freezer</t>
  </si>
  <si>
    <t>4250-0050</t>
  </si>
  <si>
    <t xml:space="preserve">     Carbon/Smoke Detector</t>
  </si>
  <si>
    <t>4250-0055</t>
  </si>
  <si>
    <t xml:space="preserve">     Appliance Charges</t>
  </si>
  <si>
    <t>4305-0000</t>
  </si>
  <si>
    <t xml:space="preserve">     Fuel Surcharge</t>
  </si>
  <si>
    <t>4310-0000</t>
  </si>
  <si>
    <t xml:space="preserve">     Maximum Base Rent</t>
  </si>
  <si>
    <t>4505-0000</t>
  </si>
  <si>
    <t xml:space="preserve">     Additional Commercial Rent</t>
  </si>
  <si>
    <t>4515-0000</t>
  </si>
  <si>
    <t xml:space="preserve">     CPI Adjustment</t>
  </si>
  <si>
    <t>4515-0010</t>
  </si>
  <si>
    <t xml:space="preserve">     Operating Esc Income</t>
  </si>
  <si>
    <t>4515-0015</t>
  </si>
  <si>
    <t xml:space="preserve">     Straight Line Adjustment</t>
  </si>
  <si>
    <t>4520-0000</t>
  </si>
  <si>
    <t xml:space="preserve">     Commercial Real Estate Tax</t>
  </si>
  <si>
    <t>4525-0000</t>
  </si>
  <si>
    <t xml:space="preserve">     Porter Wage</t>
  </si>
  <si>
    <t>4530-0000</t>
  </si>
  <si>
    <t xml:space="preserve">     Garage - Operator</t>
  </si>
  <si>
    <t>4580-0000</t>
  </si>
  <si>
    <t xml:space="preserve">     Sales Tax</t>
  </si>
  <si>
    <t>4600-0000</t>
  </si>
  <si>
    <t xml:space="preserve">     Management Fees</t>
  </si>
  <si>
    <t>4600-0010</t>
  </si>
  <si>
    <t xml:space="preserve">     Management Fees-Staff</t>
  </si>
  <si>
    <t>4605-0000</t>
  </si>
  <si>
    <t xml:space="preserve">     Conference Room</t>
  </si>
  <si>
    <t>4606-0000</t>
  </si>
  <si>
    <t xml:space="preserve">     Amenity Rental</t>
  </si>
  <si>
    <t>4650-0000</t>
  </si>
  <si>
    <t xml:space="preserve">     Bad Debt</t>
  </si>
  <si>
    <t>4655-0000</t>
  </si>
  <si>
    <t xml:space="preserve">     N.Y.C. Grant</t>
  </si>
  <si>
    <t>4660-0000</t>
  </si>
  <si>
    <t xml:space="preserve">     Roof Income</t>
  </si>
  <si>
    <t>4690-0000</t>
  </si>
  <si>
    <t xml:space="preserve">     Other Recurring Income</t>
  </si>
  <si>
    <t>4699-9997</t>
  </si>
  <si>
    <t xml:space="preserve"> TOTAL RECURRING INCOME</t>
  </si>
  <si>
    <t>4700-9994</t>
  </si>
  <si>
    <t xml:space="preserve"> NON-RECURRING INCOME</t>
  </si>
  <si>
    <t>4705-0000</t>
  </si>
  <si>
    <t xml:space="preserve">     Late Charges</t>
  </si>
  <si>
    <t>4710-0000</t>
  </si>
  <si>
    <t xml:space="preserve">     Legal Fees</t>
  </si>
  <si>
    <t>4715-0000</t>
  </si>
  <si>
    <t xml:space="preserve">     Bounce Check Fee</t>
  </si>
  <si>
    <t>4720-0000</t>
  </si>
  <si>
    <t xml:space="preserve">     Apartment Repair Income</t>
  </si>
  <si>
    <t>4720-0010</t>
  </si>
  <si>
    <t xml:space="preserve">     Architectural/Enginerring Fees</t>
  </si>
  <si>
    <t>4720-0020</t>
  </si>
  <si>
    <t xml:space="preserve">     Paint &amp; Plaster</t>
  </si>
  <si>
    <t>4720-0025</t>
  </si>
  <si>
    <t xml:space="preserve">     Bathroom Repair</t>
  </si>
  <si>
    <t>4720-0030</t>
  </si>
  <si>
    <t xml:space="preserve">     Plumbing Repair</t>
  </si>
  <si>
    <t>4720-0035</t>
  </si>
  <si>
    <t xml:space="preserve">     A/C Repair</t>
  </si>
  <si>
    <t>4720-0040</t>
  </si>
  <si>
    <t xml:space="preserve">     HVAC Repair</t>
  </si>
  <si>
    <t>4720-0045</t>
  </si>
  <si>
    <t>4720-0046</t>
  </si>
  <si>
    <t xml:space="preserve">     Range &amp; Oven</t>
  </si>
  <si>
    <t>4720-0050</t>
  </si>
  <si>
    <t xml:space="preserve">     Electrical Repairs</t>
  </si>
  <si>
    <t>4720-0055</t>
  </si>
  <si>
    <t xml:space="preserve">     Intercom Repairs</t>
  </si>
  <si>
    <t>4720-0060</t>
  </si>
  <si>
    <t xml:space="preserve">     Retroactive Air Conditioner Fees</t>
  </si>
  <si>
    <t>4725-0000</t>
  </si>
  <si>
    <t xml:space="preserve">     Other Apartment Charges</t>
  </si>
  <si>
    <t>4725-0015</t>
  </si>
  <si>
    <t xml:space="preserve">     Violations</t>
  </si>
  <si>
    <t>4725-0020</t>
  </si>
  <si>
    <t xml:space="preserve">     Gate Cards</t>
  </si>
  <si>
    <t>4725-0025</t>
  </si>
  <si>
    <t xml:space="preserve">     Move-In Out Fees</t>
  </si>
  <si>
    <t>4725-0030</t>
  </si>
  <si>
    <t xml:space="preserve">     Locks &amp; Keys</t>
  </si>
  <si>
    <t>4725-0035</t>
  </si>
  <si>
    <t xml:space="preserve">     Sublet Fees</t>
  </si>
  <si>
    <t>4725-0045</t>
  </si>
  <si>
    <t xml:space="preserve">     Guest Fees</t>
  </si>
  <si>
    <t>4725-0050</t>
  </si>
  <si>
    <t xml:space="preserve">     Child Care Fees</t>
  </si>
  <si>
    <t>4725-0055</t>
  </si>
  <si>
    <t xml:space="preserve">     Landscaping Fund Fees</t>
  </si>
  <si>
    <t>4725-0060</t>
  </si>
  <si>
    <t xml:space="preserve">     Cleaning Service Fees</t>
  </si>
  <si>
    <t>4725-0065</t>
  </si>
  <si>
    <t xml:space="preserve">     Window Washing Fees</t>
  </si>
  <si>
    <t>4725-0070</t>
  </si>
  <si>
    <t xml:space="preserve">     Rubbish Removal Fees</t>
  </si>
  <si>
    <t>4725-0075</t>
  </si>
  <si>
    <t xml:space="preserve">     Freight Elevator Fees</t>
  </si>
  <si>
    <t>4800-0000</t>
  </si>
  <si>
    <t xml:space="preserve">     Interest Income</t>
  </si>
  <si>
    <t>4803-0000</t>
  </si>
  <si>
    <t xml:space="preserve">     Dividend Income</t>
  </si>
  <si>
    <t>4806-0000</t>
  </si>
  <si>
    <t xml:space="preserve">     Insurance Refunds</t>
  </si>
  <si>
    <t>4809-0000</t>
  </si>
  <si>
    <t xml:space="preserve">     Real Estate Tax Refunds</t>
  </si>
  <si>
    <t>4812-0000</t>
  </si>
  <si>
    <t xml:space="preserve">     Corporation Tax Refunds</t>
  </si>
  <si>
    <t>4815-0000</t>
  </si>
  <si>
    <t xml:space="preserve">     Payroll Tax Refunds</t>
  </si>
  <si>
    <t>4818-0000</t>
  </si>
  <si>
    <t xml:space="preserve">     Flip Tax - Operating</t>
  </si>
  <si>
    <t>4821-0000</t>
  </si>
  <si>
    <t xml:space="preserve">     Tenant Allowance</t>
  </si>
  <si>
    <t>4824-0000</t>
  </si>
  <si>
    <t xml:space="preserve">     Telephone Reimbursement</t>
  </si>
  <si>
    <t>4827-0000</t>
  </si>
  <si>
    <t xml:space="preserve">     Forfeit Security Deposit</t>
  </si>
  <si>
    <t>4830-0000</t>
  </si>
  <si>
    <t xml:space="preserve">     Water &amp; Sewer</t>
  </si>
  <si>
    <t>4833-0000</t>
  </si>
  <si>
    <t xml:space="preserve">     Fuel Rebates</t>
  </si>
  <si>
    <t>4836-0000</t>
  </si>
  <si>
    <t xml:space="preserve">     Utility Rebates</t>
  </si>
  <si>
    <t>4839-0000</t>
  </si>
  <si>
    <t xml:space="preserve">     Court Stipulation</t>
  </si>
  <si>
    <t>4905-0000</t>
  </si>
  <si>
    <t xml:space="preserve">     Photocopy</t>
  </si>
  <si>
    <t>4908-0000</t>
  </si>
  <si>
    <t xml:space="preserve">     Postage</t>
  </si>
  <si>
    <t>4911-0000</t>
  </si>
  <si>
    <t xml:space="preserve">     Messenger</t>
  </si>
  <si>
    <t>4914-0000</t>
  </si>
  <si>
    <t xml:space="preserve">     Stationery &amp; Printing</t>
  </si>
  <si>
    <t>4917-0000</t>
  </si>
  <si>
    <t xml:space="preserve">     Credit Check Fees</t>
  </si>
  <si>
    <t>4920-0000</t>
  </si>
  <si>
    <t xml:space="preserve">     Prospectus</t>
  </si>
  <si>
    <t>4921-0000</t>
  </si>
  <si>
    <t xml:space="preserve">     Coop Questionnaire</t>
  </si>
  <si>
    <t>4922-0000</t>
  </si>
  <si>
    <t xml:space="preserve">     Alteration Agreement Fee</t>
  </si>
  <si>
    <t>4923-0000</t>
  </si>
  <si>
    <t xml:space="preserve">     Recognition Agreement Fees</t>
  </si>
  <si>
    <t>4925-0000</t>
  </si>
  <si>
    <t xml:space="preserve">     Pet Fees</t>
  </si>
  <si>
    <t>4926-0000</t>
  </si>
  <si>
    <t xml:space="preserve">     Administrative Fees</t>
  </si>
  <si>
    <t>4929-0000</t>
  </si>
  <si>
    <t xml:space="preserve">     Secretary Services</t>
  </si>
  <si>
    <t>4932-0000</t>
  </si>
  <si>
    <t xml:space="preserve">     Application Fees</t>
  </si>
  <si>
    <t>4935-0000</t>
  </si>
  <si>
    <t xml:space="preserve">     Refinancing Fees</t>
  </si>
  <si>
    <t>4938-0000</t>
  </si>
  <si>
    <t xml:space="preserve">     Closing Fees</t>
  </si>
  <si>
    <t>4941-0000</t>
  </si>
  <si>
    <t xml:space="preserve">     Offering Plan Fees</t>
  </si>
  <si>
    <t>4944-0000</t>
  </si>
  <si>
    <t xml:space="preserve">     Window Guards</t>
  </si>
  <si>
    <t>4945-0000</t>
  </si>
  <si>
    <t xml:space="preserve">     Safety Notices</t>
  </si>
  <si>
    <t>4947-0000</t>
  </si>
  <si>
    <t xml:space="preserve">     Lead Paint</t>
  </si>
  <si>
    <t>4950-0000</t>
  </si>
  <si>
    <t xml:space="preserve">     Fire Safety</t>
  </si>
  <si>
    <t>4953-0000</t>
  </si>
  <si>
    <t xml:space="preserve">     1098's Fee's</t>
  </si>
  <si>
    <t>4954-0000</t>
  </si>
  <si>
    <t xml:space="preserve">     Accounting Fees</t>
  </si>
  <si>
    <t>4955-0000</t>
  </si>
  <si>
    <t xml:space="preserve">     Tax Abatement Program</t>
  </si>
  <si>
    <t>4956-0000</t>
  </si>
  <si>
    <t xml:space="preserve">     Security Account Admin.</t>
  </si>
  <si>
    <t>4959-0000</t>
  </si>
  <si>
    <t xml:space="preserve">     Leasing Commissions</t>
  </si>
  <si>
    <t>4970-0000</t>
  </si>
  <si>
    <t xml:space="preserve">     Sales Commissions</t>
  </si>
  <si>
    <t>4972-0000</t>
  </si>
  <si>
    <t xml:space="preserve">     Insurance Commissions</t>
  </si>
  <si>
    <t>4974-0000</t>
  </si>
  <si>
    <t xml:space="preserve">     Mortgage Brokerage Commissions</t>
  </si>
  <si>
    <t>4975-0000</t>
  </si>
  <si>
    <t xml:space="preserve">     Co-Broker</t>
  </si>
  <si>
    <t>4975-0010</t>
  </si>
  <si>
    <t xml:space="preserve">     Closing Costs Reimbursement</t>
  </si>
  <si>
    <t>4975-0015</t>
  </si>
  <si>
    <t xml:space="preserve">     Gain on Debt</t>
  </si>
  <si>
    <t>4975-0020</t>
  </si>
  <si>
    <t xml:space="preserve">     Apartment Sales</t>
  </si>
  <si>
    <t>4975-0025</t>
  </si>
  <si>
    <t xml:space="preserve">     Cost of Sales</t>
  </si>
  <si>
    <t>4990-0000</t>
  </si>
  <si>
    <t xml:space="preserve">     Other Non Recurring Income</t>
  </si>
  <si>
    <t>4998-9997</t>
  </si>
  <si>
    <t xml:space="preserve"> TOTAL NON-RECURRING INCOME</t>
  </si>
  <si>
    <t>4999-9998</t>
  </si>
  <si>
    <t xml:space="preserve"> TOTAL INCOME</t>
  </si>
  <si>
    <t>5000-9994</t>
  </si>
  <si>
    <t xml:space="preserve"> EXPENSES</t>
  </si>
  <si>
    <t>5000-9995</t>
  </si>
  <si>
    <t xml:space="preserve"> OPERATING EXPENSES</t>
  </si>
  <si>
    <t>5100-9994</t>
  </si>
  <si>
    <t xml:space="preserve"> PAYROLL EXPENSES</t>
  </si>
  <si>
    <t>5105-0000</t>
  </si>
  <si>
    <t xml:space="preserve">     Gross Payroll</t>
  </si>
  <si>
    <t>5105-0010</t>
  </si>
  <si>
    <t xml:space="preserve">     Overtime Pay</t>
  </si>
  <si>
    <t>5105-0015</t>
  </si>
  <si>
    <t xml:space="preserve">     Vacation Pay</t>
  </si>
  <si>
    <t>5105-0020</t>
  </si>
  <si>
    <t xml:space="preserve">     Holiday Pay</t>
  </si>
  <si>
    <t>5105-0021</t>
  </si>
  <si>
    <t xml:space="preserve">     Holiday Premium Pay</t>
  </si>
  <si>
    <t>5105-0025</t>
  </si>
  <si>
    <t xml:space="preserve">     Sick Pay</t>
  </si>
  <si>
    <t>5105-0027</t>
  </si>
  <si>
    <t xml:space="preserve">     Meal Reimbursement - Payroll</t>
  </si>
  <si>
    <t>5105-0029</t>
  </si>
  <si>
    <t xml:space="preserve">     Tool Reimbursement</t>
  </si>
  <si>
    <t>5105-0030</t>
  </si>
  <si>
    <t xml:space="preserve">     Miscellaneous Pay</t>
  </si>
  <si>
    <t>5105-0035</t>
  </si>
  <si>
    <t xml:space="preserve">     Bonus</t>
  </si>
  <si>
    <t>5140-0000</t>
  </si>
  <si>
    <t xml:space="preserve">     Employee Payroll Taxes</t>
  </si>
  <si>
    <t>5140-0010</t>
  </si>
  <si>
    <t xml:space="preserve">     Medicare</t>
  </si>
  <si>
    <t>5140-0015</t>
  </si>
  <si>
    <t xml:space="preserve">     Federal Withholding Taxes</t>
  </si>
  <si>
    <t>5140-0020</t>
  </si>
  <si>
    <t xml:space="preserve">     NYS Withholding Taxes</t>
  </si>
  <si>
    <t>5140-0025</t>
  </si>
  <si>
    <t xml:space="preserve">     NYC Withholding Taxes</t>
  </si>
  <si>
    <t>5145-0000</t>
  </si>
  <si>
    <t xml:space="preserve">     Employer Payroll Taxes</t>
  </si>
  <si>
    <t>5145-0015</t>
  </si>
  <si>
    <t xml:space="preserve">     SUI - State Unemployment Insurance</t>
  </si>
  <si>
    <t>5145-0020</t>
  </si>
  <si>
    <t xml:space="preserve">     FUTA - Federal Unemployment Insurance</t>
  </si>
  <si>
    <t>5150-0000</t>
  </si>
  <si>
    <t xml:space="preserve">     401K</t>
  </si>
  <si>
    <t>5150-0010</t>
  </si>
  <si>
    <t xml:space="preserve">     401K Loan</t>
  </si>
  <si>
    <t>5150-0020</t>
  </si>
  <si>
    <t xml:space="preserve">     401K Match</t>
  </si>
  <si>
    <t>5150-0030</t>
  </si>
  <si>
    <t xml:space="preserve">     401K Roth</t>
  </si>
  <si>
    <t>5155-0000</t>
  </si>
  <si>
    <t xml:space="preserve">     Voluntary Deductible</t>
  </si>
  <si>
    <t>5155-0010</t>
  </si>
  <si>
    <t xml:space="preserve">     Union Dues</t>
  </si>
  <si>
    <t>5155-0015</t>
  </si>
  <si>
    <t xml:space="preserve">     Health Insurance</t>
  </si>
  <si>
    <t>5155-0020</t>
  </si>
  <si>
    <t xml:space="preserve">     Dental Insurance</t>
  </si>
  <si>
    <t>5160-0000</t>
  </si>
  <si>
    <t xml:space="preserve">     Union Benefit Funds</t>
  </si>
  <si>
    <t>5160-0005</t>
  </si>
  <si>
    <t xml:space="preserve">     Life Insurance</t>
  </si>
  <si>
    <t>5160-0010</t>
  </si>
  <si>
    <t xml:space="preserve">     Pension Fund</t>
  </si>
  <si>
    <t>5160-0015</t>
  </si>
  <si>
    <t xml:space="preserve">     Health Fund</t>
  </si>
  <si>
    <t>5160-0020</t>
  </si>
  <si>
    <t xml:space="preserve">     Annuity Fund</t>
  </si>
  <si>
    <t>5160-0025</t>
  </si>
  <si>
    <t xml:space="preserve">     Legal Fund</t>
  </si>
  <si>
    <t>5160-0030</t>
  </si>
  <si>
    <t xml:space="preserve">     Training Fund</t>
  </si>
  <si>
    <t>5160-0035</t>
  </si>
  <si>
    <t xml:space="preserve">     Welfare Fund</t>
  </si>
  <si>
    <t>5160-0040</t>
  </si>
  <si>
    <t xml:space="preserve">     Garnishments</t>
  </si>
  <si>
    <t>5165-0000</t>
  </si>
  <si>
    <t xml:space="preserve">     Workers Compensation Insurance</t>
  </si>
  <si>
    <t>5165-0050</t>
  </si>
  <si>
    <t xml:space="preserve">     Workers Comp Audit / Dividend</t>
  </si>
  <si>
    <t>5166-0000</t>
  </si>
  <si>
    <t xml:space="preserve">     Disability Insurance</t>
  </si>
  <si>
    <t>5168-0000</t>
  </si>
  <si>
    <t xml:space="preserve">     Paid Family Leave</t>
  </si>
  <si>
    <t>5170-0000</t>
  </si>
  <si>
    <t xml:space="preserve">     Benefits Administration</t>
  </si>
  <si>
    <t>5171-0000</t>
  </si>
  <si>
    <t xml:space="preserve">     Check Cashing</t>
  </si>
  <si>
    <t>5172-0000</t>
  </si>
  <si>
    <t xml:space="preserve">     Payroll Processing</t>
  </si>
  <si>
    <t>5179-0000</t>
  </si>
  <si>
    <t xml:space="preserve">     Other Payroll Expenses</t>
  </si>
  <si>
    <t>5179-0002</t>
  </si>
  <si>
    <t xml:space="preserve">     Staffing Services</t>
  </si>
  <si>
    <t>5199-9997</t>
  </si>
  <si>
    <t xml:space="preserve"> TOTAL PAYROLL EXPENSES</t>
  </si>
  <si>
    <t>5200-9994</t>
  </si>
  <si>
    <t xml:space="preserve"> ENERGY EXPENSES</t>
  </si>
  <si>
    <t>5250-0000</t>
  </si>
  <si>
    <t>5251-0000</t>
  </si>
  <si>
    <t xml:space="preserve">     Gas Transport</t>
  </si>
  <si>
    <t>5252-0000</t>
  </si>
  <si>
    <t xml:space="preserve">     Gas - Heating</t>
  </si>
  <si>
    <t>5255-0000</t>
  </si>
  <si>
    <t xml:space="preserve">     Electricity</t>
  </si>
  <si>
    <t>5260-0000</t>
  </si>
  <si>
    <t xml:space="preserve">     Fuel</t>
  </si>
  <si>
    <t>5265-0000</t>
  </si>
  <si>
    <t xml:space="preserve">     Steam</t>
  </si>
  <si>
    <t>5270-0000</t>
  </si>
  <si>
    <t xml:space="preserve">     Other Energy Expense</t>
  </si>
  <si>
    <t>5299-9997</t>
  </si>
  <si>
    <t xml:space="preserve"> TOTAL ENERGY EXPENSES</t>
  </si>
  <si>
    <t>5400-9994</t>
  </si>
  <si>
    <t xml:space="preserve"> SUPPLIES REPAIRS MAINTENANCE</t>
  </si>
  <si>
    <t>5401-9995</t>
  </si>
  <si>
    <t xml:space="preserve"> SUPPLIES</t>
  </si>
  <si>
    <t>5405-0000</t>
  </si>
  <si>
    <t xml:space="preserve">     Appliance Supplies</t>
  </si>
  <si>
    <t>5406-0000</t>
  </si>
  <si>
    <t xml:space="preserve">     Supplies &amp; Hardware</t>
  </si>
  <si>
    <t>5408-0000</t>
  </si>
  <si>
    <t xml:space="preserve">     Startup Supplies</t>
  </si>
  <si>
    <t>5410-0000</t>
  </si>
  <si>
    <t xml:space="preserve">     Refrigeration Supplies</t>
  </si>
  <si>
    <t>5415-0000</t>
  </si>
  <si>
    <t xml:space="preserve">     Dishwasher Supplies</t>
  </si>
  <si>
    <t>5420-0000</t>
  </si>
  <si>
    <t xml:space="preserve">     Range &amp; Oven Supplies</t>
  </si>
  <si>
    <t>5425-0000</t>
  </si>
  <si>
    <t xml:space="preserve">     Bathroom Fixture Supplies</t>
  </si>
  <si>
    <t>5430-0000</t>
  </si>
  <si>
    <t xml:space="preserve">     Hardware Supplies</t>
  </si>
  <si>
    <t>5430-0010</t>
  </si>
  <si>
    <t xml:space="preserve">     Plumbing Supplies</t>
  </si>
  <si>
    <t>5430-0015</t>
  </si>
  <si>
    <t xml:space="preserve">     Electrical Supplies</t>
  </si>
  <si>
    <t>5430-0020</t>
  </si>
  <si>
    <t xml:space="preserve">     Light Bulbs</t>
  </si>
  <si>
    <t>5430-0025</t>
  </si>
  <si>
    <t xml:space="preserve">     Cleaning Supplies</t>
  </si>
  <si>
    <t>5430-0030</t>
  </si>
  <si>
    <t xml:space="preserve">     Compactor Bags</t>
  </si>
  <si>
    <t>5430-0035</t>
  </si>
  <si>
    <t>5430-0040</t>
  </si>
  <si>
    <t xml:space="preserve">     Exterminating Supplies</t>
  </si>
  <si>
    <t>5430-0045</t>
  </si>
  <si>
    <t xml:space="preserve">     Air Conditioning Supplies</t>
  </si>
  <si>
    <t>5430-0050</t>
  </si>
  <si>
    <t xml:space="preserve">     Window &amp; Glass Supplies</t>
  </si>
  <si>
    <t>5435-0000</t>
  </si>
  <si>
    <t xml:space="preserve">     Directory Plates &amp; Signs</t>
  </si>
  <si>
    <t>5440-0000</t>
  </si>
  <si>
    <t xml:space="preserve">     Painting Supplies</t>
  </si>
  <si>
    <t>5445-0000</t>
  </si>
  <si>
    <t xml:space="preserve">     Uniforms Purchased</t>
  </si>
  <si>
    <t>5450-0000</t>
  </si>
  <si>
    <t xml:space="preserve">     STP Chemicals</t>
  </si>
  <si>
    <t>5455-0000</t>
  </si>
  <si>
    <t xml:space="preserve">     Snow Melt Chemicals</t>
  </si>
  <si>
    <t>5460-0000</t>
  </si>
  <si>
    <t xml:space="preserve">     Pool Supplies</t>
  </si>
  <si>
    <t>5465-0000</t>
  </si>
  <si>
    <t xml:space="preserve">     Fitness Center Supplies</t>
  </si>
  <si>
    <t>5495-0000</t>
  </si>
  <si>
    <t xml:space="preserve">     Other Building Supplies</t>
  </si>
  <si>
    <t>5499-9997</t>
  </si>
  <si>
    <t xml:space="preserve"> TOTAL SUPPLIES</t>
  </si>
  <si>
    <t>5600-9994</t>
  </si>
  <si>
    <t xml:space="preserve"> REPAIRS</t>
  </si>
  <si>
    <t>5603-0000</t>
  </si>
  <si>
    <t xml:space="preserve">     Apartment Repairs</t>
  </si>
  <si>
    <t>5606-0000</t>
  </si>
  <si>
    <t xml:space="preserve">     Insurance Repairs</t>
  </si>
  <si>
    <t>5609-0000</t>
  </si>
  <si>
    <t xml:space="preserve">     Appliance Repairs</t>
  </si>
  <si>
    <t>5612-0000</t>
  </si>
  <si>
    <t xml:space="preserve">     Refrigerator Repairs</t>
  </si>
  <si>
    <t>5622-0000</t>
  </si>
  <si>
    <t xml:space="preserve">     HVAC Repairs</t>
  </si>
  <si>
    <t>5615-0000</t>
  </si>
  <si>
    <t xml:space="preserve">     Range &amp; Oven Repairs</t>
  </si>
  <si>
    <t>5618-0000</t>
  </si>
  <si>
    <t xml:space="preserve">     Dishwasher Repairs</t>
  </si>
  <si>
    <t>5621-0000</t>
  </si>
  <si>
    <t xml:space="preserve">     Equipment Repairs</t>
  </si>
  <si>
    <t>5624-0000</t>
  </si>
  <si>
    <t xml:space="preserve">     Heating Repairs</t>
  </si>
  <si>
    <t>5627-0000</t>
  </si>
  <si>
    <t xml:space="preserve">     Boiler/Burner Repairs</t>
  </si>
  <si>
    <t>5630-0000</t>
  </si>
  <si>
    <t xml:space="preserve">     Plumbing Repairs</t>
  </si>
  <si>
    <t>5630-0001</t>
  </si>
  <si>
    <t xml:space="preserve">     Pump/Motor Repair</t>
  </si>
  <si>
    <t>5633-0000</t>
  </si>
  <si>
    <t>5636-0000</t>
  </si>
  <si>
    <t xml:space="preserve">     Air Conditioning Repairs</t>
  </si>
  <si>
    <t>5639-0000</t>
  </si>
  <si>
    <t xml:space="preserve">     Elevator Repairs</t>
  </si>
  <si>
    <t>5642-0000</t>
  </si>
  <si>
    <t xml:space="preserve">     Compactor / Incinerator Repairs</t>
  </si>
  <si>
    <t>5645-0000</t>
  </si>
  <si>
    <t xml:space="preserve">     Window Repairs</t>
  </si>
  <si>
    <t>5648-0000</t>
  </si>
  <si>
    <t xml:space="preserve">     Floor / Carpet Repair</t>
  </si>
  <si>
    <t>5651-0000</t>
  </si>
  <si>
    <t xml:space="preserve">     Garage Repairs</t>
  </si>
  <si>
    <t>5654-0000</t>
  </si>
  <si>
    <t xml:space="preserve">     Hallway Repairs</t>
  </si>
  <si>
    <t>5657-0000</t>
  </si>
  <si>
    <t xml:space="preserve">     Lobby Repairs</t>
  </si>
  <si>
    <t>5660-0000</t>
  </si>
  <si>
    <t xml:space="preserve">     Paint &amp; Plaster Repairs</t>
  </si>
  <si>
    <t>5663-0000</t>
  </si>
  <si>
    <t xml:space="preserve">     Carpentry Repairs</t>
  </si>
  <si>
    <t>5666-0000</t>
  </si>
  <si>
    <t xml:space="preserve">     Door Repairs</t>
  </si>
  <si>
    <t>5668-0000</t>
  </si>
  <si>
    <t xml:space="preserve">     Canopy Repairs</t>
  </si>
  <si>
    <t>5670-0000</t>
  </si>
  <si>
    <t>5672-0000</t>
  </si>
  <si>
    <t xml:space="preserve">     Time Recorder Repairs</t>
  </si>
  <si>
    <t>5674-0000</t>
  </si>
  <si>
    <t xml:space="preserve">     Facade / Waterproofing Repairs</t>
  </si>
  <si>
    <t>5676-0000</t>
  </si>
  <si>
    <t xml:space="preserve">     Roof Repairs</t>
  </si>
  <si>
    <t>5678-0000</t>
  </si>
  <si>
    <t xml:space="preserve">     Roof Tank / Water Tank Repairs</t>
  </si>
  <si>
    <t>5680-0000</t>
  </si>
  <si>
    <t xml:space="preserve">     Roof Exhaust Repairs</t>
  </si>
  <si>
    <t>5681-0000</t>
  </si>
  <si>
    <t xml:space="preserve">     STP Repairs</t>
  </si>
  <si>
    <t>5682-0000</t>
  </si>
  <si>
    <t xml:space="preserve">     Sprinkler System Repairs</t>
  </si>
  <si>
    <t>5684-0000</t>
  </si>
  <si>
    <t xml:space="preserve">     Sidewalk Concrete Repairs</t>
  </si>
  <si>
    <t>5686-0000</t>
  </si>
  <si>
    <t xml:space="preserve">     Pool Repairs</t>
  </si>
  <si>
    <t>5688-0000</t>
  </si>
  <si>
    <t xml:space="preserve">     Steam / Locker Room Repairs</t>
  </si>
  <si>
    <t>5690-0000</t>
  </si>
  <si>
    <t xml:space="preserve">     Sauna Repairs</t>
  </si>
  <si>
    <t>5692-0000</t>
  </si>
  <si>
    <t xml:space="preserve">     Fitness Equipment Repair</t>
  </si>
  <si>
    <t>5695-0000</t>
  </si>
  <si>
    <t xml:space="preserve">     Other Building Repairs</t>
  </si>
  <si>
    <t>5699-9997</t>
  </si>
  <si>
    <t xml:space="preserve"> TOTAL REPAIRS</t>
  </si>
  <si>
    <t>5800-9994</t>
  </si>
  <si>
    <t xml:space="preserve"> MAINTENANCE</t>
  </si>
  <si>
    <t>5803-0000</t>
  </si>
  <si>
    <t xml:space="preserve">     Cleaning &amp; Maintenance</t>
  </si>
  <si>
    <t>5806-0000</t>
  </si>
  <si>
    <t xml:space="preserve">     Air Conditioning Maintenance</t>
  </si>
  <si>
    <t>5809-0000</t>
  </si>
  <si>
    <t xml:space="preserve">     Heating Maintenance</t>
  </si>
  <si>
    <t>5809-0010</t>
  </si>
  <si>
    <t xml:space="preserve">     Boiler Maintenance</t>
  </si>
  <si>
    <t>5809-0015</t>
  </si>
  <si>
    <t xml:space="preserve">     Burner Maintenance</t>
  </si>
  <si>
    <t>5809-0016</t>
  </si>
  <si>
    <t xml:space="preserve">     Sprinkler Maintenance</t>
  </si>
  <si>
    <t>5810-0000</t>
  </si>
  <si>
    <t xml:space="preserve">     HVAC Maintenance</t>
  </si>
  <si>
    <t>5811-0000</t>
  </si>
  <si>
    <t xml:space="preserve">     Residential Chargebacks</t>
  </si>
  <si>
    <t>5812-0000</t>
  </si>
  <si>
    <t xml:space="preserve">     Elevator Maintenance</t>
  </si>
  <si>
    <t>5814-0000</t>
  </si>
  <si>
    <t xml:space="preserve">     Door Maintenance</t>
  </si>
  <si>
    <t>5813-0000</t>
  </si>
  <si>
    <t xml:space="preserve">     Dryer Vent Cleaning (Common Area)</t>
  </si>
  <si>
    <t>5815-0000</t>
  </si>
  <si>
    <t xml:space="preserve">     Floor/Carpet Cleaning</t>
  </si>
  <si>
    <t>5818-0000</t>
  </si>
  <si>
    <t xml:space="preserve">     Window Cleaning</t>
  </si>
  <si>
    <t>5821-0000</t>
  </si>
  <si>
    <t xml:space="preserve">     Fire Extinguisher Maintenance</t>
  </si>
  <si>
    <t>5825-0000</t>
  </si>
  <si>
    <t xml:space="preserve">     Uniform Cleaning &amp; Maintenance</t>
  </si>
  <si>
    <t>5825-0002</t>
  </si>
  <si>
    <t xml:space="preserve">     Startup Uniforms</t>
  </si>
  <si>
    <t>5828-0000</t>
  </si>
  <si>
    <t xml:space="preserve">     Rubbish Removal</t>
  </si>
  <si>
    <t>5831-0000</t>
  </si>
  <si>
    <t xml:space="preserve">     Exterminating</t>
  </si>
  <si>
    <t>5834-0000</t>
  </si>
  <si>
    <t xml:space="preserve">     Cooling Tower Maintenance</t>
  </si>
  <si>
    <t>5837-0000</t>
  </si>
  <si>
    <t xml:space="preserve">     Alarm / Security System Maintenance</t>
  </si>
  <si>
    <t>5837-0001</t>
  </si>
  <si>
    <t xml:space="preserve">     Fire Safety Maintenance</t>
  </si>
  <si>
    <t>5840-0000</t>
  </si>
  <si>
    <t xml:space="preserve">     Metal / Marble/ Wood Maintenance</t>
  </si>
  <si>
    <t>5843-0000</t>
  </si>
  <si>
    <t xml:space="preserve">     Laundry Equipment Maintenance</t>
  </si>
  <si>
    <t>5846-0000</t>
  </si>
  <si>
    <t xml:space="preserve">     Garage Maintenance</t>
  </si>
  <si>
    <t>5849-0000</t>
  </si>
  <si>
    <t xml:space="preserve">     Facade Maintenance</t>
  </si>
  <si>
    <t>5852-0000</t>
  </si>
  <si>
    <t xml:space="preserve">     Water Treatment Maintenance</t>
  </si>
  <si>
    <t>5853-0000</t>
  </si>
  <si>
    <t xml:space="preserve">     STP Maintenance</t>
  </si>
  <si>
    <t>5856-0000</t>
  </si>
  <si>
    <t xml:space="preserve">     Equipment Maintenance</t>
  </si>
  <si>
    <t>5857-0000</t>
  </si>
  <si>
    <t xml:space="preserve">     Mechanical Maintenance</t>
  </si>
  <si>
    <t>5859-0000</t>
  </si>
  <si>
    <t xml:space="preserve">     Pool Maintenance</t>
  </si>
  <si>
    <t>5862-0000</t>
  </si>
  <si>
    <t xml:space="preserve">     Cesspool Maintenance</t>
  </si>
  <si>
    <t>5865-0000</t>
  </si>
  <si>
    <t xml:space="preserve">     Landscaping</t>
  </si>
  <si>
    <t>5868-0000</t>
  </si>
  <si>
    <t xml:space="preserve">     Snow Removal</t>
  </si>
  <si>
    <t>5870-0000</t>
  </si>
  <si>
    <t xml:space="preserve">     Roof Top Garden Expense</t>
  </si>
  <si>
    <t>5871-0000</t>
  </si>
  <si>
    <t xml:space="preserve">     Sewer Plant Maintenance</t>
  </si>
  <si>
    <t>5872-0000</t>
  </si>
  <si>
    <t xml:space="preserve">     Generator Maintenance</t>
  </si>
  <si>
    <t>5873-0000</t>
  </si>
  <si>
    <t xml:space="preserve">     Compactor Maintenance</t>
  </si>
  <si>
    <t>5874-0000</t>
  </si>
  <si>
    <t xml:space="preserve">     Other Maintenance</t>
  </si>
  <si>
    <t>5899-9997</t>
  </si>
  <si>
    <t xml:space="preserve"> TOTAL MAINTENANCE</t>
  </si>
  <si>
    <t>5999-9998</t>
  </si>
  <si>
    <t xml:space="preserve"> TOTAL SUPPLIES REPAIRS MAINTENANCE</t>
  </si>
  <si>
    <t xml:space="preserve"> TOTAL OPERATING EXPENSES</t>
  </si>
  <si>
    <t>6000-9994</t>
  </si>
  <si>
    <t xml:space="preserve"> GEN &amp; ADMIN EXPENSES</t>
  </si>
  <si>
    <t>6100-9995</t>
  </si>
  <si>
    <t xml:space="preserve"> INSURANCE</t>
  </si>
  <si>
    <t>6105-0000</t>
  </si>
  <si>
    <t xml:space="preserve">     Package Policy</t>
  </si>
  <si>
    <t>6110-0000</t>
  </si>
  <si>
    <t xml:space="preserve">     General Liability Insurance</t>
  </si>
  <si>
    <t>6115-0000</t>
  </si>
  <si>
    <t xml:space="preserve">     Property Insurance</t>
  </si>
  <si>
    <t>6120-0000</t>
  </si>
  <si>
    <t xml:space="preserve">     Umbrella Insurance</t>
  </si>
  <si>
    <t>6125-0000</t>
  </si>
  <si>
    <t xml:space="preserve">     D&amp;O Insurance</t>
  </si>
  <si>
    <t>6126-0000</t>
  </si>
  <si>
    <t xml:space="preserve">     Cyber Insurance</t>
  </si>
  <si>
    <t>6130-0000</t>
  </si>
  <si>
    <t xml:space="preserve">     Auto Insurance</t>
  </si>
  <si>
    <t>6135-0000</t>
  </si>
  <si>
    <t xml:space="preserve">     Crime / Fidelity Insurance</t>
  </si>
  <si>
    <t>6140-0000</t>
  </si>
  <si>
    <t xml:space="preserve">     Boiler &amp; Machinery Insurance</t>
  </si>
  <si>
    <t>6145-0000</t>
  </si>
  <si>
    <t xml:space="preserve">     Errors &amp; Omissions Insurance</t>
  </si>
  <si>
    <t>6150-0000</t>
  </si>
  <si>
    <t xml:space="preserve">     Flood / Hurricane Insurance</t>
  </si>
  <si>
    <t>6195-0000</t>
  </si>
  <si>
    <t xml:space="preserve">     Other Insurance</t>
  </si>
  <si>
    <t>6199-9997</t>
  </si>
  <si>
    <t xml:space="preserve"> TOTAL INSURANCE</t>
  </si>
  <si>
    <t>6300-9994</t>
  </si>
  <si>
    <t xml:space="preserve"> TAXES</t>
  </si>
  <si>
    <t>6305-0000</t>
  </si>
  <si>
    <t xml:space="preserve">     Water/Sewer</t>
  </si>
  <si>
    <t>6310-0000</t>
  </si>
  <si>
    <t xml:space="preserve">     Corporation Tax</t>
  </si>
  <si>
    <t>6315-0000</t>
  </si>
  <si>
    <t xml:space="preserve">     Real Estate Tax</t>
  </si>
  <si>
    <t>6315-0010</t>
  </si>
  <si>
    <t>6315-0020</t>
  </si>
  <si>
    <t>6315-0025</t>
  </si>
  <si>
    <t xml:space="preserve">     Veteran Exemption</t>
  </si>
  <si>
    <t>6315-0030</t>
  </si>
  <si>
    <t xml:space="preserve">     SCRIE Credit</t>
  </si>
  <si>
    <t>6315-0035</t>
  </si>
  <si>
    <t xml:space="preserve">     SCHE Credit</t>
  </si>
  <si>
    <t>6315-0040</t>
  </si>
  <si>
    <t xml:space="preserve">     J-51 Credit</t>
  </si>
  <si>
    <t>6320-0000</t>
  </si>
  <si>
    <t xml:space="preserve">     Transfer Tax</t>
  </si>
  <si>
    <t>6325-0000</t>
  </si>
  <si>
    <t xml:space="preserve">     Sales &amp; Use Tax</t>
  </si>
  <si>
    <t>6330-0000</t>
  </si>
  <si>
    <t xml:space="preserve">     Commercial Rent Tax</t>
  </si>
  <si>
    <t>6335-0000</t>
  </si>
  <si>
    <t xml:space="preserve">     BID Tax</t>
  </si>
  <si>
    <t>6395-0000</t>
  </si>
  <si>
    <t xml:space="preserve">     Other Taxes</t>
  </si>
  <si>
    <t>6399-9997</t>
  </si>
  <si>
    <t xml:space="preserve"> TOTAL TAXES</t>
  </si>
  <si>
    <t>6500-9994</t>
  </si>
  <si>
    <t xml:space="preserve"> PROFESSIONAL FEES</t>
  </si>
  <si>
    <t>6505-0000</t>
  </si>
  <si>
    <t xml:space="preserve">     Engineering &amp; Architectural Fees</t>
  </si>
  <si>
    <t>6510-0000</t>
  </si>
  <si>
    <t>6510-0002</t>
  </si>
  <si>
    <t xml:space="preserve">     Owner Management Fees</t>
  </si>
  <si>
    <t>6515-0000</t>
  </si>
  <si>
    <t>6520-0000</t>
  </si>
  <si>
    <t xml:space="preserve">     Real Estate Tax Certiorari Fees</t>
  </si>
  <si>
    <t>6525-0000</t>
  </si>
  <si>
    <t>6530-0000</t>
  </si>
  <si>
    <t xml:space="preserve">     Fitness Center Fees</t>
  </si>
  <si>
    <t>6535-0000</t>
  </si>
  <si>
    <t xml:space="preserve">     Pool Management</t>
  </si>
  <si>
    <t>6590-0000</t>
  </si>
  <si>
    <t xml:space="preserve">     Other Professional Fees</t>
  </si>
  <si>
    <t>6599-9997</t>
  </si>
  <si>
    <t xml:space="preserve"> TOTAL PROFESSIONAL FEES</t>
  </si>
  <si>
    <t>6700-9994</t>
  </si>
  <si>
    <t xml:space="preserve"> ADMINISTRATIVE &amp; OTHER</t>
  </si>
  <si>
    <t>6701-0000</t>
  </si>
  <si>
    <t xml:space="preserve">     Condo Common Charges</t>
  </si>
  <si>
    <t>6702-0000</t>
  </si>
  <si>
    <t xml:space="preserve">     Coop Maintenance</t>
  </si>
  <si>
    <t>6703-0000</t>
  </si>
  <si>
    <t xml:space="preserve">     Assessment Charges</t>
  </si>
  <si>
    <t>6704-0000</t>
  </si>
  <si>
    <t xml:space="preserve">     Lock Box Services</t>
  </si>
  <si>
    <t>6706-0000</t>
  </si>
  <si>
    <t xml:space="preserve">     Office Expense</t>
  </si>
  <si>
    <t>6706-0010</t>
  </si>
  <si>
    <t xml:space="preserve">     Office Supplies</t>
  </si>
  <si>
    <t>6706-0015</t>
  </si>
  <si>
    <t xml:space="preserve">     Coffee Services</t>
  </si>
  <si>
    <t>6706-0020</t>
  </si>
  <si>
    <t xml:space="preserve">     Water Cooler Expense</t>
  </si>
  <si>
    <t>6708-0000</t>
  </si>
  <si>
    <t>6710-0000</t>
  </si>
  <si>
    <t xml:space="preserve">     Postage Expense</t>
  </si>
  <si>
    <t>6710-0010</t>
  </si>
  <si>
    <t xml:space="preserve">     Postage Meter</t>
  </si>
  <si>
    <t>6710-0015</t>
  </si>
  <si>
    <t xml:space="preserve">     Messenger Expense</t>
  </si>
  <si>
    <t>6712-0000</t>
  </si>
  <si>
    <t xml:space="preserve">     Computer Software</t>
  </si>
  <si>
    <t>6712-0005</t>
  </si>
  <si>
    <t xml:space="preserve">     Computer Maintenance</t>
  </si>
  <si>
    <t>6712-0010</t>
  </si>
  <si>
    <t xml:space="preserve">     Computer Supplies</t>
  </si>
  <si>
    <t>6712-0015</t>
  </si>
  <si>
    <t xml:space="preserve">     Computer Repairs</t>
  </si>
  <si>
    <t>6712-0020</t>
  </si>
  <si>
    <t xml:space="preserve">     Computer Consulting</t>
  </si>
  <si>
    <t>6714-0000</t>
  </si>
  <si>
    <t xml:space="preserve">     Telephone Expense</t>
  </si>
  <si>
    <t>6714-0005</t>
  </si>
  <si>
    <t xml:space="preserve">     Beepers</t>
  </si>
  <si>
    <t>6714-0010</t>
  </si>
  <si>
    <t xml:space="preserve">     Answering Service Expense</t>
  </si>
  <si>
    <t>6716-0000</t>
  </si>
  <si>
    <t xml:space="preserve">     Cable TV Expense</t>
  </si>
  <si>
    <t>6718-0000</t>
  </si>
  <si>
    <t xml:space="preserve">     Photocopy Expense</t>
  </si>
  <si>
    <t>6718-0010</t>
  </si>
  <si>
    <t xml:space="preserve">     Photocopy Supplies &amp; Maintenance</t>
  </si>
  <si>
    <t>6720-0000</t>
  </si>
  <si>
    <t xml:space="preserve">     Dues &amp; Subscriptions</t>
  </si>
  <si>
    <t>6722-0000</t>
  </si>
  <si>
    <t xml:space="preserve">     Education &amp; Seminars</t>
  </si>
  <si>
    <t>6724-0000</t>
  </si>
  <si>
    <t xml:space="preserve">     Advertising</t>
  </si>
  <si>
    <t>6726-0000</t>
  </si>
  <si>
    <t xml:space="preserve">     Inspection Fees &amp; Permits</t>
  </si>
  <si>
    <t>6728-0000</t>
  </si>
  <si>
    <t>6730-0000</t>
  </si>
  <si>
    <t xml:space="preserve">     Laundry Collection Service</t>
  </si>
  <si>
    <t>6732-0000</t>
  </si>
  <si>
    <t xml:space="preserve">     Meter Reading Charges</t>
  </si>
  <si>
    <t>6734-0000</t>
  </si>
  <si>
    <t xml:space="preserve">     Gratuities</t>
  </si>
  <si>
    <t>6736-0000</t>
  </si>
  <si>
    <t xml:space="preserve">     Donations</t>
  </si>
  <si>
    <t>6738-0000</t>
  </si>
  <si>
    <t xml:space="preserve">     Meals Reimbursement - Admin</t>
  </si>
  <si>
    <t>6740-0000</t>
  </si>
  <si>
    <t xml:space="preserve">     Security Guards</t>
  </si>
  <si>
    <t>6742-0000</t>
  </si>
  <si>
    <t xml:space="preserve">     Travel Expenses</t>
  </si>
  <si>
    <t>6742-0015</t>
  </si>
  <si>
    <t xml:space="preserve">     Tolls</t>
  </si>
  <si>
    <t>6744-0000</t>
  </si>
  <si>
    <t xml:space="preserve">     Auto / Truck Mileage</t>
  </si>
  <si>
    <t>6744-0005</t>
  </si>
  <si>
    <t xml:space="preserve">     Auto / Truck Lease</t>
  </si>
  <si>
    <t>6744-0010</t>
  </si>
  <si>
    <t xml:space="preserve">     Auto / Truck Gasoline</t>
  </si>
  <si>
    <t>6744-0015</t>
  </si>
  <si>
    <t xml:space="preserve">     Auto / Truck Repair</t>
  </si>
  <si>
    <t>6744-0020</t>
  </si>
  <si>
    <t xml:space="preserve">     Auto / Truck Garage - Parking</t>
  </si>
  <si>
    <t>6746-0000</t>
  </si>
  <si>
    <t xml:space="preserve">     Lobby &amp; Hallway Decorations</t>
  </si>
  <si>
    <t>6748-0000</t>
  </si>
  <si>
    <t xml:space="preserve">     Party Supplies</t>
  </si>
  <si>
    <t>6749-0000</t>
  </si>
  <si>
    <t xml:space="preserve">     Art Committee</t>
  </si>
  <si>
    <t>6750-0000</t>
  </si>
  <si>
    <t xml:space="preserve">     Children's Activities</t>
  </si>
  <si>
    <t>6751-0000</t>
  </si>
  <si>
    <t xml:space="preserve">     Social Committee</t>
  </si>
  <si>
    <t>6752-0000</t>
  </si>
  <si>
    <t xml:space="preserve">     Playroom Supplies</t>
  </si>
  <si>
    <t>6754-0000</t>
  </si>
  <si>
    <t xml:space="preserve">     Credit Check</t>
  </si>
  <si>
    <t>6756-0000</t>
  </si>
  <si>
    <t>6758-0000</t>
  </si>
  <si>
    <t>6760-0000</t>
  </si>
  <si>
    <t>6761-0000</t>
  </si>
  <si>
    <t xml:space="preserve">     Rent Registration Fee</t>
  </si>
  <si>
    <t>6762-0000</t>
  </si>
  <si>
    <t xml:space="preserve">     1098 Fee's</t>
  </si>
  <si>
    <t>6763-0000</t>
  </si>
  <si>
    <t>6764-0000</t>
  </si>
  <si>
    <t xml:space="preserve">     Tax Abatement Program Fees</t>
  </si>
  <si>
    <t>6766-0000</t>
  </si>
  <si>
    <t>6768-0000</t>
  </si>
  <si>
    <t>6770-0000</t>
  </si>
  <si>
    <t xml:space="preserve">     Moving Expense</t>
  </si>
  <si>
    <t>6772-0000</t>
  </si>
  <si>
    <t xml:space="preserve">     Petty Cash Expenses</t>
  </si>
  <si>
    <t>6774-0000</t>
  </si>
  <si>
    <t xml:space="preserve">     Bank Charges</t>
  </si>
  <si>
    <t>6776-0000</t>
  </si>
  <si>
    <t>6778-0000</t>
  </si>
  <si>
    <t xml:space="preserve">     Late Fees</t>
  </si>
  <si>
    <t>6780-0000</t>
  </si>
  <si>
    <t xml:space="preserve">     Penalties</t>
  </si>
  <si>
    <t>6782-0000</t>
  </si>
  <si>
    <t xml:space="preserve">     Rent</t>
  </si>
  <si>
    <t>6782-0005</t>
  </si>
  <si>
    <t xml:space="preserve">     Electric Escalation</t>
  </si>
  <si>
    <t>6782-0010</t>
  </si>
  <si>
    <t xml:space="preserve">     Real Estate Tax Escalation</t>
  </si>
  <si>
    <t>6782-0015</t>
  </si>
  <si>
    <t>6784-0000</t>
  </si>
  <si>
    <t xml:space="preserve">     Lease Commissions</t>
  </si>
  <si>
    <t>6786-0000</t>
  </si>
  <si>
    <t xml:space="preserve">     Contingency Account</t>
  </si>
  <si>
    <t>6788-0000</t>
  </si>
  <si>
    <t xml:space="preserve">     Tenant Buyout Account</t>
  </si>
  <si>
    <t>6790-0000</t>
  </si>
  <si>
    <t xml:space="preserve">     Supt Apartment Expense</t>
  </si>
  <si>
    <t>6792-0000</t>
  </si>
  <si>
    <t xml:space="preserve">     Startup Purchases</t>
  </si>
  <si>
    <t>6795-0000</t>
  </si>
  <si>
    <t xml:space="preserve">     Other Administrative</t>
  </si>
  <si>
    <t>6799-9997</t>
  </si>
  <si>
    <t xml:space="preserve"> TOTAL ADMINISTRATIVE &amp; OTHER</t>
  </si>
  <si>
    <t>6900-9994</t>
  </si>
  <si>
    <t xml:space="preserve"> FINANCIAL EXPENSES</t>
  </si>
  <si>
    <t>6905-0000</t>
  </si>
  <si>
    <t xml:space="preserve">     Interest Expense</t>
  </si>
  <si>
    <t>2510-0000</t>
  </si>
  <si>
    <t xml:space="preserve">     Mortgage Amortization</t>
  </si>
  <si>
    <t>6905-0002</t>
  </si>
  <si>
    <t xml:space="preserve">     Mortgage Interest 2</t>
  </si>
  <si>
    <t>6905-0003</t>
  </si>
  <si>
    <t xml:space="preserve">     Other Interest Expense</t>
  </si>
  <si>
    <t>6915-0000</t>
  </si>
  <si>
    <t xml:space="preserve">     Ground Lease</t>
  </si>
  <si>
    <t>6920-0000</t>
  </si>
  <si>
    <t xml:space="preserve">     Financing Fees</t>
  </si>
  <si>
    <t>6925-0000</t>
  </si>
  <si>
    <t xml:space="preserve">     Equipment Lease</t>
  </si>
  <si>
    <t>6930-0000</t>
  </si>
  <si>
    <t xml:space="preserve">     Telephone Lease</t>
  </si>
  <si>
    <t>6935-0000</t>
  </si>
  <si>
    <t xml:space="preserve">     Photocopy Lease</t>
  </si>
  <si>
    <t>6940-0000</t>
  </si>
  <si>
    <t xml:space="preserve">     Postage Lease</t>
  </si>
  <si>
    <t>6945-0000</t>
  </si>
  <si>
    <t xml:space="preserve">     Computer Lease</t>
  </si>
  <si>
    <t>6950-0000</t>
  </si>
  <si>
    <t xml:space="preserve">     Depreciation</t>
  </si>
  <si>
    <t>6955-0000</t>
  </si>
  <si>
    <t xml:space="preserve">     Amortization</t>
  </si>
  <si>
    <t>6960-0000</t>
  </si>
  <si>
    <t xml:space="preserve">     Easement Fees</t>
  </si>
  <si>
    <t>6990-0000</t>
  </si>
  <si>
    <t xml:space="preserve">     Overhead Allocation</t>
  </si>
  <si>
    <t>6995-0000</t>
  </si>
  <si>
    <t xml:space="preserve">     Other Financial Expense</t>
  </si>
  <si>
    <t>2515-0000</t>
  </si>
  <si>
    <t xml:space="preserve">     Mortgage Payable 2</t>
  </si>
  <si>
    <t>2515-0003</t>
  </si>
  <si>
    <t xml:space="preserve">     Mortgage Payable 3</t>
  </si>
  <si>
    <t>6996-9997</t>
  </si>
  <si>
    <t xml:space="preserve"> TOTAL FINANCIAL EXPENSES</t>
  </si>
  <si>
    <t>6997-9998</t>
  </si>
  <si>
    <t xml:space="preserve"> TOTAL GEN &amp; ADMIN EXPENSES</t>
  </si>
  <si>
    <t>6998-9999</t>
  </si>
  <si>
    <t>6999-9999</t>
  </si>
  <si>
    <t xml:space="preserve"> TOTAL EXPENSES</t>
  </si>
  <si>
    <t xml:space="preserve"> NET OPERATING CASH FLOW</t>
  </si>
  <si>
    <t>7000-9994</t>
  </si>
  <si>
    <t xml:space="preserve"> OTHER SOURCES &amp; USES OF FUNDS</t>
  </si>
  <si>
    <t>7000-9995</t>
  </si>
  <si>
    <t xml:space="preserve"> SOURCES OF FUNDS</t>
  </si>
  <si>
    <t>4725-0040</t>
  </si>
  <si>
    <t xml:space="preserve">     Working Capital Contribution</t>
  </si>
  <si>
    <t>7018-0000</t>
  </si>
  <si>
    <t xml:space="preserve">     Net Proceeds of Sale</t>
  </si>
  <si>
    <t>7020-0000</t>
  </si>
  <si>
    <t xml:space="preserve">     Real Estate Tax Refund</t>
  </si>
  <si>
    <t>7025-0000</t>
  </si>
  <si>
    <t xml:space="preserve">     Flip Tax - Capital</t>
  </si>
  <si>
    <t>7030-0000</t>
  </si>
  <si>
    <t xml:space="preserve">     J51 Credit - Capital</t>
  </si>
  <si>
    <t>7045-0000</t>
  </si>
  <si>
    <t xml:space="preserve">     Claims Proceeds- Insurance Repairs</t>
  </si>
  <si>
    <t>7035-0000</t>
  </si>
  <si>
    <t xml:space="preserve">     Investment Income</t>
  </si>
  <si>
    <t>2521-0000</t>
  </si>
  <si>
    <t xml:space="preserve">     Line of Credit 1</t>
  </si>
  <si>
    <t>2522-0000</t>
  </si>
  <si>
    <t xml:space="preserve">     Line of Credit 2</t>
  </si>
  <si>
    <t>7095-0000</t>
  </si>
  <si>
    <t xml:space="preserve">     Other Sources of Funds</t>
  </si>
  <si>
    <t>7099-9997</t>
  </si>
  <si>
    <t xml:space="preserve"> TOTAL  SOURCES OF FUNDS</t>
  </si>
  <si>
    <t>7100-9994</t>
  </si>
  <si>
    <t xml:space="preserve"> USES OF FUNDS</t>
  </si>
  <si>
    <t>7105-1411</t>
  </si>
  <si>
    <t xml:space="preserve">     Cap - Elevator</t>
  </si>
  <si>
    <t>7110-1409</t>
  </si>
  <si>
    <t xml:space="preserve">     Cap - Boiler</t>
  </si>
  <si>
    <t>7115-1409</t>
  </si>
  <si>
    <t xml:space="preserve">     Cap - HVAC</t>
  </si>
  <si>
    <t>7120-1411</t>
  </si>
  <si>
    <t xml:space="preserve">     Cap - Pump &amp; Motor</t>
  </si>
  <si>
    <t>7125-1411</t>
  </si>
  <si>
    <t xml:space="preserve">     Cap - Appliances</t>
  </si>
  <si>
    <t>7130-1417</t>
  </si>
  <si>
    <t xml:space="preserve">     Cap - Roofing</t>
  </si>
  <si>
    <t>7135-1417</t>
  </si>
  <si>
    <t xml:space="preserve">     Cap - Chimney</t>
  </si>
  <si>
    <t>7140-1419</t>
  </si>
  <si>
    <t xml:space="preserve">     Cap - Facade Waterproof</t>
  </si>
  <si>
    <t>7145-1409</t>
  </si>
  <si>
    <t xml:space="preserve">     Cap - Plumbing</t>
  </si>
  <si>
    <t>7150-1409</t>
  </si>
  <si>
    <t xml:space="preserve">     Cap - Electrical</t>
  </si>
  <si>
    <t>7155-1409</t>
  </si>
  <si>
    <t xml:space="preserve">     Cap - General Contractor</t>
  </si>
  <si>
    <t>7160-1409</t>
  </si>
  <si>
    <t xml:space="preserve">     Cap - Carpentry</t>
  </si>
  <si>
    <t>7165-1409</t>
  </si>
  <si>
    <t xml:space="preserve">     Cap - Engineering / Architectural</t>
  </si>
  <si>
    <t>7170-1409</t>
  </si>
  <si>
    <t xml:space="preserve">     Cap - Sprinkler</t>
  </si>
  <si>
    <t>7175-1411</t>
  </si>
  <si>
    <t xml:space="preserve">     Cap - Water Meter</t>
  </si>
  <si>
    <t>7180-1417</t>
  </si>
  <si>
    <t xml:space="preserve">     Cap - Water Tank</t>
  </si>
  <si>
    <t>7185-1409</t>
  </si>
  <si>
    <t xml:space="preserve">     Cap - Windows</t>
  </si>
  <si>
    <t>7190-1415</t>
  </si>
  <si>
    <t xml:space="preserve">     Cap - Hallways</t>
  </si>
  <si>
    <t>7195-1413</t>
  </si>
  <si>
    <t xml:space="preserve">     Cap - Lobby</t>
  </si>
  <si>
    <t>7200-1411</t>
  </si>
  <si>
    <t xml:space="preserve">     Cap - Compactor</t>
  </si>
  <si>
    <t>7205-1409</t>
  </si>
  <si>
    <t xml:space="preserve">     Cap - Storage</t>
  </si>
  <si>
    <t>7210-1411</t>
  </si>
  <si>
    <t xml:space="preserve">     Cap - Sidewalk Bridge</t>
  </si>
  <si>
    <t>7215-1409</t>
  </si>
  <si>
    <t xml:space="preserve">     Cap - Paint &amp; Plaster</t>
  </si>
  <si>
    <t>7220-1409</t>
  </si>
  <si>
    <t xml:space="preserve">     Cap - Asbestos Removal</t>
  </si>
  <si>
    <t>7225-1409</t>
  </si>
  <si>
    <t xml:space="preserve">     Cap - Sidewalk Concrete</t>
  </si>
  <si>
    <t>7230-1409</t>
  </si>
  <si>
    <t xml:space="preserve">     Cap - Driveway</t>
  </si>
  <si>
    <t>7235-1409</t>
  </si>
  <si>
    <t xml:space="preserve">     Cap - Doors</t>
  </si>
  <si>
    <t>7240-1409</t>
  </si>
  <si>
    <t xml:space="preserve">     Cap - Floor / Carpet</t>
  </si>
  <si>
    <t>7245-1409</t>
  </si>
  <si>
    <t xml:space="preserve">     Cap - Garage</t>
  </si>
  <si>
    <t>7250-1409</t>
  </si>
  <si>
    <t xml:space="preserve">     Cap - Canopy / Awning</t>
  </si>
  <si>
    <t>7255-1411</t>
  </si>
  <si>
    <t xml:space="preserve">     Cap - TV / VCR</t>
  </si>
  <si>
    <t>7260-1411</t>
  </si>
  <si>
    <t xml:space="preserve">     Cap - Intercom</t>
  </si>
  <si>
    <t>7265-1411</t>
  </si>
  <si>
    <t xml:space="preserve">     Cap - Security System</t>
  </si>
  <si>
    <t>7270-1409</t>
  </si>
  <si>
    <t xml:space="preserve">     Cap - Garden &amp; Landscape</t>
  </si>
  <si>
    <t>7273-1409</t>
  </si>
  <si>
    <t xml:space="preserve">     Cap - Insurance Repairs</t>
  </si>
  <si>
    <t>7275-1409</t>
  </si>
  <si>
    <t xml:space="preserve">     Cap - Mailbox</t>
  </si>
  <si>
    <t>7280-1409</t>
  </si>
  <si>
    <t xml:space="preserve">     Cap - Signage</t>
  </si>
  <si>
    <t>7285-1409</t>
  </si>
  <si>
    <t xml:space="preserve">     Cap - Parking</t>
  </si>
  <si>
    <t>7290-1409</t>
  </si>
  <si>
    <t xml:space="preserve">     Cap - Pool</t>
  </si>
  <si>
    <t>7295-1421</t>
  </si>
  <si>
    <t xml:space="preserve">     Cap - Outdoor  Furniture</t>
  </si>
  <si>
    <t>7300-1409</t>
  </si>
  <si>
    <t xml:space="preserve">     Cap - STP</t>
  </si>
  <si>
    <t>7305-1409</t>
  </si>
  <si>
    <t xml:space="preserve">     Cap - Whirlpool / Steam room</t>
  </si>
  <si>
    <t>7310-1409</t>
  </si>
  <si>
    <t xml:space="preserve">     Cap - Tennis Court</t>
  </si>
  <si>
    <t>7315-1421</t>
  </si>
  <si>
    <t xml:space="preserve">     Cap - Fitness Equipment</t>
  </si>
  <si>
    <t>7320-1409</t>
  </si>
  <si>
    <t xml:space="preserve">     Cap - Laundry Room</t>
  </si>
  <si>
    <t>7325-1409</t>
  </si>
  <si>
    <t xml:space="preserve">     Cap - Children's Play Area</t>
  </si>
  <si>
    <t>7330-1409</t>
  </si>
  <si>
    <t xml:space="preserve">     Cap - Gym</t>
  </si>
  <si>
    <t>7335-1409</t>
  </si>
  <si>
    <t xml:space="preserve">     Cap - Aerobics Floor</t>
  </si>
  <si>
    <t>7340-1409</t>
  </si>
  <si>
    <t xml:space="preserve">     Cap - Racquetball Court</t>
  </si>
  <si>
    <t>7345-1409</t>
  </si>
  <si>
    <t xml:space="preserve">     Cap - Great Room</t>
  </si>
  <si>
    <t>7350-2510</t>
  </si>
  <si>
    <t xml:space="preserve">     Cap - Principal Amortization</t>
  </si>
  <si>
    <t>7355-2510</t>
  </si>
  <si>
    <t xml:space="preserve">     Cap - Interest</t>
  </si>
  <si>
    <t>7360-1780</t>
  </si>
  <si>
    <t xml:space="preserve">     Cap - Professional</t>
  </si>
  <si>
    <t>7370-1780</t>
  </si>
  <si>
    <t xml:space="preserve">     Cap - Commissions</t>
  </si>
  <si>
    <t>7375-1780</t>
  </si>
  <si>
    <t xml:space="preserve">     Cap - Legal</t>
  </si>
  <si>
    <t>7380-1780</t>
  </si>
  <si>
    <t xml:space="preserve">     Cap - Loan Financing Fees</t>
  </si>
  <si>
    <t>7385-1411</t>
  </si>
  <si>
    <t xml:space="preserve">     Cap - Building Equipment</t>
  </si>
  <si>
    <t>7390-1423</t>
  </si>
  <si>
    <t xml:space="preserve">     Cap - Office Equipment</t>
  </si>
  <si>
    <t>7395-1433</t>
  </si>
  <si>
    <t xml:space="preserve">     Cap - Computer Equipment</t>
  </si>
  <si>
    <t>7400-1435</t>
  </si>
  <si>
    <t xml:space="preserve">     Cap - Computer Software</t>
  </si>
  <si>
    <t>7405-1425</t>
  </si>
  <si>
    <t xml:space="preserve">     Cap - Furniture &amp; Fixtures</t>
  </si>
  <si>
    <t>7410-1409</t>
  </si>
  <si>
    <t xml:space="preserve">     Cap - Energy</t>
  </si>
  <si>
    <t>7415-1409</t>
  </si>
  <si>
    <t xml:space="preserve">     Cap - Inspection Fees</t>
  </si>
  <si>
    <t>7490-1409</t>
  </si>
  <si>
    <t xml:space="preserve">     Cap - Other</t>
  </si>
  <si>
    <t>7900-1409</t>
  </si>
  <si>
    <t xml:space="preserve">     Cap - Contra - Building Improvements</t>
  </si>
  <si>
    <t>7900-1411</t>
  </si>
  <si>
    <t xml:space="preserve">     Cap - Contra - Building Equipment</t>
  </si>
  <si>
    <t>7900-1413</t>
  </si>
  <si>
    <t xml:space="preserve">     Cap - Contra - Lobby Improvements</t>
  </si>
  <si>
    <t>7900-1415</t>
  </si>
  <si>
    <t xml:space="preserve">     Cap - Contra - Hallway Improvements</t>
  </si>
  <si>
    <t>7900-1417</t>
  </si>
  <si>
    <t xml:space="preserve">     Cap - Contra - Roof Improvements</t>
  </si>
  <si>
    <t>7900-1419</t>
  </si>
  <si>
    <t xml:space="preserve">     Cap - Contra - Fasade Improvements</t>
  </si>
  <si>
    <t>7900-1421</t>
  </si>
  <si>
    <t xml:space="preserve">     Cap - Contra - Building Personal Property</t>
  </si>
  <si>
    <t>7997-9997</t>
  </si>
  <si>
    <t xml:space="preserve"> TOTAL USES OF FUNDS</t>
  </si>
  <si>
    <t>7998-9998</t>
  </si>
  <si>
    <t xml:space="preserve"> NET SOURCES (USES) OF FUNDS</t>
  </si>
  <si>
    <t>7999-9999</t>
  </si>
  <si>
    <t xml:space="preserve"> NET CASH FLOW FOR THIS PERIOD</t>
  </si>
  <si>
    <t xml:space="preserve"> ADJUSTMENTS TO CASH</t>
  </si>
  <si>
    <t>2220-1000</t>
  </si>
  <si>
    <t xml:space="preserve">     Accrued Interest Payable</t>
  </si>
  <si>
    <t>2250-0000</t>
  </si>
  <si>
    <t xml:space="preserve">     Escrow Deposits Payable</t>
  </si>
  <si>
    <t>2255-0000</t>
  </si>
  <si>
    <t xml:space="preserve">     Security Deposits Payable</t>
  </si>
  <si>
    <t>2260-0000</t>
  </si>
  <si>
    <t xml:space="preserve">     Alteration Deposits Payable</t>
  </si>
  <si>
    <t>2265-0000</t>
  </si>
  <si>
    <t xml:space="preserve">     Move In-Out Deposits Payable</t>
  </si>
  <si>
    <t>2265-0005</t>
  </si>
  <si>
    <t xml:space="preserve">     Real Estate Taxes Payable</t>
  </si>
  <si>
    <t>2520-0000</t>
  </si>
  <si>
    <t xml:space="preserve">     Loan Payable</t>
  </si>
  <si>
    <t>2520-2000</t>
  </si>
  <si>
    <t xml:space="preserve">     Loan Payable 2</t>
  </si>
  <si>
    <t>1427-0000</t>
  </si>
  <si>
    <t xml:space="preserve">     Leasehold Improvements</t>
  </si>
  <si>
    <t>1510-0000</t>
  </si>
  <si>
    <t xml:space="preserve">     Loans Receivable</t>
  </si>
  <si>
    <t>1789-0001</t>
  </si>
  <si>
    <t xml:space="preserve">     Transfer to Owners Tax Reserve</t>
  </si>
  <si>
    <t>1789-0002</t>
  </si>
  <si>
    <t xml:space="preserve">     Transfer to Owners Capital Reserve</t>
  </si>
  <si>
    <t>1789-9999</t>
  </si>
  <si>
    <t xml:space="preserve">     Exchange Account</t>
  </si>
  <si>
    <t>2810-5000</t>
  </si>
  <si>
    <t xml:space="preserve">     Stamp Tax</t>
  </si>
  <si>
    <t>1510-0010</t>
  </si>
  <si>
    <t xml:space="preserve">     Loans Receivable - CMS</t>
  </si>
  <si>
    <t>1510-0020</t>
  </si>
  <si>
    <t xml:space="preserve">     Loans Receivable - Shareholders</t>
  </si>
  <si>
    <t>1510-0030</t>
  </si>
  <si>
    <t xml:space="preserve">     Loans to Affiliates</t>
  </si>
  <si>
    <t>1510-0090</t>
  </si>
  <si>
    <t xml:space="preserve">     Loans Receivable - Others</t>
  </si>
  <si>
    <t>1710-0000</t>
  </si>
  <si>
    <t xml:space="preserve">     Deferred Expenses</t>
  </si>
  <si>
    <t>1710-0010</t>
  </si>
  <si>
    <t xml:space="preserve">     Deferred Leasing Exp</t>
  </si>
  <si>
    <t>1755-0000</t>
  </si>
  <si>
    <t xml:space="preserve">     Goodwill</t>
  </si>
  <si>
    <t>1760-0000</t>
  </si>
  <si>
    <t xml:space="preserve">     Non Sufficient Funds</t>
  </si>
  <si>
    <t>1765-0000</t>
  </si>
  <si>
    <t xml:space="preserve">     Organizational Costs</t>
  </si>
  <si>
    <t>1770-0000</t>
  </si>
  <si>
    <t xml:space="preserve">     Acquired Mgmt Contract</t>
  </si>
  <si>
    <t>1770-1000</t>
  </si>
  <si>
    <t xml:space="preserve">     Covenant Not To Compete</t>
  </si>
  <si>
    <t>1770-2000</t>
  </si>
  <si>
    <t xml:space="preserve">     Mgmt Contract Acq Mgmt</t>
  </si>
  <si>
    <t>1775-0000</t>
  </si>
  <si>
    <t xml:space="preserve">     Accumulated Amoritization</t>
  </si>
  <si>
    <t>1775-7500</t>
  </si>
  <si>
    <t xml:space="preserve">     Accum Amort Acquired Mgmt Contr</t>
  </si>
  <si>
    <t>1776-1112</t>
  </si>
  <si>
    <t xml:space="preserve">     Accum. Depreciation- Closing Cost</t>
  </si>
  <si>
    <t>1778-0000</t>
  </si>
  <si>
    <t xml:space="preserve">     Utility Deposits</t>
  </si>
  <si>
    <t>2520-3000</t>
  </si>
  <si>
    <t xml:space="preserve">     Loan Payable - Century Op</t>
  </si>
  <si>
    <t>2520-5000</t>
  </si>
  <si>
    <t xml:space="preserve">     Loan Payable - Shareholder</t>
  </si>
  <si>
    <t>2520-6000</t>
  </si>
  <si>
    <t xml:space="preserve">     Lease Payable</t>
  </si>
  <si>
    <t>1550-0000</t>
  </si>
  <si>
    <t xml:space="preserve">     Mortgage Receivable</t>
  </si>
  <si>
    <t>2600-1000</t>
  </si>
  <si>
    <t xml:space="preserve">     Due To/From Century Operating Corp.</t>
  </si>
  <si>
    <t>2600-2000</t>
  </si>
  <si>
    <t xml:space="preserve">     Due To/From Century Mgmt. Services</t>
  </si>
  <si>
    <t>2600-3000</t>
  </si>
  <si>
    <t xml:space="preserve">     Due To/From Century Mgmt. Services II</t>
  </si>
  <si>
    <t>2600-4000</t>
  </si>
  <si>
    <t xml:space="preserve">     Due To/From Affiliates</t>
  </si>
  <si>
    <t>2600-4010</t>
  </si>
  <si>
    <t>Due to/From Sponsor</t>
  </si>
  <si>
    <t>2600-5000</t>
  </si>
  <si>
    <t xml:space="preserve">     Due To/From Property</t>
  </si>
  <si>
    <t>2600-6000</t>
  </si>
  <si>
    <t xml:space="preserve">     Due To/From Fox Capital Group LLC</t>
  </si>
  <si>
    <t>7040-0000</t>
  </si>
  <si>
    <t xml:space="preserve">     Mitchell Lama Ammortization</t>
  </si>
  <si>
    <t>3000-9994</t>
  </si>
  <si>
    <t xml:space="preserve"> CAPITAL</t>
  </si>
  <si>
    <t>3100-0000</t>
  </si>
  <si>
    <t xml:space="preserve">     Capital Stock</t>
  </si>
  <si>
    <t>3200-0001</t>
  </si>
  <si>
    <t xml:space="preserve">     Capital- Managing Partners</t>
  </si>
  <si>
    <t>3200-0002</t>
  </si>
  <si>
    <t xml:space="preserve">     Capital-Managing Partners 2</t>
  </si>
  <si>
    <t>3200-0003</t>
  </si>
  <si>
    <t xml:space="preserve">     Capital- Managing Partners 3</t>
  </si>
  <si>
    <t>3200-0004</t>
  </si>
  <si>
    <t xml:space="preserve">     Capital- Managing Partners 4</t>
  </si>
  <si>
    <t>3200-0005</t>
  </si>
  <si>
    <t xml:space="preserve">     Capital- Managing Partners 5</t>
  </si>
  <si>
    <t>3201-0000</t>
  </si>
  <si>
    <t xml:space="preserve">     Capital Contribution-Mortgage Amortization</t>
  </si>
  <si>
    <t>3202-0000</t>
  </si>
  <si>
    <t xml:space="preserve">     Capital Assessment</t>
  </si>
  <si>
    <t>3202-0005</t>
  </si>
  <si>
    <t xml:space="preserve">     Working Capital Equity</t>
  </si>
  <si>
    <t>3202-0010</t>
  </si>
  <si>
    <t>Special Reserve Fund</t>
  </si>
  <si>
    <t>3204-0010</t>
  </si>
  <si>
    <t xml:space="preserve">     Equity Refund</t>
  </si>
  <si>
    <t>3210-0000</t>
  </si>
  <si>
    <t xml:space="preserve">     Shareholder Distribution</t>
  </si>
  <si>
    <t>3215-0000</t>
  </si>
  <si>
    <t xml:space="preserve">     Transfer from Prior Agent</t>
  </si>
  <si>
    <t>3204-0000</t>
  </si>
  <si>
    <t>Equity Deposit</t>
  </si>
  <si>
    <t>3200-0000</t>
  </si>
  <si>
    <t>Additional Paid In Capital</t>
  </si>
  <si>
    <t>3400-0000</t>
  </si>
  <si>
    <t>Treasury Stock</t>
  </si>
  <si>
    <t xml:space="preserve">    (Total)</t>
  </si>
  <si>
    <t xml:space="preserve"> TOTAL ADJUSTMENTS</t>
  </si>
  <si>
    <t>ACCOUNT</t>
  </si>
  <si>
    <t xml:space="preserve"> NET CASH FLOW</t>
  </si>
</sst>
</file>

<file path=xl/styles.xml><?xml version="1.0" encoding="utf-8"?>
<styleSheet xmlns="http://schemas.openxmlformats.org/spreadsheetml/2006/main">
  <numFmts count="3">
    <numFmt numFmtId="177" formatCode="0.00_);\(0.00\)"/>
    <numFmt numFmtId="178" formatCode="0_);[Red]\(0\)"/>
    <numFmt numFmtId="179" formatCode="&quot;$&quot;#,##0"/>
  </numFmts>
  <fonts count="11">
    <font>
      <sz val="10"/>
      <name val="Arial"/>
      <family val="2"/>
    </font>
    <font>
      <sz val="8"/>
      <name val="Tahoma"/>
      <family val="2"/>
    </font>
    <font>
      <sz val="9"/>
      <name val="Tahoma"/>
      <family val="0"/>
    </font>
    <font>
      <sz val="9"/>
      <name val="Arial"/>
      <family val="2"/>
    </font>
    <font>
      <sz val="10"/>
      <name val="Tahoma"/>
      <family val="2"/>
    </font>
    <font>
      <b/>
      <sz val="11"/>
      <name val="Tahoma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8"/>
      <color rgb="FF000000"/>
      <name val="Arial"/>
      <family val="2"/>
    </font>
    <font>
      <b/>
      <sz val="9"/>
      <name val="Tahoma"/>
      <family val="2"/>
    </font>
    <font>
      <b/>
      <sz val="10"/>
      <name val="Arial"/>
      <family val="2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double">
        <color rgb="FF000000"/>
      </left>
      <right style="double">
        <color rgb="FF000000"/>
      </right>
      <top style="double">
        <color rgb="FF000000"/>
      </top>
      <bottom>
        <color rgb="FF000000"/>
      </bottom>
    </border>
    <border>
      <left style="double">
        <color rgb="FF000000"/>
      </left>
      <right style="double">
        <color rgb="FF000000"/>
      </right>
      <top>
        <color rgb="FF000000"/>
      </top>
      <bottom>
        <color rgb="FF000000"/>
      </bottom>
    </border>
    <border>
      <left style="double">
        <color rgb="FF000000"/>
      </left>
      <right style="double">
        <color rgb="FF000000"/>
      </right>
      <top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 style="thin"/>
      <bottom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 quotePrefix="1">
      <alignment/>
    </xf>
    <xf numFmtId="0" fontId="1" fillId="2" borderId="0" xfId="0" applyFont="1" applyFill="1" applyAlignment="1" quotePrefix="1">
      <alignment/>
    </xf>
    <xf numFmtId="0" fontId="0" fillId="2" borderId="0" xfId="0" applyFill="1" applyAlignment="1">
      <alignment/>
    </xf>
    <xf numFmtId="0" fontId="3" fillId="2" borderId="0" xfId="0" applyFont="1" applyFill="1" applyAlignment="1">
      <alignment horizontal="right"/>
    </xf>
    <xf numFmtId="0" fontId="2" fillId="4" borderId="0" xfId="0" applyFont="1" applyFill="1" applyAlignment="1">
      <alignment/>
    </xf>
    <xf numFmtId="0" fontId="2" fillId="5" borderId="0" xfId="0" applyFont="1" applyFill="1" applyAlignment="1">
      <alignment/>
    </xf>
    <xf numFmtId="49" fontId="0" fillId="2" borderId="0" xfId="0" applyNumberFormat="1" applyFill="1" applyAlignment="1">
      <alignment/>
    </xf>
    <xf numFmtId="49" fontId="3" fillId="2" borderId="0" xfId="0" applyNumberFormat="1" applyFont="1" applyFill="1" applyAlignment="1">
      <alignment horizontal="right"/>
    </xf>
    <xf numFmtId="0" fontId="2" fillId="6" borderId="1" xfId="0" applyFont="1" applyFill="1" applyBorder="1" applyAlignment="1">
      <alignment/>
    </xf>
    <xf numFmtId="0" fontId="2" fillId="7" borderId="0" xfId="0" applyFont="1" applyFill="1" applyAlignment="1">
      <alignment/>
    </xf>
    <xf numFmtId="0" fontId="1" fillId="7" borderId="0" xfId="0" applyFont="1" applyFill="1" applyAlignment="1">
      <alignment/>
    </xf>
    <xf numFmtId="49" fontId="3" fillId="2" borderId="2" xfId="0" applyNumberFormat="1" applyFont="1" applyFill="1" applyBorder="1" applyAlignment="1">
      <alignment horizontal="center"/>
    </xf>
    <xf numFmtId="177" fontId="3" fillId="2" borderId="2" xfId="0" applyNumberFormat="1" applyFont="1" applyFill="1" applyBorder="1" applyAlignment="1">
      <alignment/>
    </xf>
    <xf numFmtId="177" fontId="3" fillId="2" borderId="0" xfId="0" applyNumberFormat="1" applyFont="1" applyFill="1" applyAlignment="1">
      <alignment/>
    </xf>
    <xf numFmtId="177" fontId="3" fillId="2" borderId="0" xfId="0" applyNumberFormat="1" applyFont="1" applyFill="1" applyAlignment="1">
      <alignment horizontal="center"/>
    </xf>
    <xf numFmtId="177" fontId="0" fillId="2" borderId="0" xfId="0" applyNumberFormat="1" applyFill="1" applyAlignment="1">
      <alignment/>
    </xf>
    <xf numFmtId="49" fontId="3" fillId="2" borderId="3" xfId="0" applyNumberFormat="1" applyFont="1" applyFill="1" applyBorder="1" applyAlignment="1">
      <alignment/>
    </xf>
    <xf numFmtId="177" fontId="3" fillId="2" borderId="3" xfId="0" applyNumberFormat="1" applyFont="1" applyFill="1" applyBorder="1" applyAlignment="1">
      <alignment horizontal="left"/>
    </xf>
    <xf numFmtId="0" fontId="0" fillId="0" borderId="0" xfId="0" applyFill="1" applyAlignment="1">
      <alignment/>
    </xf>
    <xf numFmtId="49" fontId="3" fillId="2" borderId="0" xfId="0" applyNumberFormat="1" applyFont="1" applyFill="1" applyBorder="1" applyAlignment="1">
      <alignment/>
    </xf>
    <xf numFmtId="0" fontId="4" fillId="0" borderId="0" xfId="0" applyFont="1" applyFill="1" applyAlignment="1">
      <alignment/>
    </xf>
    <xf numFmtId="0" fontId="4" fillId="8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/>
    </xf>
    <xf numFmtId="0" fontId="5" fillId="0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49" fontId="2" fillId="2" borderId="0" xfId="0" applyNumberFormat="1" applyFont="1" applyFill="1" applyAlignment="1">
      <alignment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/>
    </xf>
    <xf numFmtId="0" fontId="0" fillId="0" borderId="0" xfId="0" applyFont="1" applyAlignment="1">
      <alignment/>
    </xf>
    <xf numFmtId="38" fontId="7" fillId="10" borderId="4" xfId="0" applyNumberFormat="1" applyFont="1" applyFill="1" applyBorder="1" applyAlignment="1">
      <alignment/>
    </xf>
    <xf numFmtId="38" fontId="8" fillId="10" borderId="4" xfId="0" applyNumberFormat="1" applyFont="1" applyFill="1" applyBorder="1" applyAlignment="1">
      <alignment horizontal="center" vertical="center" wrapText="1" shrinkToFit="1"/>
    </xf>
    <xf numFmtId="38" fontId="7" fillId="10" borderId="4" xfId="0" applyNumberFormat="1" applyFont="1" applyFill="1" applyBorder="1" applyAlignment="1">
      <alignment horizontal="center"/>
    </xf>
    <xf numFmtId="178" fontId="7" fillId="10" borderId="4" xfId="0" applyNumberFormat="1" applyFont="1" applyFill="1" applyBorder="1" applyAlignment="1" applyProtection="1">
      <alignment horizontal="center"/>
      <protection/>
    </xf>
    <xf numFmtId="178" fontId="7" fillId="10" borderId="5" xfId="0" applyNumberFormat="1" applyFont="1" applyFill="1" applyBorder="1" applyAlignment="1" applyProtection="1">
      <alignment horizontal="center"/>
      <protection/>
    </xf>
    <xf numFmtId="38" fontId="8" fillId="10" borderId="5" xfId="0" applyNumberFormat="1" applyFont="1" applyFill="1" applyBorder="1" applyAlignment="1">
      <alignment horizontal="center" vertical="center" wrapText="1" shrinkToFit="1"/>
    </xf>
    <xf numFmtId="38" fontId="7" fillId="11" borderId="6" xfId="0" applyNumberFormat="1" applyFont="1" applyFill="1" applyBorder="1" applyAlignment="1">
      <alignment horizontal="center"/>
    </xf>
    <xf numFmtId="38" fontId="8" fillId="11" borderId="6" xfId="0" applyNumberFormat="1" applyFont="1" applyFill="1" applyBorder="1" applyAlignment="1">
      <alignment horizontal="center" vertical="center"/>
    </xf>
    <xf numFmtId="38" fontId="7" fillId="12" borderId="7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38" fontId="7" fillId="0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/>
    </xf>
    <xf numFmtId="0" fontId="2" fillId="13" borderId="0" xfId="0" applyFont="1" applyFill="1" applyAlignment="1">
      <alignment horizontal="left"/>
    </xf>
    <xf numFmtId="179" fontId="2" fillId="13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2" fontId="0" fillId="0" borderId="0" xfId="0" applyNumberFormat="1" applyFont="1" applyAlignment="1">
      <alignment/>
    </xf>
    <xf numFmtId="0" fontId="1" fillId="0" borderId="0" xfId="0" applyFont="1" applyFill="1" applyAlignment="1">
      <alignment/>
    </xf>
    <xf numFmtId="49" fontId="1" fillId="2" borderId="0" xfId="0" applyNumberFormat="1" applyFont="1" applyFill="1" applyAlignment="1">
      <alignment/>
    </xf>
    <xf numFmtId="0" fontId="3" fillId="0" borderId="0" xfId="0" applyFont="1" applyFill="1" applyAlignment="1">
      <alignment/>
    </xf>
    <xf numFmtId="39" fontId="1" fillId="0" borderId="0" xfId="0" applyNumberFormat="1" applyFont="1" applyAlignment="1">
      <alignment/>
    </xf>
    <xf numFmtId="0" fontId="9" fillId="13" borderId="8" xfId="0" applyFont="1" applyFill="1" applyBorder="1" applyAlignment="1">
      <alignment horizontal="left"/>
    </xf>
    <xf numFmtId="179" fontId="9" fillId="13" borderId="8" xfId="0" applyNumberFormat="1" applyFont="1" applyFill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2" fontId="10" fillId="0" borderId="8" xfId="0" applyNumberFormat="1" applyFont="1" applyBorder="1" applyAlignment="1">
      <alignment/>
    </xf>
    <xf numFmtId="0" fontId="9" fillId="13" borderId="0" xfId="0" applyFont="1" applyFill="1" applyAlignment="1">
      <alignment horizontal="left"/>
    </xf>
    <xf numFmtId="179" fontId="9" fillId="13" borderId="0" xfId="0" applyNumberFormat="1" applyFont="1" applyFill="1" applyAlignment="1">
      <alignment horizontal="right"/>
    </xf>
    <xf numFmtId="1" fontId="9" fillId="0" borderId="0" xfId="0" applyNumberFormat="1" applyFont="1" applyAlignment="1">
      <alignment horizontal="right"/>
    </xf>
    <xf numFmtId="2" fontId="10" fillId="0" borderId="0" xfId="0" applyNumberFormat="1" applyFont="1" applyAlignment="1">
      <alignment/>
    </xf>
    <xf numFmtId="0" fontId="2" fillId="13" borderId="8" xfId="0" applyFont="1" applyFill="1" applyBorder="1" applyAlignment="1">
      <alignment horizontal="left"/>
    </xf>
    <xf numFmtId="179" fontId="2" fillId="13" borderId="8" xfId="0" applyNumberFormat="1" applyFont="1" applyFill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2" fontId="0" fillId="0" borderId="8" xfId="0" applyNumberFormat="1" applyFont="1" applyBorder="1" applyAlignment="1">
      <alignment/>
    </xf>
    <xf numFmtId="0" fontId="9" fillId="13" borderId="9" xfId="0" applyFont="1" applyFill="1" applyBorder="1" applyAlignment="1">
      <alignment horizontal="left"/>
    </xf>
    <xf numFmtId="179" fontId="9" fillId="13" borderId="9" xfId="0" applyNumberFormat="1" applyFont="1" applyFill="1" applyBorder="1" applyAlignment="1">
      <alignment horizontal="right"/>
    </xf>
    <xf numFmtId="1" fontId="9" fillId="0" borderId="9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/>
    </xf>
    <xf numFmtId="0" fontId="1" fillId="2" borderId="0" xfId="0" applyNumberFormat="1" applyFont="1" applyFill="1" applyAlignment="1">
      <alignment/>
    </xf>
    <xf numFmtId="0" fontId="0" fillId="2" borderId="0" xfId="0" applyNumberFormat="1" applyFill="1" applyAlignment="1">
      <alignment/>
    </xf>
    <xf numFmtId="0" fontId="4" fillId="8" borderId="0" xfId="0" applyNumberFormat="1" applyFont="1" applyFill="1" applyAlignment="1">
      <alignment horizontal="center"/>
    </xf>
    <xf numFmtId="0" fontId="4" fillId="9" borderId="0" xfId="0" applyNumberFormat="1" applyFont="1" applyFill="1" applyAlignment="1">
      <alignment horizontal="center"/>
    </xf>
    <xf numFmtId="0" fontId="2" fillId="9" borderId="0" xfId="0" applyNumberFormat="1" applyFont="1" applyFill="1" applyAlignment="1">
      <alignment horizontal="center"/>
    </xf>
    <xf numFmtId="0" fontId="0" fillId="0" borderId="0" xfId="0" applyNumberFormat="1" applyFont="1" applyAlignment="1">
      <alignment/>
    </xf>
    <xf numFmtId="0" fontId="10" fillId="0" borderId="8" xfId="0" applyNumberFormat="1" applyFont="1" applyBorder="1" applyAlignment="1">
      <alignment/>
    </xf>
    <xf numFmtId="0" fontId="10" fillId="0" borderId="0" xfId="0" applyNumberFormat="1" applyFont="1" applyAlignment="1">
      <alignment/>
    </xf>
    <xf numFmtId="0" fontId="0" fillId="0" borderId="8" xfId="0" applyNumberFormat="1" applyFont="1" applyBorder="1" applyAlignment="1">
      <alignment/>
    </xf>
    <xf numFmtId="0" fontId="10" fillId="0" borderId="9" xfId="0" applyNumberFormat="1" applyFont="1" applyBorder="1" applyAlignment="1">
      <alignment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0000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2"/>
  <sheetViews>
    <sheetView tabSelected="1" zoomScalePageLayoutView="0" workbookViewId="0" topLeftCell="A1">
      <selection pane="topLeft" activeCell="B7" sqref="B7"/>
    </sheetView>
  </sheetViews>
  <sheetFormatPr defaultColWidth="9.14428571428571" defaultRowHeight="10.5"/>
  <cols>
    <col min="1" max="1" width="18.7142857142857" style="52" hidden="1" customWidth="1"/>
    <col min="2" max="2" width="28.2857142857143" style="1" customWidth="1"/>
    <col min="3" max="3" width="45" style="1" customWidth="1"/>
    <col min="4" max="4" width="13.7142857142857" style="1" customWidth="1"/>
    <col min="5" max="5" width="11.2857142857143" style="1" customWidth="1"/>
    <col min="6" max="6" width="13" style="1" customWidth="1"/>
    <col min="7" max="7" width="15.8571428571429" style="1" customWidth="1"/>
    <col min="8" max="8" width="12.5714285714286" style="1" customWidth="1"/>
    <col min="9" max="9" width="9.71428571428571" style="1" customWidth="1"/>
    <col min="10" max="10" width="12.8571428571429" style="81" hidden="1" customWidth="1"/>
    <col min="11" max="11" width="9.14285714285714" style="1" hidden="1" customWidth="1"/>
    <col min="12" max="16384" width="9.14285714285714" style="1" customWidth="1"/>
    <col min="257" max="16384" width="9.14285714285714" style="1" customWidth="1"/>
  </cols>
  <sheetData>
    <row r="1" spans="1:10" s="2" customFormat="1" ht="12.75" hidden="1">
      <c r="A1" s="3" t="s">
        <v>0</v>
      </c>
      <c r="B1" s="4"/>
      <c r="C1" s="5" t="s">
        <v>1</v>
      </c>
      <c r="D1" s="6" t="s">
        <v>2</v>
      </c>
      <c r="E1" s="6" t="s">
        <v>3</v>
      </c>
      <c r="F1" s="4"/>
      <c r="G1" s="4" t="s">
        <v>4</v>
      </c>
      <c r="H1" s="7"/>
      <c r="I1" s="4"/>
      <c r="J1" s="71"/>
    </row>
    <row r="2" spans="1:11" s="8" customFormat="1" ht="12.75" hidden="1">
      <c r="A2" s="9"/>
      <c r="B2" s="10" t="s">
        <v>7</v>
      </c>
      <c r="C2" s="11" t="s">
        <v>7</v>
      </c>
      <c r="D2" s="11"/>
      <c r="E2" s="4"/>
      <c r="F2" s="4"/>
      <c r="G2" s="4"/>
      <c r="H2" s="2"/>
      <c r="I2" s="2"/>
      <c r="J2" s="72"/>
      <c r="K2" s="8"/>
    </row>
    <row r="3" spans="1:11" s="12" customFormat="1" ht="12.75" hidden="1">
      <c r="A3" s="13"/>
      <c r="B3" s="14" t="s">
        <v>11</v>
      </c>
      <c r="C3" s="15" t="s">
        <v>11</v>
      </c>
      <c r="D3" s="15"/>
      <c r="E3" s="15"/>
      <c r="F3" s="15"/>
      <c r="G3" s="15"/>
      <c r="H3" s="16"/>
      <c r="I3" s="16"/>
      <c r="J3" s="72"/>
      <c r="K3" s="12"/>
    </row>
    <row r="4" spans="1:10" s="8" customFormat="1" ht="12.75" hidden="1">
      <c r="A4" s="17" t="s">
        <v>12</v>
      </c>
      <c r="B4" s="18" t="s">
        <v>13</v>
      </c>
      <c r="C4" s="19"/>
      <c r="D4" s="20"/>
      <c r="E4" s="20"/>
      <c r="G4" s="21"/>
      <c r="H4" s="21"/>
      <c r="I4" s="21"/>
      <c r="J4" s="72"/>
    </row>
    <row r="5" spans="1:10" s="8" customFormat="1" ht="12.75" hidden="1">
      <c r="A5" s="22" t="s">
        <v>14</v>
      </c>
      <c r="B5" s="23" t="s">
        <v>15</v>
      </c>
      <c r="C5" s="19"/>
      <c r="D5" s="4" t="e">
        <f>TEXT(MonthAdd($D$1,-MOD(MONTH($D$1)-1,3)),"mm/dd/yyyy")</f>
        <v>#NAME?</v>
      </c>
      <c r="E5" s="4" t="e">
        <f>TEXT(MonthAdd($E$1,-MOD(MONTH($E$1)-1,3)),"mm/dd/yyyy")</f>
        <v>#NAME?</v>
      </c>
      <c r="G5" s="21"/>
      <c r="H5" s="21"/>
      <c r="I5" s="21"/>
      <c r="J5" s="72"/>
    </row>
    <row r="6" spans="1:10" s="24" customFormat="1" ht="12.75">
      <c r="A6" s="25"/>
      <c r="B6" s="26"/>
      <c r="C6" s="26"/>
      <c r="D6" s="26"/>
      <c r="E6" s="26"/>
      <c r="F6" s="26"/>
      <c r="G6" s="26"/>
      <c r="H6" s="26"/>
      <c r="I6" s="26"/>
      <c r="J6" s="73" t="s">
        <v>12</v>
      </c>
    </row>
    <row r="7" spans="1:10" s="24" customFormat="1" ht="14.25">
      <c r="A7" s="28"/>
      <c r="B7" s="29"/>
      <c r="C7" s="29"/>
      <c r="D7" s="29"/>
      <c r="E7" s="29"/>
      <c r="F7" s="29"/>
      <c r="G7" s="29"/>
      <c r="H7" s="29"/>
      <c r="I7" s="29"/>
      <c r="J7" s="74">
        <v>1</v>
      </c>
    </row>
    <row r="8" spans="1:10" ht="14.25">
      <c r="A8" s="31"/>
      <c r="B8" s="32"/>
      <c r="C8" s="32"/>
      <c r="D8" s="32"/>
      <c r="E8" s="32"/>
      <c r="F8" s="32"/>
      <c r="G8" s="32"/>
      <c r="H8" s="32"/>
      <c r="I8" s="32"/>
      <c r="J8" s="74">
        <v>1</v>
      </c>
    </row>
    <row r="9" spans="1:10" s="33" customFormat="1" ht="14.25">
      <c r="A9" s="31"/>
      <c r="B9" s="29"/>
      <c r="C9" s="29"/>
      <c r="D9" s="29"/>
      <c r="E9" s="29"/>
      <c r="F9" s="29"/>
      <c r="G9" s="29"/>
      <c r="H9" s="29"/>
      <c r="I9" s="29"/>
      <c r="J9" s="74">
        <v>1</v>
      </c>
    </row>
    <row r="10" spans="1:10" s="34" customFormat="1" ht="9" customHeight="1">
      <c r="A10" s="31"/>
      <c r="B10" s="29"/>
      <c r="C10" s="29"/>
      <c r="D10" s="29"/>
      <c r="E10" s="29"/>
      <c r="F10" s="29"/>
      <c r="G10" s="29"/>
      <c r="H10" s="29"/>
      <c r="I10" s="29"/>
      <c r="J10" s="74">
        <v>1</v>
      </c>
    </row>
    <row r="11" spans="1:10" s="34" customFormat="1" ht="14.25" customHeight="1">
      <c r="A11" s="31"/>
      <c r="B11" s="35"/>
      <c r="C11" s="36" t="s">
        <v>36</v>
      </c>
      <c r="D11" s="35"/>
      <c r="E11" s="35"/>
      <c r="F11" s="37" t="s">
        <v>16</v>
      </c>
      <c r="G11" s="37" t="s">
        <v>16</v>
      </c>
      <c r="H11" s="38">
        <f>YEAR($E$1)</f>
        <v>2026</v>
      </c>
      <c r="I11" s="29"/>
      <c r="J11" s="74">
        <v>1</v>
      </c>
    </row>
    <row r="12" spans="1:10" s="34" customFormat="1" ht="24" customHeight="1">
      <c r="A12" s="31"/>
      <c r="B12" s="39"/>
      <c r="C12" s="40"/>
      <c r="D12" s="39">
        <f>YEAR($E$1)-2</f>
        <v>2024</v>
      </c>
      <c r="E12" s="39">
        <f>YEAR($E$1)-1</f>
        <v>2025</v>
      </c>
      <c r="F12" s="39" t="str">
        <f>TEXT($D$1,"MM/YYYY")</f>
        <v>02/2026</v>
      </c>
      <c r="G12" s="39" t="str">
        <f>TEXT($D$1,"MM/YYYY")</f>
        <v>02/2026</v>
      </c>
      <c r="H12" s="39" t="s">
        <v>17</v>
      </c>
      <c r="I12" s="29"/>
      <c r="J12" s="74">
        <v>1</v>
      </c>
    </row>
    <row r="13" spans="1:10" s="34" customFormat="1" ht="34.5" customHeight="1">
      <c r="A13" s="31"/>
      <c r="B13" s="41" t="s">
        <v>18</v>
      </c>
      <c r="C13" s="42" t="str">
        <f>"Budget "&amp;TEXT($H$12,"0000")</f>
        <v>Budget Budget</v>
      </c>
      <c r="D13" s="41" t="s">
        <v>19</v>
      </c>
      <c r="E13" s="41" t="s">
        <v>19</v>
      </c>
      <c r="F13" s="43" t="s">
        <v>19</v>
      </c>
      <c r="G13" s="43" t="s">
        <v>20</v>
      </c>
      <c r="H13" s="43" t="s">
        <v>21</v>
      </c>
      <c r="I13" s="29"/>
      <c r="J13" s="75">
        <v>1</v>
      </c>
    </row>
    <row r="14" spans="1:10" s="34" customFormat="1" ht="13.5">
      <c r="A14" s="31"/>
      <c r="B14" s="45"/>
      <c r="C14" s="45"/>
      <c r="D14" s="45"/>
      <c r="E14" s="45"/>
      <c r="F14" s="45"/>
      <c r="G14" s="45"/>
      <c r="H14" s="45"/>
      <c r="I14" s="34"/>
      <c r="J14" s="76"/>
    </row>
    <row r="15" spans="1:10" s="34" customFormat="1" ht="12.75">
      <c r="A15" s="46"/>
      <c r="B15" s="47"/>
      <c r="C15" s="47"/>
      <c r="D15" s="48"/>
      <c r="E15" s="48"/>
      <c r="F15" s="48"/>
      <c r="G15" s="48"/>
      <c r="H15" s="48"/>
      <c r="I15" s="49"/>
      <c r="J15" s="76"/>
    </row>
    <row r="16" spans="1:11" s="34" customFormat="1" ht="12.75" hidden="1">
      <c r="A16" s="46" t="s">
        <v>22</v>
      </c>
      <c r="B16" s="47" t="s">
        <v>37</v>
      </c>
      <c r="C16" s="47" t="s">
        <v>38</v>
      </c>
      <c r="D16" s="48" t="s">
        <v>1</v>
      </c>
      <c r="E16" s="48" t="s">
        <v>1</v>
      </c>
      <c r="F16" s="48" t="s">
        <v>1</v>
      </c>
      <c r="G16" s="48" t="s">
        <v>1</v>
      </c>
      <c r="H16" s="48" t="s">
        <v>1</v>
      </c>
      <c r="I16" s="49"/>
      <c r="J16" s="76">
        <v>1</v>
      </c>
      <c r="K16" s="34">
        <v>1788522</v>
      </c>
    </row>
    <row r="17" spans="1:10" s="34" customFormat="1" ht="12.75">
      <c r="A17" s="46"/>
      <c r="B17" s="47"/>
      <c r="C17" s="47"/>
      <c r="D17" s="48"/>
      <c r="E17" s="48"/>
      <c r="F17" s="48"/>
      <c r="G17" s="48"/>
      <c r="H17" s="48"/>
      <c r="I17" s="49"/>
      <c r="J17" s="76"/>
    </row>
    <row r="18" spans="1:11" s="34" customFormat="1" ht="12.75" hidden="1">
      <c r="A18" s="46" t="s">
        <v>22</v>
      </c>
      <c r="B18" s="47" t="s">
        <v>37</v>
      </c>
      <c r="C18" s="47" t="s">
        <v>39</v>
      </c>
      <c r="D18" s="48" t="s">
        <v>1</v>
      </c>
      <c r="E18" s="48" t="s">
        <v>1</v>
      </c>
      <c r="F18" s="48" t="s">
        <v>1</v>
      </c>
      <c r="G18" s="48" t="s">
        <v>1</v>
      </c>
      <c r="H18" s="48" t="s">
        <v>1</v>
      </c>
      <c r="I18" s="49"/>
      <c r="J18" s="76">
        <v>1</v>
      </c>
      <c r="K18" s="34">
        <v>1788523</v>
      </c>
    </row>
    <row r="19" spans="1:10" s="34" customFormat="1" ht="12.75">
      <c r="A19" s="46"/>
      <c r="B19" s="47"/>
      <c r="C19" s="47"/>
      <c r="D19" s="48"/>
      <c r="E19" s="48"/>
      <c r="F19" s="48"/>
      <c r="G19" s="48"/>
      <c r="H19" s="48"/>
      <c r="I19" s="49"/>
      <c r="J19" s="76"/>
    </row>
    <row r="20" spans="1:11" s="34" customFormat="1" ht="12.75">
      <c r="A20" s="46" t="s">
        <v>8</v>
      </c>
      <c r="B20" s="55" t="s">
        <v>40</v>
      </c>
      <c r="C20" s="55" t="s">
        <v>41</v>
      </c>
      <c r="D20" s="56" t="s">
        <v>1</v>
      </c>
      <c r="E20" s="56" t="s">
        <v>1</v>
      </c>
      <c r="F20" s="56" t="s">
        <v>1</v>
      </c>
      <c r="G20" s="56" t="s">
        <v>1</v>
      </c>
      <c r="H20" s="56" t="s">
        <v>1</v>
      </c>
      <c r="I20" s="57"/>
      <c r="J20" s="77">
        <v>1</v>
      </c>
      <c r="K20" s="34">
        <v>1788524</v>
      </c>
    </row>
    <row r="21" spans="1:10" s="34" customFormat="1" ht="12.75">
      <c r="A21" s="46"/>
      <c r="B21" s="47"/>
      <c r="C21" s="47"/>
      <c r="D21" s="48"/>
      <c r="E21" s="48"/>
      <c r="F21" s="48"/>
      <c r="G21" s="48"/>
      <c r="H21" s="48"/>
      <c r="I21" s="49"/>
      <c r="J21" s="76"/>
    </row>
    <row r="22" spans="1:11" s="34" customFormat="1" ht="12.75">
      <c r="A22" s="46" t="s">
        <v>10</v>
      </c>
      <c r="B22" s="59" t="s">
        <v>42</v>
      </c>
      <c r="C22" s="59" t="s">
        <v>43</v>
      </c>
      <c r="D22" s="60" t="s">
        <v>1</v>
      </c>
      <c r="E22" s="60" t="s">
        <v>1</v>
      </c>
      <c r="F22" s="60" t="s">
        <v>1</v>
      </c>
      <c r="G22" s="60" t="s">
        <v>1</v>
      </c>
      <c r="H22" s="60" t="s">
        <v>1</v>
      </c>
      <c r="I22" s="61"/>
      <c r="J22" s="78">
        <v>1</v>
      </c>
      <c r="K22" s="34">
        <v>1788525</v>
      </c>
    </row>
    <row r="23" spans="1:11" s="34" customFormat="1" ht="12.75">
      <c r="A23" s="46" t="s">
        <v>9</v>
      </c>
      <c r="B23" s="47" t="s">
        <v>44</v>
      </c>
      <c r="C23" s="47" t="s">
        <v>45</v>
      </c>
      <c r="D23" s="48">
        <v>4654760.32</v>
      </c>
      <c r="E23" s="48">
        <v>4783840.77</v>
      </c>
      <c r="F23" s="48">
        <v>837832.91</v>
      </c>
      <c r="G23" s="48">
        <v>829841.16</v>
      </c>
      <c r="H23" s="48">
        <v>4979047</v>
      </c>
      <c r="I23" s="49"/>
      <c r="J23" s="76">
        <f>ABS(D23)+ABS(E23)+ABS(F23)+ABS(G23)+ABS(H23)</f>
        <v>16085322.16</v>
      </c>
      <c r="K23" s="34">
        <v>1788526</v>
      </c>
    </row>
    <row r="24" spans="1:11" s="34" customFormat="1" ht="12.75" hidden="1">
      <c r="A24" s="46" t="s">
        <v>9</v>
      </c>
      <c r="B24" s="47" t="s">
        <v>46</v>
      </c>
      <c r="C24" s="47" t="s">
        <v>47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9"/>
      <c r="J24" s="76">
        <f>ABS(D24)+ABS(E24)+ABS(F24)+ABS(G24)+ABS(H24)</f>
        <v>0</v>
      </c>
      <c r="K24" s="34">
        <v>1788527</v>
      </c>
    </row>
    <row r="25" spans="1:11" s="34" customFormat="1" ht="12.75" hidden="1">
      <c r="A25" s="46" t="s">
        <v>9</v>
      </c>
      <c r="B25" s="47" t="s">
        <v>48</v>
      </c>
      <c r="C25" s="47" t="s">
        <v>49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9"/>
      <c r="J25" s="76">
        <f>ABS(D25)+ABS(E25)+ABS(F25)+ABS(G25)+ABS(H25)</f>
        <v>0</v>
      </c>
      <c r="K25" s="34">
        <v>1788528</v>
      </c>
    </row>
    <row r="26" spans="1:11" s="34" customFormat="1" ht="12.75" hidden="1">
      <c r="A26" s="46" t="s">
        <v>9</v>
      </c>
      <c r="B26" s="47" t="s">
        <v>50</v>
      </c>
      <c r="C26" s="47" t="s">
        <v>51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9"/>
      <c r="J26" s="76">
        <f>ABS(D26)+ABS(E26)+ABS(F26)+ABS(G26)+ABS(H26)</f>
        <v>0</v>
      </c>
      <c r="K26" s="34">
        <v>1788529</v>
      </c>
    </row>
    <row r="27" spans="1:11" s="34" customFormat="1" ht="12.75" hidden="1">
      <c r="A27" s="46" t="s">
        <v>9</v>
      </c>
      <c r="B27" s="47" t="s">
        <v>52</v>
      </c>
      <c r="C27" s="47" t="s">
        <v>53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9"/>
      <c r="J27" s="76">
        <f>ABS(D27)+ABS(E27)+ABS(F27)+ABS(G27)+ABS(H27)</f>
        <v>0</v>
      </c>
      <c r="K27" s="34">
        <v>1788530</v>
      </c>
    </row>
    <row r="28" spans="1:11" s="34" customFormat="1" ht="12.75" hidden="1">
      <c r="A28" s="46" t="s">
        <v>5</v>
      </c>
      <c r="B28" s="47" t="s">
        <v>54</v>
      </c>
      <c r="C28" s="47" t="s">
        <v>55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9"/>
      <c r="J28" s="76">
        <f>ABS(D28)+ABS(E28)+ABS(F28)+ABS(G28)+ABS(H28)</f>
        <v>0</v>
      </c>
      <c r="K28" s="34">
        <v>1788531</v>
      </c>
    </row>
    <row r="29" spans="1:11" s="34" customFormat="1" ht="12.75" hidden="1">
      <c r="A29" s="46" t="s">
        <v>9</v>
      </c>
      <c r="B29" s="47" t="s">
        <v>56</v>
      </c>
      <c r="C29" s="47" t="s">
        <v>57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9"/>
      <c r="J29" s="76">
        <f>ABS(D29)+ABS(E29)+ABS(F29)+ABS(G29)+ABS(H29)</f>
        <v>0</v>
      </c>
      <c r="K29" s="34">
        <v>1788532</v>
      </c>
    </row>
    <row r="30" spans="1:11" s="34" customFormat="1" ht="12.75" hidden="1">
      <c r="A30" s="46" t="s">
        <v>9</v>
      </c>
      <c r="B30" s="47" t="s">
        <v>58</v>
      </c>
      <c r="C30" s="47" t="s">
        <v>59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9"/>
      <c r="J30" s="76">
        <f>ABS(D30)+ABS(E30)+ABS(F30)+ABS(G30)+ABS(H30)</f>
        <v>0</v>
      </c>
      <c r="K30" s="34">
        <v>1788533</v>
      </c>
    </row>
    <row r="31" spans="1:11" s="34" customFormat="1" ht="12.75" hidden="1">
      <c r="A31" s="46" t="s">
        <v>9</v>
      </c>
      <c r="B31" s="47" t="s">
        <v>60</v>
      </c>
      <c r="C31" s="47" t="s">
        <v>61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9"/>
      <c r="J31" s="76">
        <f>ABS(D31)+ABS(E31)+ABS(F31)+ABS(G31)+ABS(H31)</f>
        <v>0</v>
      </c>
      <c r="K31" s="34">
        <v>1788534</v>
      </c>
    </row>
    <row r="32" spans="1:11" s="34" customFormat="1" ht="12.75">
      <c r="A32" s="46" t="s">
        <v>9</v>
      </c>
      <c r="B32" s="47" t="s">
        <v>62</v>
      </c>
      <c r="C32" s="47" t="s">
        <v>63</v>
      </c>
      <c r="D32" s="48">
        <v>416936.29</v>
      </c>
      <c r="E32" s="48">
        <v>428827.54</v>
      </c>
      <c r="F32" s="48">
        <v>71817.56</v>
      </c>
      <c r="G32" s="48">
        <v>72160.66</v>
      </c>
      <c r="H32" s="48">
        <v>432964</v>
      </c>
      <c r="I32" s="49"/>
      <c r="J32" s="76">
        <f>ABS(D32)+ABS(E32)+ABS(F32)+ABS(G32)+ABS(H32)</f>
        <v>1422706.05</v>
      </c>
      <c r="K32" s="34">
        <v>1788535</v>
      </c>
    </row>
    <row r="33" spans="1:11" s="34" customFormat="1" ht="12.75" hidden="1">
      <c r="A33" s="46" t="s">
        <v>9</v>
      </c>
      <c r="B33" s="47" t="s">
        <v>64</v>
      </c>
      <c r="C33" s="47" t="s">
        <v>65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9"/>
      <c r="J33" s="76">
        <f>ABS(D33)+ABS(E33)+ABS(F33)+ABS(G33)+ABS(H33)</f>
        <v>0</v>
      </c>
      <c r="K33" s="34">
        <v>1788536</v>
      </c>
    </row>
    <row r="34" spans="1:11" s="34" customFormat="1" ht="12.75" hidden="1">
      <c r="A34" s="46" t="s">
        <v>9</v>
      </c>
      <c r="B34" s="47" t="s">
        <v>66</v>
      </c>
      <c r="C34" s="47" t="s">
        <v>67</v>
      </c>
      <c r="D34" s="48">
        <v>0</v>
      </c>
      <c r="E34" s="48">
        <v>0</v>
      </c>
      <c r="F34" s="48">
        <v>0</v>
      </c>
      <c r="G34" s="48">
        <v>0</v>
      </c>
      <c r="H34" s="48">
        <v>0</v>
      </c>
      <c r="I34" s="49"/>
      <c r="J34" s="76">
        <f>ABS(D34)+ABS(E34)+ABS(F34)+ABS(G34)+ABS(H34)</f>
        <v>0</v>
      </c>
      <c r="K34" s="34">
        <v>1788537</v>
      </c>
    </row>
    <row r="35" spans="1:11" s="34" customFormat="1" ht="12.75" hidden="1">
      <c r="A35" s="46" t="s">
        <v>9</v>
      </c>
      <c r="B35" s="47" t="s">
        <v>68</v>
      </c>
      <c r="C35" s="47" t="s">
        <v>69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9"/>
      <c r="J35" s="76">
        <f>ABS(D35)+ABS(E35)+ABS(F35)+ABS(G35)+ABS(H35)</f>
        <v>0</v>
      </c>
      <c r="K35" s="34">
        <v>1788538</v>
      </c>
    </row>
    <row r="36" spans="1:11" s="34" customFormat="1" ht="12.75" hidden="1">
      <c r="A36" s="46" t="s">
        <v>9</v>
      </c>
      <c r="B36" s="47" t="s">
        <v>70</v>
      </c>
      <c r="C36" s="47" t="s">
        <v>71</v>
      </c>
      <c r="D36" s="48">
        <v>0</v>
      </c>
      <c r="E36" s="48">
        <v>0</v>
      </c>
      <c r="F36" s="48">
        <v>0</v>
      </c>
      <c r="G36" s="48">
        <v>0</v>
      </c>
      <c r="H36" s="48">
        <v>0</v>
      </c>
      <c r="I36" s="49"/>
      <c r="J36" s="76">
        <f>ABS(D36)+ABS(E36)+ABS(F36)+ABS(G36)+ABS(H36)</f>
        <v>0</v>
      </c>
      <c r="K36" s="34">
        <v>1788539</v>
      </c>
    </row>
    <row r="37" spans="1:11" s="34" customFormat="1" ht="12.75" hidden="1">
      <c r="A37" s="46" t="s">
        <v>9</v>
      </c>
      <c r="B37" s="47" t="s">
        <v>72</v>
      </c>
      <c r="C37" s="47" t="s">
        <v>73</v>
      </c>
      <c r="D37" s="48">
        <v>0</v>
      </c>
      <c r="E37" s="48">
        <v>0</v>
      </c>
      <c r="F37" s="48">
        <v>0</v>
      </c>
      <c r="G37" s="48">
        <v>0</v>
      </c>
      <c r="H37" s="48">
        <v>0</v>
      </c>
      <c r="I37" s="49"/>
      <c r="J37" s="76">
        <f>ABS(D37)+ABS(E37)+ABS(F37)+ABS(G37)+ABS(H37)</f>
        <v>0</v>
      </c>
      <c r="K37" s="34">
        <v>1788540</v>
      </c>
    </row>
    <row r="38" spans="1:11" s="34" customFormat="1" ht="12.75" hidden="1">
      <c r="A38" s="46" t="s">
        <v>9</v>
      </c>
      <c r="B38" s="47" t="s">
        <v>74</v>
      </c>
      <c r="C38" s="47" t="s">
        <v>75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9"/>
      <c r="J38" s="76">
        <f>ABS(D38)+ABS(E38)+ABS(F38)+ABS(G38)+ABS(H38)</f>
        <v>0</v>
      </c>
      <c r="K38" s="34">
        <v>1788541</v>
      </c>
    </row>
    <row r="39" spans="1:11" s="34" customFormat="1" ht="12.75" hidden="1">
      <c r="A39" s="46" t="s">
        <v>9</v>
      </c>
      <c r="B39" s="47" t="s">
        <v>76</v>
      </c>
      <c r="C39" s="47" t="s">
        <v>77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9"/>
      <c r="J39" s="76">
        <f>ABS(D39)+ABS(E39)+ABS(F39)+ABS(G39)+ABS(H39)</f>
        <v>0</v>
      </c>
      <c r="K39" s="34">
        <v>1788542</v>
      </c>
    </row>
    <row r="40" spans="1:11" s="34" customFormat="1" ht="12.75">
      <c r="A40" s="46" t="s">
        <v>9</v>
      </c>
      <c r="B40" s="47" t="s">
        <v>78</v>
      </c>
      <c r="C40" s="47" t="s">
        <v>79</v>
      </c>
      <c r="D40" s="48">
        <v>33208.73</v>
      </c>
      <c r="E40" s="48">
        <v>-61683.47</v>
      </c>
      <c r="F40" s="48">
        <v>6066.85</v>
      </c>
      <c r="G40" s="48">
        <v>0</v>
      </c>
      <c r="H40" s="48">
        <v>0</v>
      </c>
      <c r="I40" s="49"/>
      <c r="J40" s="76">
        <f>ABS(D40)+ABS(E40)+ABS(F40)+ABS(G40)+ABS(H40)</f>
        <v>100959.05</v>
      </c>
      <c r="K40" s="34">
        <v>1788543</v>
      </c>
    </row>
    <row r="41" spans="1:11" s="34" customFormat="1" ht="12.75">
      <c r="A41" s="46" t="s">
        <v>9</v>
      </c>
      <c r="B41" s="47" t="s">
        <v>80</v>
      </c>
      <c r="C41" s="47" t="s">
        <v>81</v>
      </c>
      <c r="D41" s="48">
        <v>-391455.32</v>
      </c>
      <c r="E41" s="48">
        <v>-396393.21</v>
      </c>
      <c r="F41" s="48">
        <v>0</v>
      </c>
      <c r="G41" s="48">
        <v>0</v>
      </c>
      <c r="H41" s="48">
        <v>-404100</v>
      </c>
      <c r="I41" s="49"/>
      <c r="J41" s="76">
        <f>ABS(D41)+ABS(E41)+ABS(F41)+ABS(G41)+ABS(H41)</f>
        <v>1191948.53</v>
      </c>
      <c r="K41" s="34">
        <v>1788544</v>
      </c>
    </row>
    <row r="42" spans="1:11" s="34" customFormat="1" ht="12.75">
      <c r="A42" s="46" t="s">
        <v>9</v>
      </c>
      <c r="B42" s="47" t="s">
        <v>82</v>
      </c>
      <c r="C42" s="47" t="s">
        <v>83</v>
      </c>
      <c r="D42" s="48">
        <v>-25256.35</v>
      </c>
      <c r="E42" s="48">
        <v>-20435</v>
      </c>
      <c r="F42" s="48">
        <v>0</v>
      </c>
      <c r="G42" s="48">
        <v>0</v>
      </c>
      <c r="H42" s="48">
        <v>-19500</v>
      </c>
      <c r="I42" s="49"/>
      <c r="J42" s="76">
        <f>ABS(D42)+ABS(E42)+ABS(F42)+ABS(G42)+ABS(H42)</f>
        <v>65191.35</v>
      </c>
      <c r="K42" s="34">
        <v>1788545</v>
      </c>
    </row>
    <row r="43" spans="1:11" s="34" customFormat="1" ht="12.75">
      <c r="A43" s="46" t="s">
        <v>9</v>
      </c>
      <c r="B43" s="47" t="s">
        <v>84</v>
      </c>
      <c r="C43" s="47" t="s">
        <v>85</v>
      </c>
      <c r="D43" s="48">
        <v>-5931.2</v>
      </c>
      <c r="E43" s="48">
        <v>-2700</v>
      </c>
      <c r="F43" s="48">
        <v>0</v>
      </c>
      <c r="G43" s="48">
        <v>0</v>
      </c>
      <c r="H43" s="48">
        <v>-2700</v>
      </c>
      <c r="I43" s="49"/>
      <c r="J43" s="76">
        <f>ABS(D43)+ABS(E43)+ABS(F43)+ABS(G43)+ABS(H43)</f>
        <v>11331.2</v>
      </c>
      <c r="K43" s="34">
        <v>1788546</v>
      </c>
    </row>
    <row r="44" spans="1:11" s="34" customFormat="1" ht="12.75" hidden="1">
      <c r="A44" s="46" t="s">
        <v>9</v>
      </c>
      <c r="B44" s="47" t="s">
        <v>86</v>
      </c>
      <c r="C44" s="47" t="s">
        <v>87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9"/>
      <c r="J44" s="76">
        <f>ABS(D44)+ABS(E44)+ABS(F44)+ABS(G44)+ABS(H44)</f>
        <v>0</v>
      </c>
      <c r="K44" s="34">
        <v>1788547</v>
      </c>
    </row>
    <row r="45" spans="1:11" s="34" customFormat="1" ht="12.75">
      <c r="A45" s="46" t="s">
        <v>9</v>
      </c>
      <c r="B45" s="47" t="s">
        <v>88</v>
      </c>
      <c r="C45" s="47" t="s">
        <v>89</v>
      </c>
      <c r="D45" s="48">
        <v>-15576.24</v>
      </c>
      <c r="E45" s="48">
        <v>-11160</v>
      </c>
      <c r="F45" s="48">
        <v>0</v>
      </c>
      <c r="G45" s="48">
        <v>0</v>
      </c>
      <c r="H45" s="48">
        <v>-11333</v>
      </c>
      <c r="I45" s="49"/>
      <c r="J45" s="76">
        <f>ABS(D45)+ABS(E45)+ABS(F45)+ABS(G45)+ABS(H45)</f>
        <v>38069.24</v>
      </c>
      <c r="K45" s="34">
        <v>1788548</v>
      </c>
    </row>
    <row r="46" spans="1:11" s="34" customFormat="1" ht="12.75" hidden="1">
      <c r="A46" s="46" t="s">
        <v>9</v>
      </c>
      <c r="B46" s="47" t="s">
        <v>90</v>
      </c>
      <c r="C46" s="47" t="s">
        <v>91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9"/>
      <c r="J46" s="76">
        <f>ABS(D46)+ABS(E46)+ABS(F46)+ABS(G46)+ABS(H46)</f>
        <v>0</v>
      </c>
      <c r="K46" s="34">
        <v>1788549</v>
      </c>
    </row>
    <row r="47" spans="1:11" s="34" customFormat="1" ht="12.75" hidden="1">
      <c r="A47" s="46" t="s">
        <v>9</v>
      </c>
      <c r="B47" s="47" t="s">
        <v>92</v>
      </c>
      <c r="C47" s="47" t="s">
        <v>93</v>
      </c>
      <c r="D47" s="48">
        <v>0</v>
      </c>
      <c r="E47" s="48">
        <v>0</v>
      </c>
      <c r="F47" s="48">
        <v>0</v>
      </c>
      <c r="G47" s="48">
        <v>0</v>
      </c>
      <c r="H47" s="48">
        <v>0</v>
      </c>
      <c r="I47" s="49"/>
      <c r="J47" s="76">
        <f>ABS(D47)+ABS(E47)+ABS(F47)+ABS(G47)+ABS(H47)</f>
        <v>0</v>
      </c>
      <c r="K47" s="34">
        <v>1788550</v>
      </c>
    </row>
    <row r="48" spans="1:11" s="34" customFormat="1" ht="12.75" hidden="1">
      <c r="A48" s="46" t="s">
        <v>9</v>
      </c>
      <c r="B48" s="47" t="s">
        <v>94</v>
      </c>
      <c r="C48" s="47" t="s">
        <v>95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9"/>
      <c r="J48" s="76">
        <f>ABS(D48)+ABS(E48)+ABS(F48)+ABS(G48)+ABS(H48)</f>
        <v>0</v>
      </c>
      <c r="K48" s="34">
        <v>1788551</v>
      </c>
    </row>
    <row r="49" spans="1:11" s="34" customFormat="1" ht="12.75" hidden="1">
      <c r="A49" s="46" t="s">
        <v>9</v>
      </c>
      <c r="B49" s="47" t="s">
        <v>96</v>
      </c>
      <c r="C49" s="47" t="s">
        <v>97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9"/>
      <c r="J49" s="76">
        <f>ABS(D49)+ABS(E49)+ABS(F49)+ABS(G49)+ABS(H49)</f>
        <v>0</v>
      </c>
      <c r="K49" s="34">
        <v>1788552</v>
      </c>
    </row>
    <row r="50" spans="1:11" s="34" customFormat="1" ht="12.75" hidden="1">
      <c r="A50" s="46" t="s">
        <v>9</v>
      </c>
      <c r="B50" s="47" t="s">
        <v>98</v>
      </c>
      <c r="C50" s="47" t="s">
        <v>99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9"/>
      <c r="J50" s="76">
        <f>ABS(D50)+ABS(E50)+ABS(F50)+ABS(G50)+ABS(H50)</f>
        <v>0</v>
      </c>
      <c r="K50" s="34">
        <v>1788553</v>
      </c>
    </row>
    <row r="51" spans="1:11" s="34" customFormat="1" ht="12.75" hidden="1">
      <c r="A51" s="46" t="s">
        <v>9</v>
      </c>
      <c r="B51" s="47" t="s">
        <v>100</v>
      </c>
      <c r="C51" s="47" t="s">
        <v>101</v>
      </c>
      <c r="D51" s="48">
        <v>0</v>
      </c>
      <c r="E51" s="48">
        <v>0</v>
      </c>
      <c r="F51" s="48">
        <v>0</v>
      </c>
      <c r="G51" s="48">
        <v>0</v>
      </c>
      <c r="H51" s="48">
        <v>0</v>
      </c>
      <c r="I51" s="49"/>
      <c r="J51" s="76">
        <f>ABS(D51)+ABS(E51)+ABS(F51)+ABS(G51)+ABS(H51)</f>
        <v>0</v>
      </c>
      <c r="K51" s="34">
        <v>1788554</v>
      </c>
    </row>
    <row r="52" spans="1:11" s="34" customFormat="1" ht="12.75">
      <c r="A52" s="46" t="s">
        <v>9</v>
      </c>
      <c r="B52" s="47" t="s">
        <v>102</v>
      </c>
      <c r="C52" s="47" t="s">
        <v>103</v>
      </c>
      <c r="D52" s="48">
        <v>3450</v>
      </c>
      <c r="E52" s="48">
        <v>3050</v>
      </c>
      <c r="F52" s="48">
        <v>375</v>
      </c>
      <c r="G52" s="48">
        <v>500</v>
      </c>
      <c r="H52" s="48">
        <v>3000</v>
      </c>
      <c r="I52" s="49"/>
      <c r="J52" s="76">
        <f>ABS(D52)+ABS(E52)+ABS(F52)+ABS(G52)+ABS(H52)</f>
        <v>10375</v>
      </c>
      <c r="K52" s="34">
        <v>1788555</v>
      </c>
    </row>
    <row r="53" spans="1:11" s="34" customFormat="1" ht="12.75" hidden="1">
      <c r="A53" s="46" t="s">
        <v>9</v>
      </c>
      <c r="B53" s="47" t="s">
        <v>104</v>
      </c>
      <c r="C53" s="47" t="s">
        <v>105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9"/>
      <c r="J53" s="76">
        <f>ABS(D53)+ABS(E53)+ABS(F53)+ABS(G53)+ABS(H53)</f>
        <v>0</v>
      </c>
      <c r="K53" s="34">
        <v>1788556</v>
      </c>
    </row>
    <row r="54" spans="1:11" s="34" customFormat="1" ht="12.75" hidden="1">
      <c r="A54" s="46" t="s">
        <v>9</v>
      </c>
      <c r="B54" s="47" t="s">
        <v>106</v>
      </c>
      <c r="C54" s="47" t="s">
        <v>107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9"/>
      <c r="J54" s="76">
        <f>ABS(D54)+ABS(E54)+ABS(F54)+ABS(G54)+ABS(H54)</f>
        <v>0</v>
      </c>
      <c r="K54" s="34">
        <v>1788557</v>
      </c>
    </row>
    <row r="55" spans="1:11" s="34" customFormat="1" ht="12.75" hidden="1">
      <c r="A55" s="46" t="s">
        <v>9</v>
      </c>
      <c r="B55" s="47" t="s">
        <v>108</v>
      </c>
      <c r="C55" s="47" t="s">
        <v>109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9"/>
      <c r="J55" s="76">
        <f>ABS(D55)+ABS(E55)+ABS(F55)+ABS(G55)+ABS(H55)</f>
        <v>0</v>
      </c>
      <c r="K55" s="34">
        <v>1788558</v>
      </c>
    </row>
    <row r="56" spans="1:11" s="34" customFormat="1" ht="12.75" hidden="1">
      <c r="A56" s="46" t="s">
        <v>9</v>
      </c>
      <c r="B56" s="47" t="s">
        <v>110</v>
      </c>
      <c r="C56" s="47" t="s">
        <v>111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9"/>
      <c r="J56" s="76">
        <f>ABS(D56)+ABS(E56)+ABS(F56)+ABS(G56)+ABS(H56)</f>
        <v>0</v>
      </c>
      <c r="K56" s="34">
        <v>1788559</v>
      </c>
    </row>
    <row r="57" spans="1:11" s="34" customFormat="1" ht="12.75">
      <c r="A57" s="46" t="s">
        <v>9</v>
      </c>
      <c r="B57" s="47" t="s">
        <v>112</v>
      </c>
      <c r="C57" s="47" t="s">
        <v>113</v>
      </c>
      <c r="D57" s="48">
        <v>40100</v>
      </c>
      <c r="E57" s="48">
        <v>34100</v>
      </c>
      <c r="F57" s="48">
        <v>6200</v>
      </c>
      <c r="G57" s="48">
        <v>6200</v>
      </c>
      <c r="H57" s="48">
        <v>37200</v>
      </c>
      <c r="I57" s="49"/>
      <c r="J57" s="76">
        <f>ABS(D57)+ABS(E57)+ABS(F57)+ABS(G57)+ABS(H57)</f>
        <v>123800</v>
      </c>
      <c r="K57" s="34">
        <v>1788560</v>
      </c>
    </row>
    <row r="58" spans="1:11" s="34" customFormat="1" ht="12.75" hidden="1">
      <c r="A58" s="46" t="s">
        <v>9</v>
      </c>
      <c r="B58" s="47" t="s">
        <v>114</v>
      </c>
      <c r="C58" s="47" t="s">
        <v>115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9"/>
      <c r="J58" s="76">
        <f>ABS(D58)+ABS(E58)+ABS(F58)+ABS(G58)+ABS(H58)</f>
        <v>0</v>
      </c>
      <c r="K58" s="34">
        <v>1788561</v>
      </c>
    </row>
    <row r="59" spans="1:11" s="34" customFormat="1" ht="12.75" hidden="1">
      <c r="A59" s="46" t="s">
        <v>9</v>
      </c>
      <c r="B59" s="47" t="s">
        <v>116</v>
      </c>
      <c r="C59" s="47" t="s">
        <v>117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9"/>
      <c r="J59" s="76">
        <f>ABS(D59)+ABS(E59)+ABS(F59)+ABS(G59)+ABS(H59)</f>
        <v>0</v>
      </c>
      <c r="K59" s="34">
        <v>1788562</v>
      </c>
    </row>
    <row r="60" spans="1:11" s="34" customFormat="1" ht="12.75" hidden="1">
      <c r="A60" s="46" t="s">
        <v>9</v>
      </c>
      <c r="B60" s="47" t="s">
        <v>118</v>
      </c>
      <c r="C60" s="47" t="s">
        <v>119</v>
      </c>
      <c r="D60" s="48">
        <v>0</v>
      </c>
      <c r="E60" s="48">
        <v>0</v>
      </c>
      <c r="F60" s="48">
        <v>0</v>
      </c>
      <c r="G60" s="48">
        <v>0</v>
      </c>
      <c r="H60" s="48">
        <v>0</v>
      </c>
      <c r="I60" s="49"/>
      <c r="J60" s="76">
        <f>ABS(D60)+ABS(E60)+ABS(F60)+ABS(G60)+ABS(H60)</f>
        <v>0</v>
      </c>
      <c r="K60" s="34">
        <v>1788563</v>
      </c>
    </row>
    <row r="61" spans="1:11" s="34" customFormat="1" ht="12.75" hidden="1">
      <c r="A61" s="46" t="s">
        <v>9</v>
      </c>
      <c r="B61" s="47" t="s">
        <v>120</v>
      </c>
      <c r="C61" s="47" t="s">
        <v>121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9"/>
      <c r="J61" s="76">
        <f>ABS(D61)+ABS(E61)+ABS(F61)+ABS(G61)+ABS(H61)</f>
        <v>0</v>
      </c>
      <c r="K61" s="34">
        <v>1788564</v>
      </c>
    </row>
    <row r="62" spans="1:11" s="34" customFormat="1" ht="12.75" hidden="1">
      <c r="A62" s="46" t="s">
        <v>9</v>
      </c>
      <c r="B62" s="47" t="s">
        <v>122</v>
      </c>
      <c r="C62" s="47" t="s">
        <v>123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9"/>
      <c r="J62" s="76">
        <f>ABS(D62)+ABS(E62)+ABS(F62)+ABS(G62)+ABS(H62)</f>
        <v>0</v>
      </c>
      <c r="K62" s="34">
        <v>1788565</v>
      </c>
    </row>
    <row r="63" spans="1:11" s="34" customFormat="1" ht="12.75" hidden="1">
      <c r="A63" s="46" t="s">
        <v>9</v>
      </c>
      <c r="B63" s="47" t="s">
        <v>124</v>
      </c>
      <c r="C63" s="47" t="s">
        <v>125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9"/>
      <c r="J63" s="76">
        <f>ABS(D63)+ABS(E63)+ABS(F63)+ABS(G63)+ABS(H63)</f>
        <v>0</v>
      </c>
      <c r="K63" s="34">
        <v>1788566</v>
      </c>
    </row>
    <row r="64" spans="1:11" s="34" customFormat="1" ht="12.75" hidden="1">
      <c r="A64" s="46" t="s">
        <v>9</v>
      </c>
      <c r="B64" s="47" t="s">
        <v>126</v>
      </c>
      <c r="C64" s="47" t="s">
        <v>127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9"/>
      <c r="J64" s="76">
        <f>ABS(D64)+ABS(E64)+ABS(F64)+ABS(G64)+ABS(H64)</f>
        <v>0</v>
      </c>
      <c r="K64" s="34">
        <v>1788567</v>
      </c>
    </row>
    <row r="65" spans="1:11" s="34" customFormat="1" ht="12.75" hidden="1">
      <c r="A65" s="46" t="s">
        <v>6</v>
      </c>
      <c r="B65" s="47" t="s">
        <v>128</v>
      </c>
      <c r="C65" s="47" t="s">
        <v>129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9"/>
      <c r="J65" s="76">
        <f>ABS(D65)+ABS(E65)+ABS(F65)+ABS(G65)+ABS(H65)</f>
        <v>0</v>
      </c>
      <c r="K65" s="34">
        <v>1788568</v>
      </c>
    </row>
    <row r="66" spans="1:11" s="34" customFormat="1" ht="12.75" hidden="1">
      <c r="A66" s="46" t="s">
        <v>9</v>
      </c>
      <c r="B66" s="47" t="s">
        <v>130</v>
      </c>
      <c r="C66" s="47" t="s">
        <v>131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9"/>
      <c r="J66" s="76">
        <f>ABS(D66)+ABS(E66)+ABS(F66)+ABS(G66)+ABS(H66)</f>
        <v>0</v>
      </c>
      <c r="K66" s="34">
        <v>1788569</v>
      </c>
    </row>
    <row r="67" spans="1:11" s="34" customFormat="1" ht="12.75" hidden="1">
      <c r="A67" s="46" t="s">
        <v>9</v>
      </c>
      <c r="B67" s="47" t="s">
        <v>132</v>
      </c>
      <c r="C67" s="47" t="s">
        <v>133</v>
      </c>
      <c r="D67" s="48">
        <v>0</v>
      </c>
      <c r="E67" s="48">
        <v>0</v>
      </c>
      <c r="F67" s="48">
        <v>0</v>
      </c>
      <c r="G67" s="48">
        <v>0</v>
      </c>
      <c r="H67" s="48">
        <v>0</v>
      </c>
      <c r="I67" s="49"/>
      <c r="J67" s="76">
        <f>ABS(D67)+ABS(E67)+ABS(F67)+ABS(G67)+ABS(H67)</f>
        <v>0</v>
      </c>
      <c r="K67" s="34">
        <v>1788570</v>
      </c>
    </row>
    <row r="68" spans="1:11" s="34" customFormat="1" ht="12.75" hidden="1">
      <c r="A68" s="46" t="s">
        <v>9</v>
      </c>
      <c r="B68" s="47" t="s">
        <v>134</v>
      </c>
      <c r="C68" s="47" t="s">
        <v>135</v>
      </c>
      <c r="D68" s="48">
        <v>0</v>
      </c>
      <c r="E68" s="48">
        <v>0</v>
      </c>
      <c r="F68" s="48">
        <v>0</v>
      </c>
      <c r="G68" s="48">
        <v>0</v>
      </c>
      <c r="H68" s="48">
        <v>0</v>
      </c>
      <c r="I68" s="49"/>
      <c r="J68" s="76">
        <f>ABS(D68)+ABS(E68)+ABS(F68)+ABS(G68)+ABS(H68)</f>
        <v>0</v>
      </c>
      <c r="K68" s="34">
        <v>1788571</v>
      </c>
    </row>
    <row r="69" spans="1:11" s="34" customFormat="1" ht="12.75" hidden="1">
      <c r="A69" s="46" t="s">
        <v>9</v>
      </c>
      <c r="B69" s="47" t="s">
        <v>136</v>
      </c>
      <c r="C69" s="47" t="s">
        <v>137</v>
      </c>
      <c r="D69" s="48">
        <v>0</v>
      </c>
      <c r="E69" s="48">
        <v>0</v>
      </c>
      <c r="F69" s="48">
        <v>0</v>
      </c>
      <c r="G69" s="48">
        <v>0</v>
      </c>
      <c r="H69" s="48">
        <v>0</v>
      </c>
      <c r="I69" s="49"/>
      <c r="J69" s="76">
        <f>ABS(D69)+ABS(E69)+ABS(F69)+ABS(G69)+ABS(H69)</f>
        <v>0</v>
      </c>
      <c r="K69" s="34">
        <v>1788572</v>
      </c>
    </row>
    <row r="70" spans="1:11" s="34" customFormat="1" ht="12.75" hidden="1">
      <c r="A70" s="46" t="s">
        <v>9</v>
      </c>
      <c r="B70" s="47" t="s">
        <v>138</v>
      </c>
      <c r="C70" s="47" t="s">
        <v>139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9"/>
      <c r="J70" s="76">
        <f>ABS(D70)+ABS(E70)+ABS(F70)+ABS(G70)+ABS(H70)</f>
        <v>0</v>
      </c>
      <c r="K70" s="34">
        <v>1788573</v>
      </c>
    </row>
    <row r="71" spans="1:11" s="34" customFormat="1" ht="12.75">
      <c r="A71" s="46" t="s">
        <v>9</v>
      </c>
      <c r="B71" s="47" t="s">
        <v>140</v>
      </c>
      <c r="C71" s="47" t="s">
        <v>141</v>
      </c>
      <c r="D71" s="48">
        <v>445135.63</v>
      </c>
      <c r="E71" s="48">
        <v>448540.92</v>
      </c>
      <c r="F71" s="48">
        <v>0</v>
      </c>
      <c r="G71" s="48">
        <v>0</v>
      </c>
      <c r="H71" s="48">
        <v>462093</v>
      </c>
      <c r="I71" s="49"/>
      <c r="J71" s="76">
        <f>ABS(D71)+ABS(E71)+ABS(F71)+ABS(G71)+ABS(H71)</f>
        <v>1355769.55</v>
      </c>
      <c r="K71" s="34">
        <v>1788574</v>
      </c>
    </row>
    <row r="72" spans="1:11" s="34" customFormat="1" ht="12.75" hidden="1">
      <c r="A72" s="46" t="s">
        <v>9</v>
      </c>
      <c r="B72" s="47" t="s">
        <v>142</v>
      </c>
      <c r="C72" s="47" t="s">
        <v>143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9"/>
      <c r="J72" s="76">
        <f>ABS(D72)+ABS(E72)+ABS(F72)+ABS(G72)+ABS(H72)</f>
        <v>0</v>
      </c>
      <c r="K72" s="34">
        <v>1788575</v>
      </c>
    </row>
    <row r="73" spans="1:11" s="34" customFormat="1" ht="12.75" hidden="1">
      <c r="A73" s="46" t="s">
        <v>9</v>
      </c>
      <c r="B73" s="47" t="s">
        <v>144</v>
      </c>
      <c r="C73" s="47" t="s">
        <v>145</v>
      </c>
      <c r="D73" s="48">
        <v>0</v>
      </c>
      <c r="E73" s="48">
        <v>0</v>
      </c>
      <c r="F73" s="48">
        <v>0</v>
      </c>
      <c r="G73" s="48">
        <v>0</v>
      </c>
      <c r="H73" s="48">
        <v>0</v>
      </c>
      <c r="I73" s="49"/>
      <c r="J73" s="76">
        <f>ABS(D73)+ABS(E73)+ABS(F73)+ABS(G73)+ABS(H73)</f>
        <v>0</v>
      </c>
      <c r="K73" s="34">
        <v>1788576</v>
      </c>
    </row>
    <row r="74" spans="1:11" s="34" customFormat="1" ht="12.75" hidden="1">
      <c r="A74" s="46" t="s">
        <v>9</v>
      </c>
      <c r="B74" s="47" t="s">
        <v>146</v>
      </c>
      <c r="C74" s="47" t="s">
        <v>147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9"/>
      <c r="J74" s="76">
        <f>ABS(D74)+ABS(E74)+ABS(F74)+ABS(G74)+ABS(H74)</f>
        <v>0</v>
      </c>
      <c r="K74" s="34">
        <v>1788577</v>
      </c>
    </row>
    <row r="75" spans="1:11" s="34" customFormat="1" ht="12.75" hidden="1">
      <c r="A75" s="46" t="s">
        <v>9</v>
      </c>
      <c r="B75" s="47" t="s">
        <v>148</v>
      </c>
      <c r="C75" s="47" t="s">
        <v>149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9"/>
      <c r="J75" s="76">
        <f>ABS(D75)+ABS(E75)+ABS(F75)+ABS(G75)+ABS(H75)</f>
        <v>0</v>
      </c>
      <c r="K75" s="34">
        <v>1788578</v>
      </c>
    </row>
    <row r="76" spans="1:11" s="34" customFormat="1" ht="12.75">
      <c r="A76" s="46" t="s">
        <v>9</v>
      </c>
      <c r="B76" s="47" t="s">
        <v>150</v>
      </c>
      <c r="C76" s="47" t="s">
        <v>151</v>
      </c>
      <c r="D76" s="48">
        <v>90211.73</v>
      </c>
      <c r="E76" s="48">
        <v>88845</v>
      </c>
      <c r="F76" s="48">
        <v>15138.22</v>
      </c>
      <c r="G76" s="48">
        <v>15120</v>
      </c>
      <c r="H76" s="48">
        <v>90720</v>
      </c>
      <c r="I76" s="49"/>
      <c r="J76" s="76">
        <f>ABS(D76)+ABS(E76)+ABS(F76)+ABS(G76)+ABS(H76)</f>
        <v>300034.95</v>
      </c>
      <c r="K76" s="34">
        <v>1788579</v>
      </c>
    </row>
    <row r="77" spans="1:11" s="34" customFormat="1" ht="12.75" hidden="1">
      <c r="A77" s="46" t="s">
        <v>9</v>
      </c>
      <c r="B77" s="47" t="s">
        <v>152</v>
      </c>
      <c r="C77" s="47" t="s">
        <v>153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9"/>
      <c r="J77" s="76">
        <f>ABS(D77)+ABS(E77)+ABS(F77)+ABS(G77)+ABS(H77)</f>
        <v>0</v>
      </c>
      <c r="K77" s="34">
        <v>1788580</v>
      </c>
    </row>
    <row r="78" spans="1:11" s="34" customFormat="1" ht="12.75" hidden="1">
      <c r="A78" s="46" t="s">
        <v>9</v>
      </c>
      <c r="B78" s="47" t="s">
        <v>154</v>
      </c>
      <c r="C78" s="47" t="s">
        <v>155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9"/>
      <c r="J78" s="76">
        <f>ABS(D78)+ABS(E78)+ABS(F78)+ABS(G78)+ABS(H78)</f>
        <v>0</v>
      </c>
      <c r="K78" s="34">
        <v>1788581</v>
      </c>
    </row>
    <row r="79" spans="1:11" s="34" customFormat="1" ht="12.75" hidden="1">
      <c r="A79" s="46" t="s">
        <v>9</v>
      </c>
      <c r="B79" s="47" t="s">
        <v>156</v>
      </c>
      <c r="C79" s="47" t="s">
        <v>157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9"/>
      <c r="J79" s="76">
        <f>ABS(D79)+ABS(E79)+ABS(F79)+ABS(G79)+ABS(H79)</f>
        <v>0</v>
      </c>
      <c r="K79" s="34">
        <v>1788582</v>
      </c>
    </row>
    <row r="80" spans="1:11" s="34" customFormat="1" ht="12.75" hidden="1">
      <c r="A80" s="46" t="s">
        <v>9</v>
      </c>
      <c r="B80" s="47" t="s">
        <v>158</v>
      </c>
      <c r="C80" s="47" t="s">
        <v>159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9"/>
      <c r="J80" s="76">
        <f>ABS(D80)+ABS(E80)+ABS(F80)+ABS(G80)+ABS(H80)</f>
        <v>0</v>
      </c>
      <c r="K80" s="34">
        <v>1788583</v>
      </c>
    </row>
    <row r="81" spans="1:11" s="34" customFormat="1" ht="12.75">
      <c r="A81" s="46" t="s">
        <v>9</v>
      </c>
      <c r="B81" s="47" t="s">
        <v>160</v>
      </c>
      <c r="C81" s="47" t="s">
        <v>161</v>
      </c>
      <c r="D81" s="48">
        <v>0</v>
      </c>
      <c r="E81" s="48">
        <v>25</v>
      </c>
      <c r="F81" s="48">
        <v>12.5</v>
      </c>
      <c r="G81" s="48">
        <v>0</v>
      </c>
      <c r="H81" s="48">
        <v>0</v>
      </c>
      <c r="I81" s="49"/>
      <c r="J81" s="76">
        <f>ABS(D81)+ABS(E81)+ABS(F81)+ABS(G81)+ABS(H81)</f>
        <v>37.5</v>
      </c>
      <c r="K81" s="34">
        <v>1788584</v>
      </c>
    </row>
    <row r="82" spans="1:11" s="34" customFormat="1" ht="12.75" hidden="1">
      <c r="A82" s="46" t="s">
        <v>9</v>
      </c>
      <c r="B82" s="47" t="s">
        <v>162</v>
      </c>
      <c r="C82" s="47" t="s">
        <v>163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9"/>
      <c r="J82" s="76">
        <f>ABS(D82)+ABS(E82)+ABS(F82)+ABS(G82)+ABS(H82)</f>
        <v>0</v>
      </c>
      <c r="K82" s="34">
        <v>1788585</v>
      </c>
    </row>
    <row r="83" spans="1:11" s="34" customFormat="1" ht="12.75" hidden="1">
      <c r="A83" s="46" t="s">
        <v>9</v>
      </c>
      <c r="B83" s="47" t="s">
        <v>164</v>
      </c>
      <c r="C83" s="47" t="s">
        <v>165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9"/>
      <c r="J83" s="76">
        <f>ABS(D83)+ABS(E83)+ABS(F83)+ABS(G83)+ABS(H83)</f>
        <v>0</v>
      </c>
      <c r="K83" s="34">
        <v>1788586</v>
      </c>
    </row>
    <row r="84" spans="1:11" s="34" customFormat="1" ht="12.75" hidden="1">
      <c r="A84" s="46" t="s">
        <v>9</v>
      </c>
      <c r="B84" s="47" t="s">
        <v>166</v>
      </c>
      <c r="C84" s="47" t="s">
        <v>167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9"/>
      <c r="J84" s="76">
        <f>ABS(D84)+ABS(E84)+ABS(F84)+ABS(G84)+ABS(H84)</f>
        <v>0</v>
      </c>
      <c r="K84" s="34">
        <v>1788587</v>
      </c>
    </row>
    <row r="85" spans="1:11" s="34" customFormat="1" ht="12.75" hidden="1">
      <c r="A85" s="46" t="s">
        <v>9</v>
      </c>
      <c r="B85" s="47" t="s">
        <v>168</v>
      </c>
      <c r="C85" s="47" t="s">
        <v>169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9"/>
      <c r="J85" s="76">
        <f>ABS(D85)+ABS(E85)+ABS(F85)+ABS(G85)+ABS(H85)</f>
        <v>0</v>
      </c>
      <c r="K85" s="34">
        <v>1788588</v>
      </c>
    </row>
    <row r="86" spans="1:11" s="34" customFormat="1" ht="12.75" hidden="1">
      <c r="A86" s="46" t="s">
        <v>9</v>
      </c>
      <c r="B86" s="47" t="s">
        <v>170</v>
      </c>
      <c r="C86" s="47" t="s">
        <v>171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9"/>
      <c r="J86" s="76">
        <f>ABS(D86)+ABS(E86)+ABS(F86)+ABS(G86)+ABS(H86)</f>
        <v>0</v>
      </c>
      <c r="K86" s="34">
        <v>1788589</v>
      </c>
    </row>
    <row r="87" spans="1:11" s="34" customFormat="1" ht="12.75" hidden="1">
      <c r="A87" s="46" t="s">
        <v>9</v>
      </c>
      <c r="B87" s="47" t="s">
        <v>172</v>
      </c>
      <c r="C87" s="47" t="s">
        <v>173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9"/>
      <c r="J87" s="76">
        <f>ABS(D87)+ABS(E87)+ABS(F87)+ABS(G87)+ABS(H87)</f>
        <v>0</v>
      </c>
      <c r="K87" s="34">
        <v>1788590</v>
      </c>
    </row>
    <row r="88" spans="1:11" s="34" customFormat="1" ht="12.75" hidden="1">
      <c r="A88" s="46" t="s">
        <v>9</v>
      </c>
      <c r="B88" s="47" t="s">
        <v>174</v>
      </c>
      <c r="C88" s="47" t="s">
        <v>175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9"/>
      <c r="J88" s="76">
        <f>ABS(D88)+ABS(E88)+ABS(F88)+ABS(G88)+ABS(H88)</f>
        <v>0</v>
      </c>
      <c r="K88" s="34">
        <v>1788591</v>
      </c>
    </row>
    <row r="89" spans="1:11" s="34" customFormat="1" ht="12.75" hidden="1">
      <c r="A89" s="46" t="s">
        <v>9</v>
      </c>
      <c r="B89" s="47" t="s">
        <v>176</v>
      </c>
      <c r="C89" s="47" t="s">
        <v>177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9"/>
      <c r="J89" s="76">
        <f>ABS(D89)+ABS(E89)+ABS(F89)+ABS(G89)+ABS(H89)</f>
        <v>0</v>
      </c>
      <c r="K89" s="34">
        <v>1788592</v>
      </c>
    </row>
    <row r="90" spans="1:11" s="34" customFormat="1" ht="12.75" hidden="1">
      <c r="A90" s="46" t="s">
        <v>9</v>
      </c>
      <c r="B90" s="47" t="s">
        <v>178</v>
      </c>
      <c r="C90" s="47" t="s">
        <v>179</v>
      </c>
      <c r="D90" s="48">
        <v>0</v>
      </c>
      <c r="E90" s="48">
        <v>0</v>
      </c>
      <c r="F90" s="48">
        <v>0</v>
      </c>
      <c r="G90" s="48">
        <v>0</v>
      </c>
      <c r="H90" s="48">
        <v>0</v>
      </c>
      <c r="I90" s="49"/>
      <c r="J90" s="76">
        <f>ABS(D90)+ABS(E90)+ABS(F90)+ABS(G90)+ABS(H90)</f>
        <v>0</v>
      </c>
      <c r="K90" s="34">
        <v>1788593</v>
      </c>
    </row>
    <row r="91" spans="1:11" s="34" customFormat="1" ht="12.75" hidden="1">
      <c r="A91" s="46" t="s">
        <v>9</v>
      </c>
      <c r="B91" s="47" t="s">
        <v>180</v>
      </c>
      <c r="C91" s="47" t="s">
        <v>181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9"/>
      <c r="J91" s="76">
        <f>ABS(D91)+ABS(E91)+ABS(F91)+ABS(G91)+ABS(H91)</f>
        <v>0</v>
      </c>
      <c r="K91" s="34">
        <v>1788594</v>
      </c>
    </row>
    <row r="92" spans="1:11" s="34" customFormat="1" ht="12.75">
      <c r="A92" s="46" t="s">
        <v>9</v>
      </c>
      <c r="B92" s="47" t="s">
        <v>182</v>
      </c>
      <c r="C92" s="47" t="s">
        <v>183</v>
      </c>
      <c r="D92" s="48">
        <v>16925.53</v>
      </c>
      <c r="E92" s="48">
        <v>18604.37</v>
      </c>
      <c r="F92" s="48">
        <v>-135.24</v>
      </c>
      <c r="G92" s="48">
        <v>0</v>
      </c>
      <c r="H92" s="48">
        <v>21498</v>
      </c>
      <c r="I92" s="49"/>
      <c r="J92" s="76">
        <f>ABS(D92)+ABS(E92)+ABS(F92)+ABS(G92)+ABS(H92)</f>
        <v>57163.14</v>
      </c>
      <c r="K92" s="34">
        <v>1788595</v>
      </c>
    </row>
    <row r="93" spans="1:11" s="34" customFormat="1" ht="12.75" hidden="1">
      <c r="A93" s="46" t="s">
        <v>9</v>
      </c>
      <c r="B93" s="47" t="s">
        <v>184</v>
      </c>
      <c r="C93" s="47" t="s">
        <v>185</v>
      </c>
      <c r="D93" s="48">
        <v>0</v>
      </c>
      <c r="E93" s="48">
        <v>0</v>
      </c>
      <c r="F93" s="48">
        <v>0</v>
      </c>
      <c r="G93" s="48">
        <v>0</v>
      </c>
      <c r="H93" s="48">
        <v>0</v>
      </c>
      <c r="I93" s="49"/>
      <c r="J93" s="76">
        <f>ABS(D93)+ABS(E93)+ABS(F93)+ABS(G93)+ABS(H93)</f>
        <v>0</v>
      </c>
      <c r="K93" s="34">
        <v>1788596</v>
      </c>
    </row>
    <row r="94" spans="1:11" s="34" customFormat="1" ht="12.75" hidden="1">
      <c r="A94" s="46" t="s">
        <v>9</v>
      </c>
      <c r="B94" s="47" t="s">
        <v>186</v>
      </c>
      <c r="C94" s="47" t="s">
        <v>187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9"/>
      <c r="J94" s="76">
        <f>ABS(D94)+ABS(E94)+ABS(F94)+ABS(G94)+ABS(H94)</f>
        <v>0</v>
      </c>
      <c r="K94" s="34">
        <v>1788597</v>
      </c>
    </row>
    <row r="95" spans="1:11" s="34" customFormat="1" ht="12.75" hidden="1">
      <c r="A95" s="46" t="s">
        <v>9</v>
      </c>
      <c r="B95" s="47" t="s">
        <v>188</v>
      </c>
      <c r="C95" s="47" t="s">
        <v>189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9"/>
      <c r="J95" s="76">
        <f>ABS(D95)+ABS(E95)+ABS(F95)+ABS(G95)+ABS(H95)</f>
        <v>0</v>
      </c>
      <c r="K95" s="34">
        <v>1788598</v>
      </c>
    </row>
    <row r="96" spans="1:11" s="34" customFormat="1" ht="12.75" hidden="1">
      <c r="A96" s="46" t="s">
        <v>9</v>
      </c>
      <c r="B96" s="47" t="s">
        <v>190</v>
      </c>
      <c r="C96" s="47" t="s">
        <v>191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9"/>
      <c r="J96" s="76">
        <f>ABS(D96)+ABS(E96)+ABS(F96)+ABS(G96)+ABS(H96)</f>
        <v>0</v>
      </c>
      <c r="K96" s="34">
        <v>1788599</v>
      </c>
    </row>
    <row r="97" spans="1:11" s="34" customFormat="1" ht="12.75" hidden="1">
      <c r="A97" s="46" t="s">
        <v>9</v>
      </c>
      <c r="B97" s="47" t="s">
        <v>192</v>
      </c>
      <c r="C97" s="47" t="s">
        <v>193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9"/>
      <c r="J97" s="76">
        <f>ABS(D97)+ABS(E97)+ABS(F97)+ABS(G97)+ABS(H97)</f>
        <v>0</v>
      </c>
      <c r="K97" s="34">
        <v>1788600</v>
      </c>
    </row>
    <row r="98" spans="1:11" s="34" customFormat="1" ht="12.75">
      <c r="A98" s="46" t="s">
        <v>9</v>
      </c>
      <c r="B98" s="47" t="s">
        <v>194</v>
      </c>
      <c r="C98" s="47" t="s">
        <v>195</v>
      </c>
      <c r="D98" s="48">
        <v>1000</v>
      </c>
      <c r="E98" s="48">
        <v>0</v>
      </c>
      <c r="F98" s="48">
        <v>0</v>
      </c>
      <c r="G98" s="48">
        <v>0</v>
      </c>
      <c r="H98" s="48">
        <v>0</v>
      </c>
      <c r="I98" s="49"/>
      <c r="J98" s="76">
        <f>ABS(D98)+ABS(E98)+ABS(F98)+ABS(G98)+ABS(H98)</f>
        <v>1000</v>
      </c>
      <c r="K98" s="34">
        <v>1788601</v>
      </c>
    </row>
    <row r="99" spans="1:11" s="34" customFormat="1" ht="12.75" hidden="1">
      <c r="A99" s="46" t="s">
        <v>9</v>
      </c>
      <c r="B99" s="47" t="s">
        <v>196</v>
      </c>
      <c r="C99" s="47" t="s">
        <v>197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9"/>
      <c r="J99" s="76">
        <f>ABS(D99)+ABS(E99)+ABS(F99)+ABS(G99)+ABS(H99)</f>
        <v>0</v>
      </c>
      <c r="K99" s="34">
        <v>1788602</v>
      </c>
    </row>
    <row r="100" spans="1:11" s="34" customFormat="1" ht="12.75" hidden="1">
      <c r="A100" s="46" t="s">
        <v>9</v>
      </c>
      <c r="B100" s="47" t="s">
        <v>198</v>
      </c>
      <c r="C100" s="47" t="s">
        <v>199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9"/>
      <c r="J100" s="76">
        <f>ABS(D100)+ABS(E100)+ABS(F100)+ABS(G100)+ABS(H100)</f>
        <v>0</v>
      </c>
      <c r="K100" s="34">
        <v>1788603</v>
      </c>
    </row>
    <row r="101" spans="1:11" s="34" customFormat="1" ht="12.75" hidden="1">
      <c r="A101" s="46" t="s">
        <v>9</v>
      </c>
      <c r="B101" s="47" t="s">
        <v>200</v>
      </c>
      <c r="C101" s="47" t="s">
        <v>201</v>
      </c>
      <c r="D101" s="48">
        <v>0</v>
      </c>
      <c r="E101" s="48">
        <v>0</v>
      </c>
      <c r="F101" s="48">
        <v>0</v>
      </c>
      <c r="G101" s="48">
        <v>0</v>
      </c>
      <c r="H101" s="48">
        <v>0</v>
      </c>
      <c r="I101" s="49"/>
      <c r="J101" s="76">
        <f>ABS(D101)+ABS(E101)+ABS(F101)+ABS(G101)+ABS(H101)</f>
        <v>0</v>
      </c>
      <c r="K101" s="34">
        <v>1788604</v>
      </c>
    </row>
    <row r="102" spans="1:11" s="34" customFormat="1" ht="12.75" hidden="1">
      <c r="A102" s="46" t="s">
        <v>9</v>
      </c>
      <c r="B102" s="47" t="s">
        <v>202</v>
      </c>
      <c r="C102" s="47" t="s">
        <v>203</v>
      </c>
      <c r="D102" s="48">
        <v>0</v>
      </c>
      <c r="E102" s="48">
        <v>0</v>
      </c>
      <c r="F102" s="48">
        <v>0</v>
      </c>
      <c r="G102" s="48">
        <v>0</v>
      </c>
      <c r="H102" s="48">
        <v>0</v>
      </c>
      <c r="I102" s="49"/>
      <c r="J102" s="76">
        <f>ABS(D102)+ABS(E102)+ABS(F102)+ABS(G102)+ABS(H102)</f>
        <v>0</v>
      </c>
      <c r="K102" s="34">
        <v>1788605</v>
      </c>
    </row>
    <row r="103" spans="1:11" s="34" customFormat="1" ht="12.75" hidden="1">
      <c r="A103" s="46" t="s">
        <v>9</v>
      </c>
      <c r="B103" s="47" t="s">
        <v>204</v>
      </c>
      <c r="C103" s="47" t="s">
        <v>205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9"/>
      <c r="J103" s="76">
        <f>ABS(D103)+ABS(E103)+ABS(F103)+ABS(G103)+ABS(H103)</f>
        <v>0</v>
      </c>
      <c r="K103" s="34">
        <v>1788606</v>
      </c>
    </row>
    <row r="104" spans="1:11" s="34" customFormat="1" ht="12.75">
      <c r="A104" s="46" t="s">
        <v>23</v>
      </c>
      <c r="B104" s="55" t="s">
        <v>206</v>
      </c>
      <c r="C104" s="55" t="s">
        <v>207</v>
      </c>
      <c r="D104" s="56">
        <v>5263509.12</v>
      </c>
      <c r="E104" s="56">
        <v>5313461.92</v>
      </c>
      <c r="F104" s="56">
        <v>937307.8</v>
      </c>
      <c r="G104" s="56">
        <v>923821.82</v>
      </c>
      <c r="H104" s="56">
        <v>5588889</v>
      </c>
      <c r="I104" s="57"/>
      <c r="J104" s="77">
        <f>ABS(D104)+ABS(E104)+ABS(F104)+ABS(G104)+ABS(H104)</f>
        <v>18026989.66</v>
      </c>
      <c r="K104" s="34">
        <v>1788607</v>
      </c>
    </row>
    <row r="105" spans="1:10" s="34" customFormat="1" ht="12.75">
      <c r="A105" s="46"/>
      <c r="B105" s="47"/>
      <c r="C105" s="47"/>
      <c r="D105" s="48"/>
      <c r="E105" s="48"/>
      <c r="F105" s="48"/>
      <c r="G105" s="48"/>
      <c r="H105" s="48"/>
      <c r="I105" s="49"/>
      <c r="J105" s="76"/>
    </row>
    <row r="106" spans="1:11" s="34" customFormat="1" ht="12.75">
      <c r="A106" s="46" t="s">
        <v>10</v>
      </c>
      <c r="B106" s="59" t="s">
        <v>208</v>
      </c>
      <c r="C106" s="59" t="s">
        <v>209</v>
      </c>
      <c r="D106" s="60" t="s">
        <v>1</v>
      </c>
      <c r="E106" s="60" t="s">
        <v>1</v>
      </c>
      <c r="F106" s="60" t="s">
        <v>1</v>
      </c>
      <c r="G106" s="60" t="s">
        <v>1</v>
      </c>
      <c r="H106" s="60" t="s">
        <v>1</v>
      </c>
      <c r="I106" s="61"/>
      <c r="J106" s="78">
        <v>1</v>
      </c>
      <c r="K106" s="34">
        <v>1788608</v>
      </c>
    </row>
    <row r="107" spans="1:11" s="34" customFormat="1" ht="12.75">
      <c r="A107" s="46" t="s">
        <v>9</v>
      </c>
      <c r="B107" s="47" t="s">
        <v>210</v>
      </c>
      <c r="C107" s="47" t="s">
        <v>211</v>
      </c>
      <c r="D107" s="48">
        <v>1861.55</v>
      </c>
      <c r="E107" s="48">
        <v>800</v>
      </c>
      <c r="F107" s="48">
        <v>100</v>
      </c>
      <c r="G107" s="48">
        <v>166.66</v>
      </c>
      <c r="H107" s="48">
        <v>1000</v>
      </c>
      <c r="I107" s="49"/>
      <c r="J107" s="76">
        <f>ABS(D107)+ABS(E107)+ABS(F107)+ABS(G107)+ABS(H107)</f>
        <v>3928.21</v>
      </c>
      <c r="K107" s="34">
        <v>1788609</v>
      </c>
    </row>
    <row r="108" spans="1:11" s="34" customFormat="1" ht="12.75">
      <c r="A108" s="46" t="s">
        <v>9</v>
      </c>
      <c r="B108" s="47" t="s">
        <v>212</v>
      </c>
      <c r="C108" s="47" t="s">
        <v>213</v>
      </c>
      <c r="D108" s="48">
        <v>145.88</v>
      </c>
      <c r="E108" s="48">
        <v>0</v>
      </c>
      <c r="F108" s="48">
        <v>0</v>
      </c>
      <c r="G108" s="48">
        <v>0</v>
      </c>
      <c r="H108" s="48">
        <v>0</v>
      </c>
      <c r="I108" s="49"/>
      <c r="J108" s="76">
        <f>ABS(D108)+ABS(E108)+ABS(F108)+ABS(G108)+ABS(H108)</f>
        <v>145.88</v>
      </c>
      <c r="K108" s="34">
        <v>1788610</v>
      </c>
    </row>
    <row r="109" spans="1:11" s="34" customFormat="1" ht="12.75">
      <c r="A109" s="46" t="s">
        <v>9</v>
      </c>
      <c r="B109" s="47" t="s">
        <v>214</v>
      </c>
      <c r="C109" s="47" t="s">
        <v>215</v>
      </c>
      <c r="D109" s="48">
        <v>200</v>
      </c>
      <c r="E109" s="48">
        <v>125</v>
      </c>
      <c r="F109" s="48">
        <v>50</v>
      </c>
      <c r="G109" s="48">
        <v>0</v>
      </c>
      <c r="H109" s="48">
        <v>0</v>
      </c>
      <c r="I109" s="49"/>
      <c r="J109" s="76">
        <f>ABS(D109)+ABS(E109)+ABS(F109)+ABS(G109)+ABS(H109)</f>
        <v>375</v>
      </c>
      <c r="K109" s="34">
        <v>1788611</v>
      </c>
    </row>
    <row r="110" spans="1:11" s="34" customFormat="1" ht="12.75">
      <c r="A110" s="46" t="s">
        <v>9</v>
      </c>
      <c r="B110" s="47" t="s">
        <v>216</v>
      </c>
      <c r="C110" s="47" t="s">
        <v>217</v>
      </c>
      <c r="D110" s="48">
        <v>-15.3</v>
      </c>
      <c r="E110" s="48">
        <v>800.12</v>
      </c>
      <c r="F110" s="48">
        <v>-948.4</v>
      </c>
      <c r="G110" s="48">
        <v>0</v>
      </c>
      <c r="H110" s="48">
        <v>0</v>
      </c>
      <c r="I110" s="49"/>
      <c r="J110" s="76">
        <f>ABS(D110)+ABS(E110)+ABS(F110)+ABS(G110)+ABS(H110)</f>
        <v>1763.82</v>
      </c>
      <c r="K110" s="34">
        <v>1788612</v>
      </c>
    </row>
    <row r="111" spans="1:11" s="34" customFormat="1" ht="12.75">
      <c r="A111" s="46" t="s">
        <v>9</v>
      </c>
      <c r="B111" s="47" t="s">
        <v>218</v>
      </c>
      <c r="C111" s="47" t="s">
        <v>219</v>
      </c>
      <c r="D111" s="48">
        <v>4250</v>
      </c>
      <c r="E111" s="48">
        <v>4650</v>
      </c>
      <c r="F111" s="48">
        <v>600</v>
      </c>
      <c r="G111" s="48">
        <v>833.34</v>
      </c>
      <c r="H111" s="48">
        <v>5000</v>
      </c>
      <c r="I111" s="49"/>
      <c r="J111" s="76">
        <f>ABS(D111)+ABS(E111)+ABS(F111)+ABS(G111)+ABS(H111)</f>
        <v>15333.34</v>
      </c>
      <c r="K111" s="34">
        <v>1788613</v>
      </c>
    </row>
    <row r="112" spans="1:11" s="34" customFormat="1" ht="12.75" hidden="1">
      <c r="A112" s="46" t="s">
        <v>9</v>
      </c>
      <c r="B112" s="47" t="s">
        <v>220</v>
      </c>
      <c r="C112" s="47" t="s">
        <v>221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9"/>
      <c r="J112" s="76">
        <f>ABS(D112)+ABS(E112)+ABS(F112)+ABS(G112)+ABS(H112)</f>
        <v>0</v>
      </c>
      <c r="K112" s="34">
        <v>1788614</v>
      </c>
    </row>
    <row r="113" spans="1:11" s="34" customFormat="1" ht="12.75" hidden="1">
      <c r="A113" s="46" t="s">
        <v>9</v>
      </c>
      <c r="B113" s="47" t="s">
        <v>222</v>
      </c>
      <c r="C113" s="47" t="s">
        <v>223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9"/>
      <c r="J113" s="76">
        <f>ABS(D113)+ABS(E113)+ABS(F113)+ABS(G113)+ABS(H113)</f>
        <v>0</v>
      </c>
      <c r="K113" s="34">
        <v>1788615</v>
      </c>
    </row>
    <row r="114" spans="1:11" s="34" customFormat="1" ht="12.75">
      <c r="A114" s="46" t="s">
        <v>9</v>
      </c>
      <c r="B114" s="47" t="s">
        <v>224</v>
      </c>
      <c r="C114" s="47" t="s">
        <v>225</v>
      </c>
      <c r="D114" s="48">
        <v>3661.11</v>
      </c>
      <c r="E114" s="48">
        <v>2804.91</v>
      </c>
      <c r="F114" s="48">
        <v>0</v>
      </c>
      <c r="G114" s="48">
        <v>0</v>
      </c>
      <c r="H114" s="48">
        <v>0</v>
      </c>
      <c r="I114" s="49"/>
      <c r="J114" s="76">
        <f>ABS(D114)+ABS(E114)+ABS(F114)+ABS(G114)+ABS(H114)</f>
        <v>6466.02</v>
      </c>
      <c r="K114" s="34">
        <v>1788616</v>
      </c>
    </row>
    <row r="115" spans="1:11" s="34" customFormat="1" ht="12.75" hidden="1">
      <c r="A115" s="46" t="s">
        <v>9</v>
      </c>
      <c r="B115" s="47" t="s">
        <v>226</v>
      </c>
      <c r="C115" s="47" t="s">
        <v>227</v>
      </c>
      <c r="D115" s="48">
        <v>0</v>
      </c>
      <c r="E115" s="48">
        <v>0</v>
      </c>
      <c r="F115" s="48">
        <v>0</v>
      </c>
      <c r="G115" s="48">
        <v>0</v>
      </c>
      <c r="H115" s="48">
        <v>0</v>
      </c>
      <c r="I115" s="49"/>
      <c r="J115" s="76">
        <f>ABS(D115)+ABS(E115)+ABS(F115)+ABS(G115)+ABS(H115)</f>
        <v>0</v>
      </c>
      <c r="K115" s="34">
        <v>1788617</v>
      </c>
    </row>
    <row r="116" spans="1:11" s="34" customFormat="1" ht="12.75" hidden="1">
      <c r="A116" s="46" t="s">
        <v>9</v>
      </c>
      <c r="B116" s="47" t="s">
        <v>228</v>
      </c>
      <c r="C116" s="47" t="s">
        <v>229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9"/>
      <c r="J116" s="76">
        <f>ABS(D116)+ABS(E116)+ABS(F116)+ABS(G116)+ABS(H116)</f>
        <v>0</v>
      </c>
      <c r="K116" s="34">
        <v>1788618</v>
      </c>
    </row>
    <row r="117" spans="1:11" s="34" customFormat="1" ht="12.75" hidden="1">
      <c r="A117" s="46" t="s">
        <v>9</v>
      </c>
      <c r="B117" s="47" t="s">
        <v>230</v>
      </c>
      <c r="C117" s="47" t="s">
        <v>149</v>
      </c>
      <c r="D117" s="48">
        <v>0</v>
      </c>
      <c r="E117" s="48">
        <v>0</v>
      </c>
      <c r="F117" s="48">
        <v>0</v>
      </c>
      <c r="G117" s="48">
        <v>0</v>
      </c>
      <c r="H117" s="48">
        <v>0</v>
      </c>
      <c r="I117" s="49"/>
      <c r="J117" s="76">
        <f>ABS(D117)+ABS(E117)+ABS(F117)+ABS(G117)+ABS(H117)</f>
        <v>0</v>
      </c>
      <c r="K117" s="34">
        <v>1788619</v>
      </c>
    </row>
    <row r="118" spans="1:11" s="34" customFormat="1" ht="12.75" hidden="1">
      <c r="A118" s="46" t="s">
        <v>9</v>
      </c>
      <c r="B118" s="47" t="s">
        <v>231</v>
      </c>
      <c r="C118" s="47" t="s">
        <v>232</v>
      </c>
      <c r="D118" s="48">
        <v>0</v>
      </c>
      <c r="E118" s="48">
        <v>0</v>
      </c>
      <c r="F118" s="48">
        <v>0</v>
      </c>
      <c r="G118" s="48">
        <v>0</v>
      </c>
      <c r="H118" s="48">
        <v>0</v>
      </c>
      <c r="I118" s="49"/>
      <c r="J118" s="76">
        <f>ABS(D118)+ABS(E118)+ABS(F118)+ABS(G118)+ABS(H118)</f>
        <v>0</v>
      </c>
      <c r="K118" s="34">
        <v>1788620</v>
      </c>
    </row>
    <row r="119" spans="1:11" s="34" customFormat="1" ht="12.75">
      <c r="A119" s="46" t="s">
        <v>9</v>
      </c>
      <c r="B119" s="47" t="s">
        <v>233</v>
      </c>
      <c r="C119" s="47" t="s">
        <v>234</v>
      </c>
      <c r="D119" s="48">
        <v>0</v>
      </c>
      <c r="E119" s="48">
        <v>2819.88</v>
      </c>
      <c r="F119" s="48">
        <v>0</v>
      </c>
      <c r="G119" s="48">
        <v>0</v>
      </c>
      <c r="H119" s="48">
        <v>0</v>
      </c>
      <c r="I119" s="49"/>
      <c r="J119" s="76">
        <f>ABS(D119)+ABS(E119)+ABS(F119)+ABS(G119)+ABS(H119)</f>
        <v>2819.88</v>
      </c>
      <c r="K119" s="34">
        <v>1788621</v>
      </c>
    </row>
    <row r="120" spans="1:11" s="34" customFormat="1" ht="12.75" hidden="1">
      <c r="A120" s="46" t="s">
        <v>9</v>
      </c>
      <c r="B120" s="47" t="s">
        <v>235</v>
      </c>
      <c r="C120" s="47" t="s">
        <v>236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9"/>
      <c r="J120" s="76">
        <f>ABS(D120)+ABS(E120)+ABS(F120)+ABS(G120)+ABS(H120)</f>
        <v>0</v>
      </c>
      <c r="K120" s="34">
        <v>1788622</v>
      </c>
    </row>
    <row r="121" spans="1:11" s="34" customFormat="1" ht="12.75" hidden="1">
      <c r="A121" s="46" t="s">
        <v>9</v>
      </c>
      <c r="B121" s="47" t="s">
        <v>237</v>
      </c>
      <c r="C121" s="47" t="s">
        <v>238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9"/>
      <c r="J121" s="76">
        <f>ABS(D121)+ABS(E121)+ABS(F121)+ABS(G121)+ABS(H121)</f>
        <v>0</v>
      </c>
      <c r="K121" s="34">
        <v>1788623</v>
      </c>
    </row>
    <row r="122" spans="1:11" s="34" customFormat="1" ht="12.75" hidden="1">
      <c r="A122" s="46" t="s">
        <v>9</v>
      </c>
      <c r="B122" s="47" t="s">
        <v>239</v>
      </c>
      <c r="C122" s="47" t="s">
        <v>240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9"/>
      <c r="J122" s="76">
        <f>ABS(D122)+ABS(E122)+ABS(F122)+ABS(G122)+ABS(H122)</f>
        <v>0</v>
      </c>
      <c r="K122" s="34">
        <v>1788624</v>
      </c>
    </row>
    <row r="123" spans="1:11" s="34" customFormat="1" ht="12.75">
      <c r="A123" s="46" t="s">
        <v>9</v>
      </c>
      <c r="B123" s="47" t="s">
        <v>241</v>
      </c>
      <c r="C123" s="47" t="s">
        <v>242</v>
      </c>
      <c r="D123" s="48">
        <v>0</v>
      </c>
      <c r="E123" s="48">
        <v>0</v>
      </c>
      <c r="F123" s="48">
        <v>0</v>
      </c>
      <c r="G123" s="48">
        <v>0</v>
      </c>
      <c r="H123" s="48">
        <v>500</v>
      </c>
      <c r="I123" s="49"/>
      <c r="J123" s="76">
        <f>ABS(D123)+ABS(E123)+ABS(F123)+ABS(G123)+ABS(H123)</f>
        <v>500</v>
      </c>
      <c r="K123" s="34">
        <v>1788625</v>
      </c>
    </row>
    <row r="124" spans="1:11" s="34" customFormat="1" ht="12.75" hidden="1">
      <c r="A124" s="46" t="s">
        <v>9</v>
      </c>
      <c r="B124" s="47" t="s">
        <v>243</v>
      </c>
      <c r="C124" s="47" t="s">
        <v>244</v>
      </c>
      <c r="D124" s="48">
        <v>0</v>
      </c>
      <c r="E124" s="48">
        <v>0</v>
      </c>
      <c r="F124" s="48">
        <v>0</v>
      </c>
      <c r="G124" s="48">
        <v>0</v>
      </c>
      <c r="H124" s="48">
        <v>0</v>
      </c>
      <c r="I124" s="49"/>
      <c r="J124" s="76">
        <f>ABS(D124)+ABS(E124)+ABS(F124)+ABS(G124)+ABS(H124)</f>
        <v>0</v>
      </c>
      <c r="K124" s="34">
        <v>1788626</v>
      </c>
    </row>
    <row r="125" spans="1:11" s="34" customFormat="1" ht="12.75">
      <c r="A125" s="46" t="s">
        <v>9</v>
      </c>
      <c r="B125" s="47" t="s">
        <v>245</v>
      </c>
      <c r="C125" s="47" t="s">
        <v>246</v>
      </c>
      <c r="D125" s="48">
        <v>5750</v>
      </c>
      <c r="E125" s="48">
        <v>9750</v>
      </c>
      <c r="F125" s="48">
        <v>0</v>
      </c>
      <c r="G125" s="48">
        <v>1166.66</v>
      </c>
      <c r="H125" s="48">
        <v>7000</v>
      </c>
      <c r="I125" s="49"/>
      <c r="J125" s="76">
        <f>ABS(D125)+ABS(E125)+ABS(F125)+ABS(G125)+ABS(H125)</f>
        <v>23666.66</v>
      </c>
      <c r="K125" s="34">
        <v>1788627</v>
      </c>
    </row>
    <row r="126" spans="1:11" s="34" customFormat="1" ht="12.75" hidden="1">
      <c r="A126" s="46" t="s">
        <v>9</v>
      </c>
      <c r="B126" s="47" t="s">
        <v>247</v>
      </c>
      <c r="C126" s="47" t="s">
        <v>248</v>
      </c>
      <c r="D126" s="48">
        <v>0</v>
      </c>
      <c r="E126" s="48">
        <v>0</v>
      </c>
      <c r="F126" s="48">
        <v>0</v>
      </c>
      <c r="G126" s="48">
        <v>0</v>
      </c>
      <c r="H126" s="48">
        <v>0</v>
      </c>
      <c r="I126" s="49"/>
      <c r="J126" s="76">
        <f>ABS(D126)+ABS(E126)+ABS(F126)+ABS(G126)+ABS(H126)</f>
        <v>0</v>
      </c>
      <c r="K126" s="34">
        <v>1788628</v>
      </c>
    </row>
    <row r="127" spans="1:11" s="34" customFormat="1" ht="12.75">
      <c r="A127" s="46" t="s">
        <v>9</v>
      </c>
      <c r="B127" s="47" t="s">
        <v>249</v>
      </c>
      <c r="C127" s="47" t="s">
        <v>250</v>
      </c>
      <c r="D127" s="48">
        <v>40979.02</v>
      </c>
      <c r="E127" s="48">
        <v>63902.02</v>
      </c>
      <c r="F127" s="48">
        <v>1750.72</v>
      </c>
      <c r="G127" s="48">
        <v>9166.66</v>
      </c>
      <c r="H127" s="48">
        <v>55000</v>
      </c>
      <c r="I127" s="49"/>
      <c r="J127" s="76">
        <f>ABS(D127)+ABS(E127)+ABS(F127)+ABS(G127)+ABS(H127)</f>
        <v>170798.42</v>
      </c>
      <c r="K127" s="34">
        <v>1788629</v>
      </c>
    </row>
    <row r="128" spans="1:11" s="34" customFormat="1" ht="12.75" hidden="1">
      <c r="A128" s="46" t="s">
        <v>9</v>
      </c>
      <c r="B128" s="47" t="s">
        <v>251</v>
      </c>
      <c r="C128" s="47" t="s">
        <v>252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9"/>
      <c r="J128" s="76">
        <f>ABS(D128)+ABS(E128)+ABS(F128)+ABS(G128)+ABS(H128)</f>
        <v>0</v>
      </c>
      <c r="K128" s="34">
        <v>1788630</v>
      </c>
    </row>
    <row r="129" spans="1:11" s="34" customFormat="1" ht="12.75" hidden="1">
      <c r="A129" s="46" t="s">
        <v>9</v>
      </c>
      <c r="B129" s="47" t="s">
        <v>253</v>
      </c>
      <c r="C129" s="47" t="s">
        <v>254</v>
      </c>
      <c r="D129" s="48">
        <v>0</v>
      </c>
      <c r="E129" s="48">
        <v>0</v>
      </c>
      <c r="F129" s="48">
        <v>0</v>
      </c>
      <c r="G129" s="48">
        <v>0</v>
      </c>
      <c r="H129" s="48">
        <v>0</v>
      </c>
      <c r="I129" s="49"/>
      <c r="J129" s="76">
        <f>ABS(D129)+ABS(E129)+ABS(F129)+ABS(G129)+ABS(H129)</f>
        <v>0</v>
      </c>
      <c r="K129" s="34">
        <v>1788631</v>
      </c>
    </row>
    <row r="130" spans="1:11" s="34" customFormat="1" ht="12.75" hidden="1">
      <c r="A130" s="46" t="s">
        <v>9</v>
      </c>
      <c r="B130" s="47" t="s">
        <v>255</v>
      </c>
      <c r="C130" s="47" t="s">
        <v>256</v>
      </c>
      <c r="D130" s="48">
        <v>0</v>
      </c>
      <c r="E130" s="48">
        <v>0</v>
      </c>
      <c r="F130" s="48">
        <v>0</v>
      </c>
      <c r="G130" s="48">
        <v>0</v>
      </c>
      <c r="H130" s="48">
        <v>0</v>
      </c>
      <c r="I130" s="49"/>
      <c r="J130" s="76">
        <f>ABS(D130)+ABS(E130)+ABS(F130)+ABS(G130)+ABS(H130)</f>
        <v>0</v>
      </c>
      <c r="K130" s="34">
        <v>1788632</v>
      </c>
    </row>
    <row r="131" spans="1:11" s="34" customFormat="1" ht="12.75" hidden="1">
      <c r="A131" s="46" t="s">
        <v>9</v>
      </c>
      <c r="B131" s="47" t="s">
        <v>257</v>
      </c>
      <c r="C131" s="47" t="s">
        <v>258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9"/>
      <c r="J131" s="76">
        <f>ABS(D131)+ABS(E131)+ABS(F131)+ABS(G131)+ABS(H131)</f>
        <v>0</v>
      </c>
      <c r="K131" s="34">
        <v>1788633</v>
      </c>
    </row>
    <row r="132" spans="1:11" s="34" customFormat="1" ht="12.75" hidden="1">
      <c r="A132" s="46" t="s">
        <v>9</v>
      </c>
      <c r="B132" s="47" t="s">
        <v>259</v>
      </c>
      <c r="C132" s="47" t="s">
        <v>260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9"/>
      <c r="J132" s="76">
        <f>ABS(D132)+ABS(E132)+ABS(F132)+ABS(G132)+ABS(H132)</f>
        <v>0</v>
      </c>
      <c r="K132" s="34">
        <v>1788634</v>
      </c>
    </row>
    <row r="133" spans="1:11" s="34" customFormat="1" ht="12.75" hidden="1">
      <c r="A133" s="46" t="s">
        <v>9</v>
      </c>
      <c r="B133" s="47" t="s">
        <v>261</v>
      </c>
      <c r="C133" s="47" t="s">
        <v>262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9"/>
      <c r="J133" s="76">
        <f>ABS(D133)+ABS(E133)+ABS(F133)+ABS(G133)+ABS(H133)</f>
        <v>0</v>
      </c>
      <c r="K133" s="34">
        <v>1788635</v>
      </c>
    </row>
    <row r="134" spans="1:11" s="34" customFormat="1" ht="12.75" hidden="1">
      <c r="A134" s="46" t="s">
        <v>9</v>
      </c>
      <c r="B134" s="47" t="s">
        <v>263</v>
      </c>
      <c r="C134" s="47" t="s">
        <v>264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9"/>
      <c r="J134" s="76">
        <f>ABS(D134)+ABS(E134)+ABS(F134)+ABS(G134)+ABS(H134)</f>
        <v>0</v>
      </c>
      <c r="K134" s="34">
        <v>1788636</v>
      </c>
    </row>
    <row r="135" spans="1:11" s="34" customFormat="1" ht="12.75">
      <c r="A135" s="46" t="s">
        <v>9</v>
      </c>
      <c r="B135" s="47" t="s">
        <v>265</v>
      </c>
      <c r="C135" s="47" t="s">
        <v>266</v>
      </c>
      <c r="D135" s="48">
        <v>137144.39</v>
      </c>
      <c r="E135" s="48">
        <v>191482.03</v>
      </c>
      <c r="F135" s="48">
        <v>14989.39</v>
      </c>
      <c r="G135" s="48">
        <v>12500</v>
      </c>
      <c r="H135" s="48">
        <v>75000</v>
      </c>
      <c r="I135" s="49"/>
      <c r="J135" s="76">
        <f>ABS(D135)+ABS(E135)+ABS(F135)+ABS(G135)+ABS(H135)</f>
        <v>431115.81</v>
      </c>
      <c r="K135" s="34">
        <v>1788637</v>
      </c>
    </row>
    <row r="136" spans="1:11" s="34" customFormat="1" ht="12.75">
      <c r="A136" s="46" t="s">
        <v>9</v>
      </c>
      <c r="B136" s="47" t="s">
        <v>267</v>
      </c>
      <c r="C136" s="47" t="s">
        <v>268</v>
      </c>
      <c r="D136" s="48">
        <v>3789.62</v>
      </c>
      <c r="E136" s="48">
        <v>0</v>
      </c>
      <c r="F136" s="48">
        <v>0</v>
      </c>
      <c r="G136" s="48">
        <v>0</v>
      </c>
      <c r="H136" s="48">
        <v>5000</v>
      </c>
      <c r="I136" s="49"/>
      <c r="J136" s="76">
        <f>ABS(D136)+ABS(E136)+ABS(F136)+ABS(G136)+ABS(H136)</f>
        <v>8789.62</v>
      </c>
      <c r="K136" s="34">
        <v>1788638</v>
      </c>
    </row>
    <row r="137" spans="1:11" s="34" customFormat="1" ht="12.75" hidden="1">
      <c r="A137" s="46" t="s">
        <v>9</v>
      </c>
      <c r="B137" s="47" t="s">
        <v>269</v>
      </c>
      <c r="C137" s="47" t="s">
        <v>270</v>
      </c>
      <c r="D137" s="48">
        <v>0</v>
      </c>
      <c r="E137" s="48">
        <v>0</v>
      </c>
      <c r="F137" s="48">
        <v>0</v>
      </c>
      <c r="G137" s="48">
        <v>0</v>
      </c>
      <c r="H137" s="48">
        <v>0</v>
      </c>
      <c r="I137" s="49"/>
      <c r="J137" s="76">
        <f>ABS(D137)+ABS(E137)+ABS(F137)+ABS(G137)+ABS(H137)</f>
        <v>0</v>
      </c>
      <c r="K137" s="34">
        <v>1788639</v>
      </c>
    </row>
    <row r="138" spans="1:11" s="34" customFormat="1" ht="12.75">
      <c r="A138" s="46" t="s">
        <v>9</v>
      </c>
      <c r="B138" s="47" t="s">
        <v>271</v>
      </c>
      <c r="C138" s="47" t="s">
        <v>272</v>
      </c>
      <c r="D138" s="48">
        <v>0</v>
      </c>
      <c r="E138" s="48">
        <v>4532.47</v>
      </c>
      <c r="F138" s="48">
        <v>0</v>
      </c>
      <c r="G138" s="48">
        <v>0</v>
      </c>
      <c r="H138" s="48">
        <v>0</v>
      </c>
      <c r="I138" s="49"/>
      <c r="J138" s="76">
        <f>ABS(D138)+ABS(E138)+ABS(F138)+ABS(G138)+ABS(H138)</f>
        <v>4532.47</v>
      </c>
      <c r="K138" s="34">
        <v>1788640</v>
      </c>
    </row>
    <row r="139" spans="1:11" s="34" customFormat="1" ht="12.75" hidden="1">
      <c r="A139" s="46" t="s">
        <v>9</v>
      </c>
      <c r="B139" s="47" t="s">
        <v>273</v>
      </c>
      <c r="C139" s="47" t="s">
        <v>274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9"/>
      <c r="J139" s="76">
        <f>ABS(D139)+ABS(E139)+ABS(F139)+ABS(G139)+ABS(H139)</f>
        <v>0</v>
      </c>
      <c r="K139" s="34">
        <v>1788641</v>
      </c>
    </row>
    <row r="140" spans="1:11" s="34" customFormat="1" ht="12.75" hidden="1">
      <c r="A140" s="46" t="s">
        <v>9</v>
      </c>
      <c r="B140" s="47" t="s">
        <v>275</v>
      </c>
      <c r="C140" s="47" t="s">
        <v>276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9"/>
      <c r="J140" s="76">
        <f>ABS(D140)+ABS(E140)+ABS(F140)+ABS(G140)+ABS(H140)</f>
        <v>0</v>
      </c>
      <c r="K140" s="34">
        <v>1788642</v>
      </c>
    </row>
    <row r="141" spans="1:11" s="34" customFormat="1" ht="12.75" hidden="1">
      <c r="A141" s="46" t="s">
        <v>9</v>
      </c>
      <c r="B141" s="47" t="s">
        <v>277</v>
      </c>
      <c r="C141" s="47" t="s">
        <v>278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9"/>
      <c r="J141" s="76">
        <f>ABS(D141)+ABS(E141)+ABS(F141)+ABS(G141)+ABS(H141)</f>
        <v>0</v>
      </c>
      <c r="K141" s="34">
        <v>1788643</v>
      </c>
    </row>
    <row r="142" spans="1:11" s="34" customFormat="1" ht="12.75" hidden="1">
      <c r="A142" s="46" t="s">
        <v>9</v>
      </c>
      <c r="B142" s="47" t="s">
        <v>279</v>
      </c>
      <c r="C142" s="47" t="s">
        <v>280</v>
      </c>
      <c r="D142" s="48">
        <v>0</v>
      </c>
      <c r="E142" s="48">
        <v>0</v>
      </c>
      <c r="F142" s="48">
        <v>0</v>
      </c>
      <c r="G142" s="48">
        <v>0</v>
      </c>
      <c r="H142" s="48">
        <v>0</v>
      </c>
      <c r="I142" s="49"/>
      <c r="J142" s="76">
        <f>ABS(D142)+ABS(E142)+ABS(F142)+ABS(G142)+ABS(H142)</f>
        <v>0</v>
      </c>
      <c r="K142" s="34">
        <v>1788644</v>
      </c>
    </row>
    <row r="143" spans="1:11" s="34" customFormat="1" ht="12.75" hidden="1">
      <c r="A143" s="46" t="s">
        <v>9</v>
      </c>
      <c r="B143" s="47" t="s">
        <v>281</v>
      </c>
      <c r="C143" s="47" t="s">
        <v>282</v>
      </c>
      <c r="D143" s="48">
        <v>0</v>
      </c>
      <c r="E143" s="48">
        <v>0</v>
      </c>
      <c r="F143" s="48">
        <v>0</v>
      </c>
      <c r="G143" s="48">
        <v>0</v>
      </c>
      <c r="H143" s="48">
        <v>0</v>
      </c>
      <c r="I143" s="49"/>
      <c r="J143" s="76">
        <f>ABS(D143)+ABS(E143)+ABS(F143)+ABS(G143)+ABS(H143)</f>
        <v>0</v>
      </c>
      <c r="K143" s="34">
        <v>1788645</v>
      </c>
    </row>
    <row r="144" spans="1:11" s="34" customFormat="1" ht="12.75" hidden="1">
      <c r="A144" s="46" t="s">
        <v>9</v>
      </c>
      <c r="B144" s="47" t="s">
        <v>283</v>
      </c>
      <c r="C144" s="47" t="s">
        <v>284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9"/>
      <c r="J144" s="76">
        <f>ABS(D144)+ABS(E144)+ABS(F144)+ABS(G144)+ABS(H144)</f>
        <v>0</v>
      </c>
      <c r="K144" s="34">
        <v>1788646</v>
      </c>
    </row>
    <row r="145" spans="1:11" s="34" customFormat="1" ht="12.75" hidden="1">
      <c r="A145" s="46" t="s">
        <v>9</v>
      </c>
      <c r="B145" s="47" t="s">
        <v>285</v>
      </c>
      <c r="C145" s="47" t="s">
        <v>286</v>
      </c>
      <c r="D145" s="48">
        <v>0</v>
      </c>
      <c r="E145" s="48">
        <v>0</v>
      </c>
      <c r="F145" s="48">
        <v>0</v>
      </c>
      <c r="G145" s="48">
        <v>0</v>
      </c>
      <c r="H145" s="48">
        <v>0</v>
      </c>
      <c r="I145" s="49"/>
      <c r="J145" s="76">
        <f>ABS(D145)+ABS(E145)+ABS(F145)+ABS(G145)+ABS(H145)</f>
        <v>0</v>
      </c>
      <c r="K145" s="34">
        <v>1788647</v>
      </c>
    </row>
    <row r="146" spans="1:11" s="34" customFormat="1" ht="12.75" hidden="1">
      <c r="A146" s="46" t="s">
        <v>9</v>
      </c>
      <c r="B146" s="47" t="s">
        <v>287</v>
      </c>
      <c r="C146" s="47" t="s">
        <v>288</v>
      </c>
      <c r="D146" s="48">
        <v>0</v>
      </c>
      <c r="E146" s="48">
        <v>0</v>
      </c>
      <c r="F146" s="48">
        <v>0</v>
      </c>
      <c r="G146" s="48">
        <v>0</v>
      </c>
      <c r="H146" s="48">
        <v>0</v>
      </c>
      <c r="I146" s="49"/>
      <c r="J146" s="76">
        <f>ABS(D146)+ABS(E146)+ABS(F146)+ABS(G146)+ABS(H146)</f>
        <v>0</v>
      </c>
      <c r="K146" s="34">
        <v>1788648</v>
      </c>
    </row>
    <row r="147" spans="1:11" s="34" customFormat="1" ht="12.75" hidden="1">
      <c r="A147" s="46" t="s">
        <v>9</v>
      </c>
      <c r="B147" s="47" t="s">
        <v>289</v>
      </c>
      <c r="C147" s="47" t="s">
        <v>290</v>
      </c>
      <c r="D147" s="48">
        <v>0</v>
      </c>
      <c r="E147" s="48">
        <v>0</v>
      </c>
      <c r="F147" s="48">
        <v>0</v>
      </c>
      <c r="G147" s="48">
        <v>0</v>
      </c>
      <c r="H147" s="48">
        <v>0</v>
      </c>
      <c r="I147" s="49"/>
      <c r="J147" s="76">
        <f>ABS(D147)+ABS(E147)+ABS(F147)+ABS(G147)+ABS(H147)</f>
        <v>0</v>
      </c>
      <c r="K147" s="34">
        <v>1788649</v>
      </c>
    </row>
    <row r="148" spans="1:11" s="34" customFormat="1" ht="12.75" hidden="1">
      <c r="A148" s="46" t="s">
        <v>9</v>
      </c>
      <c r="B148" s="47" t="s">
        <v>291</v>
      </c>
      <c r="C148" s="47" t="s">
        <v>292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9"/>
      <c r="J148" s="76">
        <f>ABS(D148)+ABS(E148)+ABS(F148)+ABS(G148)+ABS(H148)</f>
        <v>0</v>
      </c>
      <c r="K148" s="34">
        <v>1788650</v>
      </c>
    </row>
    <row r="149" spans="1:11" s="34" customFormat="1" ht="12.75" hidden="1">
      <c r="A149" s="46" t="s">
        <v>9</v>
      </c>
      <c r="B149" s="47" t="s">
        <v>293</v>
      </c>
      <c r="C149" s="47" t="s">
        <v>294</v>
      </c>
      <c r="D149" s="48">
        <v>0</v>
      </c>
      <c r="E149" s="48">
        <v>0</v>
      </c>
      <c r="F149" s="48">
        <v>0</v>
      </c>
      <c r="G149" s="48">
        <v>0</v>
      </c>
      <c r="H149" s="48">
        <v>0</v>
      </c>
      <c r="I149" s="49"/>
      <c r="J149" s="76">
        <f>ABS(D149)+ABS(E149)+ABS(F149)+ABS(G149)+ABS(H149)</f>
        <v>0</v>
      </c>
      <c r="K149" s="34">
        <v>1788651</v>
      </c>
    </row>
    <row r="150" spans="1:11" s="34" customFormat="1" ht="12.75" hidden="1">
      <c r="A150" s="46" t="s">
        <v>9</v>
      </c>
      <c r="B150" s="47" t="s">
        <v>295</v>
      </c>
      <c r="C150" s="47" t="s">
        <v>296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9"/>
      <c r="J150" s="76">
        <f>ABS(D150)+ABS(E150)+ABS(F150)+ABS(G150)+ABS(H150)</f>
        <v>0</v>
      </c>
      <c r="K150" s="34">
        <v>1788652</v>
      </c>
    </row>
    <row r="151" spans="1:11" s="34" customFormat="1" ht="12.75" hidden="1">
      <c r="A151" s="46" t="s">
        <v>9</v>
      </c>
      <c r="B151" s="47" t="s">
        <v>297</v>
      </c>
      <c r="C151" s="47" t="s">
        <v>298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9"/>
      <c r="J151" s="76">
        <f>ABS(D151)+ABS(E151)+ABS(F151)+ABS(G151)+ABS(H151)</f>
        <v>0</v>
      </c>
      <c r="K151" s="34">
        <v>1788653</v>
      </c>
    </row>
    <row r="152" spans="1:11" s="34" customFormat="1" ht="12.75" hidden="1">
      <c r="A152" s="46" t="s">
        <v>9</v>
      </c>
      <c r="B152" s="47" t="s">
        <v>299</v>
      </c>
      <c r="C152" s="47" t="s">
        <v>300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9"/>
      <c r="J152" s="76">
        <f>ABS(D152)+ABS(E152)+ABS(F152)+ABS(G152)+ABS(H152)</f>
        <v>0</v>
      </c>
      <c r="K152" s="34">
        <v>1788654</v>
      </c>
    </row>
    <row r="153" spans="1:11" s="34" customFormat="1" ht="12.75">
      <c r="A153" s="46" t="s">
        <v>9</v>
      </c>
      <c r="B153" s="47" t="s">
        <v>301</v>
      </c>
      <c r="C153" s="47" t="s">
        <v>302</v>
      </c>
      <c r="D153" s="48">
        <v>2250</v>
      </c>
      <c r="E153" s="48">
        <v>3500</v>
      </c>
      <c r="F153" s="48">
        <v>0</v>
      </c>
      <c r="G153" s="48">
        <v>333.34</v>
      </c>
      <c r="H153" s="48">
        <v>2000</v>
      </c>
      <c r="I153" s="49"/>
      <c r="J153" s="76">
        <f>ABS(D153)+ABS(E153)+ABS(F153)+ABS(G153)+ABS(H153)</f>
        <v>8083.34</v>
      </c>
      <c r="K153" s="34">
        <v>1788655</v>
      </c>
    </row>
    <row r="154" spans="1:11" s="34" customFormat="1" ht="12.75" hidden="1">
      <c r="A154" s="46" t="s">
        <v>9</v>
      </c>
      <c r="B154" s="47" t="s">
        <v>303</v>
      </c>
      <c r="C154" s="47" t="s">
        <v>304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9"/>
      <c r="J154" s="76">
        <f>ABS(D154)+ABS(E154)+ABS(F154)+ABS(G154)+ABS(H154)</f>
        <v>0</v>
      </c>
      <c r="K154" s="34">
        <v>1788656</v>
      </c>
    </row>
    <row r="155" spans="1:11" s="34" customFormat="1" ht="12.75" hidden="1">
      <c r="A155" s="46" t="s">
        <v>9</v>
      </c>
      <c r="B155" s="47" t="s">
        <v>305</v>
      </c>
      <c r="C155" s="47" t="s">
        <v>306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9"/>
      <c r="J155" s="76">
        <f>ABS(D155)+ABS(E155)+ABS(F155)+ABS(G155)+ABS(H155)</f>
        <v>0</v>
      </c>
      <c r="K155" s="34">
        <v>1788657</v>
      </c>
    </row>
    <row r="156" spans="1:11" s="34" customFormat="1" ht="12.75">
      <c r="A156" s="46" t="s">
        <v>9</v>
      </c>
      <c r="B156" s="47" t="s">
        <v>307</v>
      </c>
      <c r="C156" s="47" t="s">
        <v>308</v>
      </c>
      <c r="D156" s="48">
        <v>3926.99</v>
      </c>
      <c r="E156" s="48">
        <v>0</v>
      </c>
      <c r="F156" s="48">
        <v>0</v>
      </c>
      <c r="G156" s="48">
        <v>0</v>
      </c>
      <c r="H156" s="48">
        <v>0</v>
      </c>
      <c r="I156" s="49"/>
      <c r="J156" s="76">
        <f>ABS(D156)+ABS(E156)+ABS(F156)+ABS(G156)+ABS(H156)</f>
        <v>3926.99</v>
      </c>
      <c r="K156" s="34">
        <v>1788658</v>
      </c>
    </row>
    <row r="157" spans="1:11" s="34" customFormat="1" ht="12.75" hidden="1">
      <c r="A157" s="46" t="s">
        <v>9</v>
      </c>
      <c r="B157" s="47" t="s">
        <v>309</v>
      </c>
      <c r="C157" s="47" t="s">
        <v>310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9"/>
      <c r="J157" s="76">
        <f>ABS(D157)+ABS(E157)+ABS(F157)+ABS(G157)+ABS(H157)</f>
        <v>0</v>
      </c>
      <c r="K157" s="34">
        <v>1788659</v>
      </c>
    </row>
    <row r="158" spans="1:11" s="34" customFormat="1" ht="12.75" hidden="1">
      <c r="A158" s="46" t="s">
        <v>9</v>
      </c>
      <c r="B158" s="47" t="s">
        <v>311</v>
      </c>
      <c r="C158" s="47" t="s">
        <v>312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9"/>
      <c r="J158" s="76">
        <f>ABS(D158)+ABS(E158)+ABS(F158)+ABS(G158)+ABS(H158)</f>
        <v>0</v>
      </c>
      <c r="K158" s="34">
        <v>1788660</v>
      </c>
    </row>
    <row r="159" spans="1:11" s="34" customFormat="1" ht="12.75">
      <c r="A159" s="46" t="s">
        <v>9</v>
      </c>
      <c r="B159" s="47" t="s">
        <v>313</v>
      </c>
      <c r="C159" s="47" t="s">
        <v>314</v>
      </c>
      <c r="D159" s="48">
        <v>4350</v>
      </c>
      <c r="E159" s="48">
        <v>4230</v>
      </c>
      <c r="F159" s="48">
        <v>716.84</v>
      </c>
      <c r="G159" s="48">
        <v>833.34</v>
      </c>
      <c r="H159" s="48">
        <v>5000</v>
      </c>
      <c r="I159" s="49"/>
      <c r="J159" s="76">
        <f>ABS(D159)+ABS(E159)+ABS(F159)+ABS(G159)+ABS(H159)</f>
        <v>15130.18</v>
      </c>
      <c r="K159" s="34">
        <v>1788661</v>
      </c>
    </row>
    <row r="160" spans="1:11" s="34" customFormat="1" ht="12.75" hidden="1">
      <c r="A160" s="46" t="s">
        <v>9</v>
      </c>
      <c r="B160" s="47" t="s">
        <v>315</v>
      </c>
      <c r="C160" s="47" t="s">
        <v>316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9"/>
      <c r="J160" s="76">
        <f>ABS(D160)+ABS(E160)+ABS(F160)+ABS(G160)+ABS(H160)</f>
        <v>0</v>
      </c>
      <c r="K160" s="34">
        <v>1788662</v>
      </c>
    </row>
    <row r="161" spans="1:11" s="34" customFormat="1" ht="12.75">
      <c r="A161" s="46" t="s">
        <v>9</v>
      </c>
      <c r="B161" s="47" t="s">
        <v>317</v>
      </c>
      <c r="C161" s="47" t="s">
        <v>318</v>
      </c>
      <c r="D161" s="48">
        <v>5250</v>
      </c>
      <c r="E161" s="48">
        <v>9150</v>
      </c>
      <c r="F161" s="48">
        <v>0</v>
      </c>
      <c r="G161" s="48">
        <v>1166.66</v>
      </c>
      <c r="H161" s="48">
        <v>7000</v>
      </c>
      <c r="I161" s="49"/>
      <c r="J161" s="76">
        <f>ABS(D161)+ABS(E161)+ABS(F161)+ABS(G161)+ABS(H161)</f>
        <v>22566.66</v>
      </c>
      <c r="K161" s="34">
        <v>1788663</v>
      </c>
    </row>
    <row r="162" spans="1:11" s="34" customFormat="1" ht="12.75" hidden="1">
      <c r="A162" s="46" t="s">
        <v>9</v>
      </c>
      <c r="B162" s="47" t="s">
        <v>319</v>
      </c>
      <c r="C162" s="47" t="s">
        <v>320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9"/>
      <c r="J162" s="76">
        <f>ABS(D162)+ABS(E162)+ABS(F162)+ABS(G162)+ABS(H162)</f>
        <v>0</v>
      </c>
      <c r="K162" s="34">
        <v>1788664</v>
      </c>
    </row>
    <row r="163" spans="1:11" s="34" customFormat="1" ht="12.75" hidden="1">
      <c r="A163" s="46" t="s">
        <v>9</v>
      </c>
      <c r="B163" s="47" t="s">
        <v>321</v>
      </c>
      <c r="C163" s="47" t="s">
        <v>322</v>
      </c>
      <c r="D163" s="48">
        <v>0</v>
      </c>
      <c r="E163" s="48">
        <v>0</v>
      </c>
      <c r="F163" s="48">
        <v>0</v>
      </c>
      <c r="G163" s="48">
        <v>0</v>
      </c>
      <c r="H163" s="48">
        <v>0</v>
      </c>
      <c r="I163" s="49"/>
      <c r="J163" s="76">
        <f>ABS(D163)+ABS(E163)+ABS(F163)+ABS(G163)+ABS(H163)</f>
        <v>0</v>
      </c>
      <c r="K163" s="34">
        <v>1788665</v>
      </c>
    </row>
    <row r="164" spans="1:11" s="34" customFormat="1" ht="12.75" hidden="1">
      <c r="A164" s="46" t="s">
        <v>9</v>
      </c>
      <c r="B164" s="47" t="s">
        <v>323</v>
      </c>
      <c r="C164" s="47" t="s">
        <v>324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9"/>
      <c r="J164" s="76">
        <f>ABS(D164)+ABS(E164)+ABS(F164)+ABS(G164)+ABS(H164)</f>
        <v>0</v>
      </c>
      <c r="K164" s="34">
        <v>1788666</v>
      </c>
    </row>
    <row r="165" spans="1:11" s="34" customFormat="1" ht="12.75" hidden="1">
      <c r="A165" s="46" t="s">
        <v>9</v>
      </c>
      <c r="B165" s="47" t="s">
        <v>325</v>
      </c>
      <c r="C165" s="47" t="s">
        <v>326</v>
      </c>
      <c r="D165" s="48">
        <v>0</v>
      </c>
      <c r="E165" s="48">
        <v>0</v>
      </c>
      <c r="F165" s="48">
        <v>0</v>
      </c>
      <c r="G165" s="48">
        <v>0</v>
      </c>
      <c r="H165" s="48">
        <v>0</v>
      </c>
      <c r="I165" s="49"/>
      <c r="J165" s="76">
        <f>ABS(D165)+ABS(E165)+ABS(F165)+ABS(G165)+ABS(H165)</f>
        <v>0</v>
      </c>
      <c r="K165" s="34">
        <v>1788667</v>
      </c>
    </row>
    <row r="166" spans="1:11" s="34" customFormat="1" ht="12.75" hidden="1">
      <c r="A166" s="46" t="s">
        <v>9</v>
      </c>
      <c r="B166" s="47" t="s">
        <v>327</v>
      </c>
      <c r="C166" s="47" t="s">
        <v>328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9"/>
      <c r="J166" s="76">
        <f>ABS(D166)+ABS(E166)+ABS(F166)+ABS(G166)+ABS(H166)</f>
        <v>0</v>
      </c>
      <c r="K166" s="34">
        <v>1788668</v>
      </c>
    </row>
    <row r="167" spans="1:11" s="34" customFormat="1" ht="12.75" hidden="1">
      <c r="A167" s="46" t="s">
        <v>9</v>
      </c>
      <c r="B167" s="47" t="s">
        <v>329</v>
      </c>
      <c r="C167" s="47" t="s">
        <v>330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9"/>
      <c r="J167" s="76">
        <f>ABS(D167)+ABS(E167)+ABS(F167)+ABS(G167)+ABS(H167)</f>
        <v>0</v>
      </c>
      <c r="K167" s="34">
        <v>1788669</v>
      </c>
    </row>
    <row r="168" spans="1:11" s="34" customFormat="1" ht="12.75" hidden="1">
      <c r="A168" s="46" t="s">
        <v>9</v>
      </c>
      <c r="B168" s="47" t="s">
        <v>331</v>
      </c>
      <c r="C168" s="47" t="s">
        <v>332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9"/>
      <c r="J168" s="76">
        <f>ABS(D168)+ABS(E168)+ABS(F168)+ABS(G168)+ABS(H168)</f>
        <v>0</v>
      </c>
      <c r="K168" s="34">
        <v>1788670</v>
      </c>
    </row>
    <row r="169" spans="1:11" s="34" customFormat="1" ht="12.75" hidden="1">
      <c r="A169" s="46" t="s">
        <v>9</v>
      </c>
      <c r="B169" s="47" t="s">
        <v>333</v>
      </c>
      <c r="C169" s="47" t="s">
        <v>334</v>
      </c>
      <c r="D169" s="48">
        <v>0</v>
      </c>
      <c r="E169" s="48">
        <v>0</v>
      </c>
      <c r="F169" s="48">
        <v>0</v>
      </c>
      <c r="G169" s="48">
        <v>0</v>
      </c>
      <c r="H169" s="48">
        <v>0</v>
      </c>
      <c r="I169" s="49"/>
      <c r="J169" s="76">
        <f>ABS(D169)+ABS(E169)+ABS(F169)+ABS(G169)+ABS(H169)</f>
        <v>0</v>
      </c>
      <c r="K169" s="34">
        <v>1788671</v>
      </c>
    </row>
    <row r="170" spans="1:11" s="34" customFormat="1" ht="12.75" hidden="1">
      <c r="A170" s="46" t="s">
        <v>9</v>
      </c>
      <c r="B170" s="47" t="s">
        <v>335</v>
      </c>
      <c r="C170" s="47" t="s">
        <v>336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9"/>
      <c r="J170" s="76">
        <f>ABS(D170)+ABS(E170)+ABS(F170)+ABS(G170)+ABS(H170)</f>
        <v>0</v>
      </c>
      <c r="K170" s="34">
        <v>1788672</v>
      </c>
    </row>
    <row r="171" spans="1:11" s="34" customFormat="1" ht="12.75" hidden="1">
      <c r="A171" s="46" t="s">
        <v>9</v>
      </c>
      <c r="B171" s="47" t="s">
        <v>337</v>
      </c>
      <c r="C171" s="47" t="s">
        <v>338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9"/>
      <c r="J171" s="76">
        <f>ABS(D171)+ABS(E171)+ABS(F171)+ABS(G171)+ABS(H171)</f>
        <v>0</v>
      </c>
      <c r="K171" s="34">
        <v>1788673</v>
      </c>
    </row>
    <row r="172" spans="1:11" s="34" customFormat="1" ht="12.75">
      <c r="A172" s="46" t="s">
        <v>9</v>
      </c>
      <c r="B172" s="47" t="s">
        <v>339</v>
      </c>
      <c r="C172" s="47" t="s">
        <v>340</v>
      </c>
      <c r="D172" s="48">
        <v>368.09</v>
      </c>
      <c r="E172" s="48">
        <v>291.33</v>
      </c>
      <c r="F172" s="48">
        <v>55.57</v>
      </c>
      <c r="G172" s="48">
        <v>0</v>
      </c>
      <c r="H172" s="48">
        <v>0</v>
      </c>
      <c r="I172" s="49"/>
      <c r="J172" s="76">
        <f>ABS(D172)+ABS(E172)+ABS(F172)+ABS(G172)+ABS(H172)</f>
        <v>714.99</v>
      </c>
      <c r="K172" s="34">
        <v>1788674</v>
      </c>
    </row>
    <row r="173" spans="1:11" s="34" customFormat="1" ht="12.75" hidden="1">
      <c r="A173" s="46" t="s">
        <v>9</v>
      </c>
      <c r="B173" s="47" t="s">
        <v>341</v>
      </c>
      <c r="C173" s="47" t="s">
        <v>342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9"/>
      <c r="J173" s="76">
        <f>ABS(D173)+ABS(E173)+ABS(F173)+ABS(G173)+ABS(H173)</f>
        <v>0</v>
      </c>
      <c r="K173" s="34">
        <v>1788675</v>
      </c>
    </row>
    <row r="174" spans="1:11" s="34" customFormat="1" ht="12.75" hidden="1">
      <c r="A174" s="46" t="s">
        <v>9</v>
      </c>
      <c r="B174" s="47" t="s">
        <v>343</v>
      </c>
      <c r="C174" s="47" t="s">
        <v>344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9"/>
      <c r="J174" s="76">
        <f>ABS(D174)+ABS(E174)+ABS(F174)+ABS(G174)+ABS(H174)</f>
        <v>0</v>
      </c>
      <c r="K174" s="34">
        <v>1788676</v>
      </c>
    </row>
    <row r="175" spans="1:11" s="34" customFormat="1" ht="12.75" hidden="1">
      <c r="A175" s="46" t="s">
        <v>9</v>
      </c>
      <c r="B175" s="47" t="s">
        <v>345</v>
      </c>
      <c r="C175" s="47" t="s">
        <v>346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9"/>
      <c r="J175" s="76">
        <f>ABS(D175)+ABS(E175)+ABS(F175)+ABS(G175)+ABS(H175)</f>
        <v>0</v>
      </c>
      <c r="K175" s="34">
        <v>1788677</v>
      </c>
    </row>
    <row r="176" spans="1:11" s="34" customFormat="1" ht="12.75" hidden="1">
      <c r="A176" s="46" t="s">
        <v>9</v>
      </c>
      <c r="B176" s="47" t="s">
        <v>347</v>
      </c>
      <c r="C176" s="47" t="s">
        <v>348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9"/>
      <c r="J176" s="76">
        <f>ABS(D176)+ABS(E176)+ABS(F176)+ABS(G176)+ABS(H176)</f>
        <v>0</v>
      </c>
      <c r="K176" s="34">
        <v>1788678</v>
      </c>
    </row>
    <row r="177" spans="1:11" s="34" customFormat="1" ht="12.75" hidden="1">
      <c r="A177" s="46" t="s">
        <v>9</v>
      </c>
      <c r="B177" s="47" t="s">
        <v>349</v>
      </c>
      <c r="C177" s="47" t="s">
        <v>350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9"/>
      <c r="J177" s="76">
        <f>ABS(D177)+ABS(E177)+ABS(F177)+ABS(G177)+ABS(H177)</f>
        <v>0</v>
      </c>
      <c r="K177" s="34">
        <v>1788679</v>
      </c>
    </row>
    <row r="178" spans="1:11" s="34" customFormat="1" ht="12.75" hidden="1">
      <c r="A178" s="46" t="s">
        <v>9</v>
      </c>
      <c r="B178" s="47" t="s">
        <v>351</v>
      </c>
      <c r="C178" s="47" t="s">
        <v>352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9"/>
      <c r="J178" s="76">
        <f>ABS(D178)+ABS(E178)+ABS(F178)+ABS(G178)+ABS(H178)</f>
        <v>0</v>
      </c>
      <c r="K178" s="34">
        <v>1788680</v>
      </c>
    </row>
    <row r="179" spans="1:11" s="34" customFormat="1" ht="12.75" hidden="1">
      <c r="A179" s="46" t="s">
        <v>9</v>
      </c>
      <c r="B179" s="47" t="s">
        <v>353</v>
      </c>
      <c r="C179" s="47" t="s">
        <v>354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9"/>
      <c r="J179" s="76">
        <f>ABS(D179)+ABS(E179)+ABS(F179)+ABS(G179)+ABS(H179)</f>
        <v>0</v>
      </c>
      <c r="K179" s="34">
        <v>1788681</v>
      </c>
    </row>
    <row r="180" spans="1:11" s="34" customFormat="1" ht="12.75" hidden="1">
      <c r="A180" s="46" t="s">
        <v>9</v>
      </c>
      <c r="B180" s="47" t="s">
        <v>355</v>
      </c>
      <c r="C180" s="47" t="s">
        <v>356</v>
      </c>
      <c r="D180" s="48">
        <v>0</v>
      </c>
      <c r="E180" s="48">
        <v>0</v>
      </c>
      <c r="F180" s="48">
        <v>0</v>
      </c>
      <c r="G180" s="48">
        <v>0</v>
      </c>
      <c r="H180" s="48">
        <v>0</v>
      </c>
      <c r="I180" s="49"/>
      <c r="J180" s="76">
        <f>ABS(D180)+ABS(E180)+ABS(F180)+ABS(G180)+ABS(H180)</f>
        <v>0</v>
      </c>
      <c r="K180" s="34">
        <v>1788682</v>
      </c>
    </row>
    <row r="181" spans="1:11" s="34" customFormat="1" ht="12.75" hidden="1">
      <c r="A181" s="46" t="s">
        <v>9</v>
      </c>
      <c r="B181" s="47" t="s">
        <v>357</v>
      </c>
      <c r="C181" s="47" t="s">
        <v>358</v>
      </c>
      <c r="D181" s="48">
        <v>0</v>
      </c>
      <c r="E181" s="48">
        <v>0</v>
      </c>
      <c r="F181" s="48">
        <v>0</v>
      </c>
      <c r="G181" s="48">
        <v>0</v>
      </c>
      <c r="H181" s="48">
        <v>0</v>
      </c>
      <c r="I181" s="49"/>
      <c r="J181" s="76">
        <f>ABS(D181)+ABS(E181)+ABS(F181)+ABS(G181)+ABS(H181)</f>
        <v>0</v>
      </c>
      <c r="K181" s="34">
        <v>1788683</v>
      </c>
    </row>
    <row r="182" spans="1:11" s="34" customFormat="1" ht="12.75">
      <c r="A182" s="46" t="s">
        <v>9</v>
      </c>
      <c r="B182" s="47" t="s">
        <v>359</v>
      </c>
      <c r="C182" s="47" t="s">
        <v>360</v>
      </c>
      <c r="D182" s="48">
        <v>0</v>
      </c>
      <c r="E182" s="48">
        <v>0</v>
      </c>
      <c r="F182" s="48">
        <v>16500</v>
      </c>
      <c r="G182" s="48">
        <v>0</v>
      </c>
      <c r="H182" s="48">
        <v>0</v>
      </c>
      <c r="I182" s="49"/>
      <c r="J182" s="76">
        <f>ABS(D182)+ABS(E182)+ABS(F182)+ABS(G182)+ABS(H182)</f>
        <v>16500</v>
      </c>
      <c r="K182" s="34">
        <v>1788684</v>
      </c>
    </row>
    <row r="183" spans="1:11" s="34" customFormat="1" ht="12.75">
      <c r="A183" s="46" t="s">
        <v>23</v>
      </c>
      <c r="B183" s="55" t="s">
        <v>361</v>
      </c>
      <c r="C183" s="55" t="s">
        <v>362</v>
      </c>
      <c r="D183" s="56">
        <v>213911.35</v>
      </c>
      <c r="E183" s="56">
        <v>298837.76</v>
      </c>
      <c r="F183" s="56">
        <v>33814.12</v>
      </c>
      <c r="G183" s="56">
        <v>26166.66</v>
      </c>
      <c r="H183" s="56">
        <v>162500</v>
      </c>
      <c r="I183" s="57"/>
      <c r="J183" s="77">
        <f>ABS(D183)+ABS(E183)+ABS(F183)+ABS(G183)+ABS(H183)</f>
        <v>735229.89</v>
      </c>
      <c r="K183" s="34">
        <v>1788685</v>
      </c>
    </row>
    <row r="184" spans="1:11" s="34" customFormat="1" ht="12.75">
      <c r="A184" s="46" t="s">
        <v>23</v>
      </c>
      <c r="B184" s="55" t="s">
        <v>363</v>
      </c>
      <c r="C184" s="55" t="s">
        <v>364</v>
      </c>
      <c r="D184" s="56">
        <v>5477420.47</v>
      </c>
      <c r="E184" s="56">
        <v>5612299.68</v>
      </c>
      <c r="F184" s="56">
        <v>971121.92</v>
      </c>
      <c r="G184" s="56">
        <v>949988.48</v>
      </c>
      <c r="H184" s="56">
        <v>5751389</v>
      </c>
      <c r="I184" s="57"/>
      <c r="J184" s="77">
        <f>ABS(D184)+ABS(E184)+ABS(F184)+ABS(G184)+ABS(H184)</f>
        <v>18762219.55</v>
      </c>
      <c r="K184" s="34">
        <v>1788686</v>
      </c>
    </row>
    <row r="185" spans="1:10" s="34" customFormat="1" ht="12.75">
      <c r="A185" s="46"/>
      <c r="B185" s="47"/>
      <c r="C185" s="47"/>
      <c r="D185" s="48"/>
      <c r="E185" s="48"/>
      <c r="F185" s="48"/>
      <c r="G185" s="48"/>
      <c r="H185" s="48"/>
      <c r="I185" s="49"/>
      <c r="J185" s="76"/>
    </row>
    <row r="186" spans="1:11" s="34" customFormat="1" ht="12.75">
      <c r="A186" s="46" t="s">
        <v>24</v>
      </c>
      <c r="B186" s="55" t="s">
        <v>365</v>
      </c>
      <c r="C186" s="55" t="s">
        <v>366</v>
      </c>
      <c r="D186" s="56" t="s">
        <v>1</v>
      </c>
      <c r="E186" s="56" t="s">
        <v>1</v>
      </c>
      <c r="F186" s="56" t="s">
        <v>1</v>
      </c>
      <c r="G186" s="56" t="s">
        <v>1</v>
      </c>
      <c r="H186" s="56" t="s">
        <v>1</v>
      </c>
      <c r="I186" s="57"/>
      <c r="J186" s="77">
        <v>1</v>
      </c>
      <c r="K186" s="34">
        <v>1788687</v>
      </c>
    </row>
    <row r="187" spans="1:10" s="34" customFormat="1" ht="12.75">
      <c r="A187" s="46"/>
      <c r="B187" s="47"/>
      <c r="C187" s="47"/>
      <c r="D187" s="48"/>
      <c r="E187" s="48"/>
      <c r="F187" s="48"/>
      <c r="G187" s="48"/>
      <c r="H187" s="48"/>
      <c r="I187" s="49"/>
      <c r="J187" s="76"/>
    </row>
    <row r="188" spans="1:11" s="34" customFormat="1" ht="12.75">
      <c r="A188" s="46" t="s">
        <v>24</v>
      </c>
      <c r="B188" s="55" t="s">
        <v>367</v>
      </c>
      <c r="C188" s="55" t="s">
        <v>368</v>
      </c>
      <c r="D188" s="56" t="s">
        <v>1</v>
      </c>
      <c r="E188" s="56" t="s">
        <v>1</v>
      </c>
      <c r="F188" s="56" t="s">
        <v>1</v>
      </c>
      <c r="G188" s="56" t="s">
        <v>1</v>
      </c>
      <c r="H188" s="56" t="s">
        <v>1</v>
      </c>
      <c r="I188" s="57"/>
      <c r="J188" s="77">
        <v>1</v>
      </c>
      <c r="K188" s="34">
        <v>1788688</v>
      </c>
    </row>
    <row r="189" spans="1:10" s="34" customFormat="1" ht="12.75">
      <c r="A189" s="46"/>
      <c r="B189" s="47"/>
      <c r="C189" s="47"/>
      <c r="D189" s="48"/>
      <c r="E189" s="48"/>
      <c r="F189" s="48"/>
      <c r="G189" s="48"/>
      <c r="H189" s="48"/>
      <c r="I189" s="49"/>
      <c r="J189" s="76"/>
    </row>
    <row r="190" spans="1:11" s="34" customFormat="1" ht="12.75">
      <c r="A190" s="46" t="s">
        <v>25</v>
      </c>
      <c r="B190" s="59" t="s">
        <v>369</v>
      </c>
      <c r="C190" s="59" t="s">
        <v>370</v>
      </c>
      <c r="D190" s="60" t="s">
        <v>1</v>
      </c>
      <c r="E190" s="60" t="s">
        <v>1</v>
      </c>
      <c r="F190" s="60" t="s">
        <v>1</v>
      </c>
      <c r="G190" s="60" t="s">
        <v>1</v>
      </c>
      <c r="H190" s="60" t="s">
        <v>1</v>
      </c>
      <c r="I190" s="61"/>
      <c r="J190" s="78">
        <v>1</v>
      </c>
      <c r="K190" s="34">
        <v>1788689</v>
      </c>
    </row>
    <row r="191" spans="1:11" s="34" customFormat="1" ht="12.75">
      <c r="A191" s="46" t="s">
        <v>6</v>
      </c>
      <c r="B191" s="47" t="s">
        <v>371</v>
      </c>
      <c r="C191" s="47" t="s">
        <v>372</v>
      </c>
      <c r="D191" s="48">
        <v>566682.64</v>
      </c>
      <c r="E191" s="48">
        <v>590263.76</v>
      </c>
      <c r="F191" s="48">
        <v>89386.92</v>
      </c>
      <c r="G191" s="48">
        <v>99276</v>
      </c>
      <c r="H191" s="48">
        <v>645296</v>
      </c>
      <c r="I191" s="49"/>
      <c r="J191" s="76">
        <f>ABS(D191)+ABS(E191)+ABS(F191)+ABS(G191)+ABS(H191)</f>
        <v>1990905.32</v>
      </c>
      <c r="K191" s="34">
        <v>1788690</v>
      </c>
    </row>
    <row r="192" spans="1:11" s="34" customFormat="1" ht="12.75">
      <c r="A192" s="46" t="s">
        <v>6</v>
      </c>
      <c r="B192" s="47" t="s">
        <v>373</v>
      </c>
      <c r="C192" s="47" t="s">
        <v>374</v>
      </c>
      <c r="D192" s="48">
        <v>24030.58</v>
      </c>
      <c r="E192" s="48">
        <v>19145.25</v>
      </c>
      <c r="F192" s="48">
        <v>1468.8</v>
      </c>
      <c r="G192" s="48">
        <v>2483</v>
      </c>
      <c r="H192" s="48">
        <v>16143</v>
      </c>
      <c r="I192" s="49"/>
      <c r="J192" s="76">
        <f>ABS(D192)+ABS(E192)+ABS(F192)+ABS(G192)+ABS(H192)</f>
        <v>63270.63</v>
      </c>
      <c r="K192" s="34">
        <v>1788691</v>
      </c>
    </row>
    <row r="193" spans="1:11" s="34" customFormat="1" ht="12.75">
      <c r="A193" s="46" t="s">
        <v>6</v>
      </c>
      <c r="B193" s="47" t="s">
        <v>375</v>
      </c>
      <c r="C193" s="47" t="s">
        <v>376</v>
      </c>
      <c r="D193" s="48">
        <v>47038.68</v>
      </c>
      <c r="E193" s="48">
        <v>41567</v>
      </c>
      <c r="F193" s="48">
        <v>0</v>
      </c>
      <c r="G193" s="48">
        <v>0</v>
      </c>
      <c r="H193" s="48">
        <v>35049</v>
      </c>
      <c r="I193" s="49"/>
      <c r="J193" s="76">
        <f>ABS(D193)+ABS(E193)+ABS(F193)+ABS(G193)+ABS(H193)</f>
        <v>123654.68</v>
      </c>
      <c r="K193" s="34">
        <v>1788692</v>
      </c>
    </row>
    <row r="194" spans="1:11" s="34" customFormat="1" ht="12.75">
      <c r="A194" s="46" t="s">
        <v>6</v>
      </c>
      <c r="B194" s="47" t="s">
        <v>377</v>
      </c>
      <c r="C194" s="47" t="s">
        <v>378</v>
      </c>
      <c r="D194" s="48">
        <v>23429.36</v>
      </c>
      <c r="E194" s="48">
        <v>25340.96</v>
      </c>
      <c r="F194" s="48">
        <v>7215.72</v>
      </c>
      <c r="G194" s="48">
        <v>6410</v>
      </c>
      <c r="H194" s="48">
        <v>21367.7</v>
      </c>
      <c r="I194" s="49"/>
      <c r="J194" s="76">
        <f>ABS(D194)+ABS(E194)+ABS(F194)+ABS(G194)+ABS(H194)</f>
        <v>83763.74</v>
      </c>
      <c r="K194" s="34">
        <v>1788693</v>
      </c>
    </row>
    <row r="195" spans="1:11" s="34" customFormat="1" ht="12.75">
      <c r="A195" s="46" t="s">
        <v>6</v>
      </c>
      <c r="B195" s="47" t="s">
        <v>379</v>
      </c>
      <c r="C195" s="47" t="s">
        <v>380</v>
      </c>
      <c r="D195" s="48">
        <v>27524.36</v>
      </c>
      <c r="E195" s="48">
        <v>27982.32</v>
      </c>
      <c r="F195" s="48">
        <v>8377.38</v>
      </c>
      <c r="G195" s="48">
        <v>7080</v>
      </c>
      <c r="H195" s="48">
        <v>23594</v>
      </c>
      <c r="I195" s="49"/>
      <c r="J195" s="76">
        <f>ABS(D195)+ABS(E195)+ABS(F195)+ABS(G195)+ABS(H195)</f>
        <v>94558.06</v>
      </c>
      <c r="K195" s="34">
        <v>1788694</v>
      </c>
    </row>
    <row r="196" spans="1:11" s="34" customFormat="1" ht="12.75">
      <c r="A196" s="46" t="s">
        <v>6</v>
      </c>
      <c r="B196" s="47" t="s">
        <v>381</v>
      </c>
      <c r="C196" s="47" t="s">
        <v>382</v>
      </c>
      <c r="D196" s="48">
        <v>25297.42</v>
      </c>
      <c r="E196" s="48">
        <v>19893.04</v>
      </c>
      <c r="F196" s="48">
        <v>15901.6</v>
      </c>
      <c r="G196" s="48">
        <v>12204</v>
      </c>
      <c r="H196" s="48">
        <v>16774</v>
      </c>
      <c r="I196" s="49"/>
      <c r="J196" s="76">
        <f>ABS(D196)+ABS(E196)+ABS(F196)+ABS(G196)+ABS(H196)</f>
        <v>90070.06</v>
      </c>
      <c r="K196" s="34">
        <v>1788695</v>
      </c>
    </row>
    <row r="197" spans="1:11" s="34" customFormat="1" ht="12.75" hidden="1">
      <c r="A197" s="46" t="s">
        <v>6</v>
      </c>
      <c r="B197" s="47" t="s">
        <v>383</v>
      </c>
      <c r="C197" s="47" t="s">
        <v>384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9"/>
      <c r="J197" s="76">
        <f>ABS(D197)+ABS(E197)+ABS(F197)+ABS(G197)+ABS(H197)</f>
        <v>0</v>
      </c>
      <c r="K197" s="34">
        <v>1788696</v>
      </c>
    </row>
    <row r="198" spans="1:11" s="34" customFormat="1" ht="12.75" hidden="1">
      <c r="A198" s="46" t="s">
        <v>6</v>
      </c>
      <c r="B198" s="47" t="s">
        <v>385</v>
      </c>
      <c r="C198" s="47" t="s">
        <v>386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9"/>
      <c r="J198" s="76">
        <f>ABS(D198)+ABS(E198)+ABS(F198)+ABS(G198)+ABS(H198)</f>
        <v>0</v>
      </c>
      <c r="K198" s="34">
        <v>1788697</v>
      </c>
    </row>
    <row r="199" spans="1:11" s="34" customFormat="1" ht="12.75">
      <c r="A199" s="46" t="s">
        <v>6</v>
      </c>
      <c r="B199" s="47" t="s">
        <v>387</v>
      </c>
      <c r="C199" s="47" t="s">
        <v>388</v>
      </c>
      <c r="D199" s="48">
        <v>0</v>
      </c>
      <c r="E199" s="48">
        <v>863.6</v>
      </c>
      <c r="F199" s="48">
        <v>0</v>
      </c>
      <c r="G199" s="48">
        <v>0</v>
      </c>
      <c r="H199" s="48">
        <v>0</v>
      </c>
      <c r="I199" s="49"/>
      <c r="J199" s="76">
        <f>ABS(D199)+ABS(E199)+ABS(F199)+ABS(G199)+ABS(H199)</f>
        <v>863.6</v>
      </c>
      <c r="K199" s="34">
        <v>1788698</v>
      </c>
    </row>
    <row r="200" spans="1:11" s="34" customFormat="1" ht="12.75">
      <c r="A200" s="46" t="s">
        <v>6</v>
      </c>
      <c r="B200" s="47" t="s">
        <v>389</v>
      </c>
      <c r="C200" s="47" t="s">
        <v>390</v>
      </c>
      <c r="D200" s="48">
        <v>34519.42</v>
      </c>
      <c r="E200" s="48">
        <v>29403.5</v>
      </c>
      <c r="F200" s="48">
        <v>800</v>
      </c>
      <c r="G200" s="48">
        <v>0</v>
      </c>
      <c r="H200" s="48">
        <v>37268</v>
      </c>
      <c r="I200" s="49"/>
      <c r="J200" s="76">
        <f>ABS(D200)+ABS(E200)+ABS(F200)+ABS(G200)+ABS(H200)</f>
        <v>101990.92</v>
      </c>
      <c r="K200" s="34">
        <v>1788699</v>
      </c>
    </row>
    <row r="201" spans="1:11" s="34" customFormat="1" ht="12.75" hidden="1">
      <c r="A201" s="46" t="s">
        <v>6</v>
      </c>
      <c r="B201" s="47" t="s">
        <v>391</v>
      </c>
      <c r="C201" s="47" t="s">
        <v>392</v>
      </c>
      <c r="D201" s="48">
        <v>0</v>
      </c>
      <c r="E201" s="48">
        <v>0</v>
      </c>
      <c r="F201" s="48">
        <v>0</v>
      </c>
      <c r="G201" s="48">
        <v>0</v>
      </c>
      <c r="H201" s="48">
        <v>0</v>
      </c>
      <c r="I201" s="49"/>
      <c r="J201" s="76">
        <f>ABS(D201)+ABS(E201)+ABS(F201)+ABS(G201)+ABS(H201)</f>
        <v>0</v>
      </c>
      <c r="K201" s="34">
        <v>1788700</v>
      </c>
    </row>
    <row r="202" spans="1:11" s="34" customFormat="1" ht="12.75" hidden="1">
      <c r="A202" s="46" t="s">
        <v>6</v>
      </c>
      <c r="B202" s="47" t="s">
        <v>393</v>
      </c>
      <c r="C202" s="47" t="s">
        <v>394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9"/>
      <c r="J202" s="76">
        <f>ABS(D202)+ABS(E202)+ABS(F202)+ABS(G202)+ABS(H202)</f>
        <v>0</v>
      </c>
      <c r="K202" s="34">
        <v>1788701</v>
      </c>
    </row>
    <row r="203" spans="1:11" s="34" customFormat="1" ht="12.75" hidden="1">
      <c r="A203" s="46" t="s">
        <v>6</v>
      </c>
      <c r="B203" s="47" t="s">
        <v>395</v>
      </c>
      <c r="C203" s="47" t="s">
        <v>396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9"/>
      <c r="J203" s="76">
        <f>ABS(D203)+ABS(E203)+ABS(F203)+ABS(G203)+ABS(H203)</f>
        <v>0</v>
      </c>
      <c r="K203" s="34">
        <v>1788702</v>
      </c>
    </row>
    <row r="204" spans="1:11" s="34" customFormat="1" ht="12.75" hidden="1">
      <c r="A204" s="46" t="s">
        <v>6</v>
      </c>
      <c r="B204" s="47" t="s">
        <v>397</v>
      </c>
      <c r="C204" s="47" t="s">
        <v>398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9"/>
      <c r="J204" s="76">
        <f>ABS(D204)+ABS(E204)+ABS(F204)+ABS(G204)+ABS(H204)</f>
        <v>0</v>
      </c>
      <c r="K204" s="34">
        <v>1788703</v>
      </c>
    </row>
    <row r="205" spans="1:11" s="34" customFormat="1" ht="12.75" hidden="1">
      <c r="A205" s="46" t="s">
        <v>6</v>
      </c>
      <c r="B205" s="47" t="s">
        <v>399</v>
      </c>
      <c r="C205" s="47" t="s">
        <v>400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9"/>
      <c r="J205" s="76">
        <f>ABS(D205)+ABS(E205)+ABS(F205)+ABS(G205)+ABS(H205)</f>
        <v>0</v>
      </c>
      <c r="K205" s="34">
        <v>1788704</v>
      </c>
    </row>
    <row r="206" spans="1:11" s="34" customFormat="1" ht="12.75">
      <c r="A206" s="46" t="s">
        <v>6</v>
      </c>
      <c r="B206" s="47" t="s">
        <v>401</v>
      </c>
      <c r="C206" s="47" t="s">
        <v>402</v>
      </c>
      <c r="D206" s="48">
        <v>61632.92</v>
      </c>
      <c r="E206" s="48">
        <v>63573.9</v>
      </c>
      <c r="F206" s="48">
        <v>12938.11</v>
      </c>
      <c r="G206" s="48">
        <v>17564</v>
      </c>
      <c r="H206" s="48">
        <v>68516</v>
      </c>
      <c r="I206" s="49"/>
      <c r="J206" s="76">
        <f>ABS(D206)+ABS(E206)+ABS(F206)+ABS(G206)+ABS(H206)</f>
        <v>224224.93</v>
      </c>
      <c r="K206" s="34">
        <v>1788705</v>
      </c>
    </row>
    <row r="207" spans="1:11" s="34" customFormat="1" ht="12.75" hidden="1">
      <c r="A207" s="46" t="s">
        <v>6</v>
      </c>
      <c r="B207" s="47" t="s">
        <v>403</v>
      </c>
      <c r="C207" s="47" t="s">
        <v>404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9"/>
      <c r="J207" s="76">
        <f>ABS(D207)+ABS(E207)+ABS(F207)+ABS(G207)+ABS(H207)</f>
        <v>0</v>
      </c>
      <c r="K207" s="34">
        <v>1788706</v>
      </c>
    </row>
    <row r="208" spans="1:11" s="34" customFormat="1" ht="12.75" hidden="1">
      <c r="A208" s="46" t="s">
        <v>6</v>
      </c>
      <c r="B208" s="47" t="s">
        <v>405</v>
      </c>
      <c r="C208" s="47" t="s">
        <v>406</v>
      </c>
      <c r="D208" s="48">
        <v>0</v>
      </c>
      <c r="E208" s="48">
        <v>0</v>
      </c>
      <c r="F208" s="48">
        <v>0</v>
      </c>
      <c r="G208" s="48">
        <v>0</v>
      </c>
      <c r="H208" s="48">
        <v>0</v>
      </c>
      <c r="I208" s="49"/>
      <c r="J208" s="76">
        <f>ABS(D208)+ABS(E208)+ABS(F208)+ABS(G208)+ABS(H208)</f>
        <v>0</v>
      </c>
      <c r="K208" s="34">
        <v>1788707</v>
      </c>
    </row>
    <row r="209" spans="1:11" s="34" customFormat="1" ht="12.75">
      <c r="A209" s="46" t="s">
        <v>6</v>
      </c>
      <c r="B209" s="47" t="s">
        <v>407</v>
      </c>
      <c r="C209" s="47" t="s">
        <v>408</v>
      </c>
      <c r="D209" s="48">
        <v>0.6</v>
      </c>
      <c r="E209" s="48">
        <v>-20</v>
      </c>
      <c r="F209" s="48">
        <v>20</v>
      </c>
      <c r="G209" s="48">
        <v>0</v>
      </c>
      <c r="H209" s="48">
        <v>0</v>
      </c>
      <c r="I209" s="49"/>
      <c r="J209" s="76">
        <f>ABS(D209)+ABS(E209)+ABS(F209)+ABS(G209)+ABS(H209)</f>
        <v>40.6</v>
      </c>
      <c r="K209" s="34">
        <v>1788708</v>
      </c>
    </row>
    <row r="210" spans="1:11" s="34" customFormat="1" ht="12.75" hidden="1">
      <c r="A210" s="46" t="s">
        <v>6</v>
      </c>
      <c r="B210" s="47" t="s">
        <v>409</v>
      </c>
      <c r="C210" s="47" t="s">
        <v>410</v>
      </c>
      <c r="D210" s="48">
        <v>0</v>
      </c>
      <c r="E210" s="48">
        <v>0</v>
      </c>
      <c r="F210" s="48">
        <v>0</v>
      </c>
      <c r="G210" s="48">
        <v>0</v>
      </c>
      <c r="H210" s="48">
        <v>0</v>
      </c>
      <c r="I210" s="49"/>
      <c r="J210" s="76">
        <f>ABS(D210)+ABS(E210)+ABS(F210)+ABS(G210)+ABS(H210)</f>
        <v>0</v>
      </c>
      <c r="K210" s="34">
        <v>1788709</v>
      </c>
    </row>
    <row r="211" spans="1:11" s="34" customFormat="1" ht="12.75" hidden="1">
      <c r="A211" s="46" t="s">
        <v>6</v>
      </c>
      <c r="B211" s="47" t="s">
        <v>411</v>
      </c>
      <c r="C211" s="47" t="s">
        <v>412</v>
      </c>
      <c r="D211" s="48">
        <v>0</v>
      </c>
      <c r="E211" s="48">
        <v>0</v>
      </c>
      <c r="F211" s="48">
        <v>0</v>
      </c>
      <c r="G211" s="48">
        <v>0</v>
      </c>
      <c r="H211" s="48">
        <v>0</v>
      </c>
      <c r="I211" s="49"/>
      <c r="J211" s="76">
        <f>ABS(D211)+ABS(E211)+ABS(F211)+ABS(G211)+ABS(H211)</f>
        <v>0</v>
      </c>
      <c r="K211" s="34">
        <v>1788710</v>
      </c>
    </row>
    <row r="212" spans="1:11" s="34" customFormat="1" ht="12.75" hidden="1">
      <c r="A212" s="46" t="s">
        <v>6</v>
      </c>
      <c r="B212" s="47" t="s">
        <v>413</v>
      </c>
      <c r="C212" s="47" t="s">
        <v>414</v>
      </c>
      <c r="D212" s="48">
        <v>0</v>
      </c>
      <c r="E212" s="48">
        <v>0</v>
      </c>
      <c r="F212" s="48">
        <v>0</v>
      </c>
      <c r="G212" s="48">
        <v>0</v>
      </c>
      <c r="H212" s="48">
        <v>0</v>
      </c>
      <c r="I212" s="49"/>
      <c r="J212" s="76">
        <f>ABS(D212)+ABS(E212)+ABS(F212)+ABS(G212)+ABS(H212)</f>
        <v>0</v>
      </c>
      <c r="K212" s="34">
        <v>1788711</v>
      </c>
    </row>
    <row r="213" spans="1:11" s="34" customFormat="1" ht="12.75" hidden="1">
      <c r="A213" s="46" t="s">
        <v>6</v>
      </c>
      <c r="B213" s="47" t="s">
        <v>415</v>
      </c>
      <c r="C213" s="47" t="s">
        <v>416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9"/>
      <c r="J213" s="76">
        <f>ABS(D213)+ABS(E213)+ABS(F213)+ABS(G213)+ABS(H213)</f>
        <v>0</v>
      </c>
      <c r="K213" s="34">
        <v>1788712</v>
      </c>
    </row>
    <row r="214" spans="1:11" s="34" customFormat="1" ht="12.75">
      <c r="A214" s="46" t="s">
        <v>6</v>
      </c>
      <c r="B214" s="47" t="s">
        <v>417</v>
      </c>
      <c r="C214" s="47" t="s">
        <v>418</v>
      </c>
      <c r="D214" s="48">
        <v>1245</v>
      </c>
      <c r="E214" s="48">
        <v>425</v>
      </c>
      <c r="F214" s="48">
        <v>75</v>
      </c>
      <c r="G214" s="48">
        <v>0</v>
      </c>
      <c r="H214" s="48">
        <v>0</v>
      </c>
      <c r="I214" s="49"/>
      <c r="J214" s="76">
        <f>ABS(D214)+ABS(E214)+ABS(F214)+ABS(G214)+ABS(H214)</f>
        <v>1745</v>
      </c>
      <c r="K214" s="34">
        <v>1788713</v>
      </c>
    </row>
    <row r="215" spans="1:11" s="34" customFormat="1" ht="12.75" hidden="1">
      <c r="A215" s="46" t="s">
        <v>6</v>
      </c>
      <c r="B215" s="47" t="s">
        <v>419</v>
      </c>
      <c r="C215" s="47" t="s">
        <v>420</v>
      </c>
      <c r="D215" s="48">
        <v>0</v>
      </c>
      <c r="E215" s="48">
        <v>0</v>
      </c>
      <c r="F215" s="48">
        <v>0</v>
      </c>
      <c r="G215" s="48">
        <v>0</v>
      </c>
      <c r="H215" s="48">
        <v>0</v>
      </c>
      <c r="I215" s="49"/>
      <c r="J215" s="76">
        <f>ABS(D215)+ABS(E215)+ABS(F215)+ABS(G215)+ABS(H215)</f>
        <v>0</v>
      </c>
      <c r="K215" s="34">
        <v>1788714</v>
      </c>
    </row>
    <row r="216" spans="1:11" s="34" customFormat="1" ht="12.75" hidden="1">
      <c r="A216" s="46" t="s">
        <v>6</v>
      </c>
      <c r="B216" s="47" t="s">
        <v>421</v>
      </c>
      <c r="C216" s="47" t="s">
        <v>422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9"/>
      <c r="J216" s="76">
        <f>ABS(D216)+ABS(E216)+ABS(F216)+ABS(G216)+ABS(H216)</f>
        <v>0</v>
      </c>
      <c r="K216" s="34">
        <v>1788715</v>
      </c>
    </row>
    <row r="217" spans="1:11" s="34" customFormat="1" ht="12.75">
      <c r="A217" s="46" t="s">
        <v>6</v>
      </c>
      <c r="B217" s="47" t="s">
        <v>423</v>
      </c>
      <c r="C217" s="47" t="s">
        <v>424</v>
      </c>
      <c r="D217" s="48">
        <v>-295</v>
      </c>
      <c r="E217" s="48">
        <v>-258</v>
      </c>
      <c r="F217" s="48">
        <v>-40</v>
      </c>
      <c r="G217" s="48">
        <v>0</v>
      </c>
      <c r="H217" s="48">
        <v>0</v>
      </c>
      <c r="I217" s="49"/>
      <c r="J217" s="76">
        <f>ABS(D217)+ABS(E217)+ABS(F217)+ABS(G217)+ABS(H217)</f>
        <v>593</v>
      </c>
      <c r="K217" s="34">
        <v>1788716</v>
      </c>
    </row>
    <row r="218" spans="1:11" s="34" customFormat="1" ht="12.75" hidden="1">
      <c r="A218" s="46" t="s">
        <v>6</v>
      </c>
      <c r="B218" s="47" t="s">
        <v>425</v>
      </c>
      <c r="C218" s="47" t="s">
        <v>426</v>
      </c>
      <c r="D218" s="48">
        <v>0</v>
      </c>
      <c r="E218" s="48">
        <v>0</v>
      </c>
      <c r="F218" s="48">
        <v>0</v>
      </c>
      <c r="G218" s="48">
        <v>0</v>
      </c>
      <c r="H218" s="48">
        <v>0</v>
      </c>
      <c r="I218" s="49"/>
      <c r="J218" s="76">
        <f>ABS(D218)+ABS(E218)+ABS(F218)+ABS(G218)+ABS(H218)</f>
        <v>0</v>
      </c>
      <c r="K218" s="34">
        <v>1788717</v>
      </c>
    </row>
    <row r="219" spans="1:11" s="34" customFormat="1" ht="12.75">
      <c r="A219" s="46" t="s">
        <v>6</v>
      </c>
      <c r="B219" s="47" t="s">
        <v>427</v>
      </c>
      <c r="C219" s="47" t="s">
        <v>428</v>
      </c>
      <c r="D219" s="48">
        <v>67579.25</v>
      </c>
      <c r="E219" s="48">
        <v>62535</v>
      </c>
      <c r="F219" s="48">
        <v>10134</v>
      </c>
      <c r="G219" s="48">
        <v>11487.66</v>
      </c>
      <c r="H219" s="48">
        <v>68926</v>
      </c>
      <c r="I219" s="49"/>
      <c r="J219" s="76">
        <f>ABS(D219)+ABS(E219)+ABS(F219)+ABS(G219)+ABS(H219)</f>
        <v>220661.91</v>
      </c>
      <c r="K219" s="34">
        <v>1788718</v>
      </c>
    </row>
    <row r="220" spans="1:11" s="34" customFormat="1" ht="12.75">
      <c r="A220" s="46" t="s">
        <v>6</v>
      </c>
      <c r="B220" s="47" t="s">
        <v>429</v>
      </c>
      <c r="C220" s="47" t="s">
        <v>430</v>
      </c>
      <c r="D220" s="48">
        <v>230217.99</v>
      </c>
      <c r="E220" s="48">
        <v>217040.42</v>
      </c>
      <c r="F220" s="48">
        <v>39212.98</v>
      </c>
      <c r="G220" s="48">
        <v>42260</v>
      </c>
      <c r="H220" s="48">
        <v>253560</v>
      </c>
      <c r="I220" s="49"/>
      <c r="J220" s="76">
        <f>ABS(D220)+ABS(E220)+ABS(F220)+ABS(G220)+ABS(H220)</f>
        <v>782291.39</v>
      </c>
      <c r="K220" s="34">
        <v>1788719</v>
      </c>
    </row>
    <row r="221" spans="1:11" s="34" customFormat="1" ht="12.75">
      <c r="A221" s="46" t="s">
        <v>6</v>
      </c>
      <c r="B221" s="47" t="s">
        <v>431</v>
      </c>
      <c r="C221" s="47" t="s">
        <v>432</v>
      </c>
      <c r="D221" s="48">
        <v>7620</v>
      </c>
      <c r="E221" s="48">
        <v>7010</v>
      </c>
      <c r="F221" s="48">
        <v>1040</v>
      </c>
      <c r="G221" s="48">
        <v>1046</v>
      </c>
      <c r="H221" s="48">
        <v>6810</v>
      </c>
      <c r="I221" s="49"/>
      <c r="J221" s="76">
        <f>ABS(D221)+ABS(E221)+ABS(F221)+ABS(G221)+ABS(H221)</f>
        <v>23526</v>
      </c>
      <c r="K221" s="34">
        <v>1788720</v>
      </c>
    </row>
    <row r="222" spans="1:11" s="34" customFormat="1" ht="12.75">
      <c r="A222" s="46" t="s">
        <v>6</v>
      </c>
      <c r="B222" s="47" t="s">
        <v>433</v>
      </c>
      <c r="C222" s="47" t="s">
        <v>434</v>
      </c>
      <c r="D222" s="48">
        <v>347.76</v>
      </c>
      <c r="E222" s="48">
        <v>1641.52</v>
      </c>
      <c r="F222" s="48">
        <v>294.81</v>
      </c>
      <c r="G222" s="48">
        <v>331.66</v>
      </c>
      <c r="H222" s="48">
        <v>1990</v>
      </c>
      <c r="I222" s="49"/>
      <c r="J222" s="76">
        <f>ABS(D222)+ABS(E222)+ABS(F222)+ABS(G222)+ABS(H222)</f>
        <v>4605.75</v>
      </c>
      <c r="K222" s="34">
        <v>1788721</v>
      </c>
    </row>
    <row r="223" spans="1:11" s="34" customFormat="1" ht="12.75">
      <c r="A223" s="46" t="s">
        <v>6</v>
      </c>
      <c r="B223" s="47" t="s">
        <v>435</v>
      </c>
      <c r="C223" s="47" t="s">
        <v>436</v>
      </c>
      <c r="D223" s="48">
        <v>1637.96</v>
      </c>
      <c r="E223" s="48">
        <v>1498.98</v>
      </c>
      <c r="F223" s="48">
        <v>287.19</v>
      </c>
      <c r="G223" s="48">
        <v>282.66</v>
      </c>
      <c r="H223" s="48">
        <v>1696</v>
      </c>
      <c r="I223" s="49"/>
      <c r="J223" s="76">
        <f>ABS(D223)+ABS(E223)+ABS(F223)+ABS(G223)+ABS(H223)</f>
        <v>5402.79</v>
      </c>
      <c r="K223" s="34">
        <v>1788722</v>
      </c>
    </row>
    <row r="224" spans="1:11" s="34" customFormat="1" ht="12.75" hidden="1">
      <c r="A224" s="46" t="s">
        <v>6</v>
      </c>
      <c r="B224" s="47" t="s">
        <v>437</v>
      </c>
      <c r="C224" s="47" t="s">
        <v>438</v>
      </c>
      <c r="D224" s="48">
        <v>0</v>
      </c>
      <c r="E224" s="48">
        <v>0</v>
      </c>
      <c r="F224" s="48">
        <v>0</v>
      </c>
      <c r="G224" s="48">
        <v>0</v>
      </c>
      <c r="H224" s="48">
        <v>0</v>
      </c>
      <c r="I224" s="49"/>
      <c r="J224" s="76">
        <f>ABS(D224)+ABS(E224)+ABS(F224)+ABS(G224)+ABS(H224)</f>
        <v>0</v>
      </c>
      <c r="K224" s="34">
        <v>1788723</v>
      </c>
    </row>
    <row r="225" spans="1:11" s="34" customFormat="1" ht="12.75" hidden="1">
      <c r="A225" s="46" t="s">
        <v>6</v>
      </c>
      <c r="B225" s="47" t="s">
        <v>439</v>
      </c>
      <c r="C225" s="47" t="s">
        <v>440</v>
      </c>
      <c r="D225" s="48">
        <v>0</v>
      </c>
      <c r="E225" s="48">
        <v>0</v>
      </c>
      <c r="F225" s="48">
        <v>0</v>
      </c>
      <c r="G225" s="48">
        <v>0</v>
      </c>
      <c r="H225" s="48">
        <v>0</v>
      </c>
      <c r="I225" s="49"/>
      <c r="J225" s="76">
        <f>ABS(D225)+ABS(E225)+ABS(F225)+ABS(G225)+ABS(H225)</f>
        <v>0</v>
      </c>
      <c r="K225" s="34">
        <v>1788724</v>
      </c>
    </row>
    <row r="226" spans="1:11" s="34" customFormat="1" ht="12.75">
      <c r="A226" s="46" t="s">
        <v>6</v>
      </c>
      <c r="B226" s="47" t="s">
        <v>441</v>
      </c>
      <c r="C226" s="47" t="s">
        <v>442</v>
      </c>
      <c r="D226" s="48">
        <v>32685.92</v>
      </c>
      <c r="E226" s="48">
        <v>24783.27</v>
      </c>
      <c r="F226" s="48">
        <v>2976</v>
      </c>
      <c r="G226" s="48">
        <v>2810</v>
      </c>
      <c r="H226" s="48">
        <v>33723</v>
      </c>
      <c r="I226" s="49"/>
      <c r="J226" s="76">
        <f>ABS(D226)+ABS(E226)+ABS(F226)+ABS(G226)+ABS(H226)</f>
        <v>96978.19</v>
      </c>
      <c r="K226" s="34">
        <v>1788725</v>
      </c>
    </row>
    <row r="227" spans="1:11" s="34" customFormat="1" ht="12.75">
      <c r="A227" s="46" t="s">
        <v>6</v>
      </c>
      <c r="B227" s="47" t="s">
        <v>443</v>
      </c>
      <c r="C227" s="47" t="s">
        <v>444</v>
      </c>
      <c r="D227" s="48">
        <v>-7634.33</v>
      </c>
      <c r="E227" s="48">
        <v>-9461.11</v>
      </c>
      <c r="F227" s="48">
        <v>-9719.94</v>
      </c>
      <c r="G227" s="48">
        <v>0</v>
      </c>
      <c r="H227" s="48">
        <v>0</v>
      </c>
      <c r="I227" s="49"/>
      <c r="J227" s="76">
        <f>ABS(D227)+ABS(E227)+ABS(F227)+ABS(G227)+ABS(H227)</f>
        <v>26815.38</v>
      </c>
      <c r="K227" s="34">
        <v>1788726</v>
      </c>
    </row>
    <row r="228" spans="1:11" s="34" customFormat="1" ht="12.75">
      <c r="A228" s="46" t="s">
        <v>6</v>
      </c>
      <c r="B228" s="47" t="s">
        <v>445</v>
      </c>
      <c r="C228" s="47" t="s">
        <v>446</v>
      </c>
      <c r="D228" s="48">
        <v>-250.92</v>
      </c>
      <c r="E228" s="48">
        <v>332.69</v>
      </c>
      <c r="F228" s="48">
        <v>2732.66</v>
      </c>
      <c r="G228" s="48">
        <v>4060</v>
      </c>
      <c r="H228" s="48">
        <v>4060</v>
      </c>
      <c r="I228" s="49"/>
      <c r="J228" s="76">
        <f>ABS(D228)+ABS(E228)+ABS(F228)+ABS(G228)+ABS(H228)</f>
        <v>11436.27</v>
      </c>
      <c r="K228" s="34">
        <v>1788727</v>
      </c>
    </row>
    <row r="229" spans="1:11" s="34" customFormat="1" ht="12.75" hidden="1">
      <c r="A229" s="46" t="s">
        <v>6</v>
      </c>
      <c r="B229" s="47" t="s">
        <v>447</v>
      </c>
      <c r="C229" s="47" t="s">
        <v>448</v>
      </c>
      <c r="D229" s="48">
        <v>0</v>
      </c>
      <c r="E229" s="48">
        <v>0</v>
      </c>
      <c r="F229" s="48">
        <v>0</v>
      </c>
      <c r="G229" s="48">
        <v>0</v>
      </c>
      <c r="H229" s="48">
        <v>0</v>
      </c>
      <c r="I229" s="49"/>
      <c r="J229" s="76">
        <f>ABS(D229)+ABS(E229)+ABS(F229)+ABS(G229)+ABS(H229)</f>
        <v>0</v>
      </c>
      <c r="K229" s="34">
        <v>1788728</v>
      </c>
    </row>
    <row r="230" spans="1:11" s="34" customFormat="1" ht="12.75" hidden="1">
      <c r="A230" s="46" t="s">
        <v>6</v>
      </c>
      <c r="B230" s="47" t="s">
        <v>449</v>
      </c>
      <c r="C230" s="47" t="s">
        <v>450</v>
      </c>
      <c r="D230" s="48">
        <v>0</v>
      </c>
      <c r="E230" s="48">
        <v>0</v>
      </c>
      <c r="F230" s="48">
        <v>0</v>
      </c>
      <c r="G230" s="48">
        <v>0</v>
      </c>
      <c r="H230" s="48">
        <v>0</v>
      </c>
      <c r="I230" s="49"/>
      <c r="J230" s="76">
        <f>ABS(D230)+ABS(E230)+ABS(F230)+ABS(G230)+ABS(H230)</f>
        <v>0</v>
      </c>
      <c r="K230" s="34">
        <v>1788729</v>
      </c>
    </row>
    <row r="231" spans="1:11" s="34" customFormat="1" ht="12.75" hidden="1">
      <c r="A231" s="46" t="s">
        <v>6</v>
      </c>
      <c r="B231" s="47" t="s">
        <v>451</v>
      </c>
      <c r="C231" s="47" t="s">
        <v>452</v>
      </c>
      <c r="D231" s="48">
        <v>0</v>
      </c>
      <c r="E231" s="48">
        <v>0</v>
      </c>
      <c r="F231" s="48">
        <v>0</v>
      </c>
      <c r="G231" s="48">
        <v>0</v>
      </c>
      <c r="H231" s="48">
        <v>0</v>
      </c>
      <c r="I231" s="49"/>
      <c r="J231" s="76">
        <f>ABS(D231)+ABS(E231)+ABS(F231)+ABS(G231)+ABS(H231)</f>
        <v>0</v>
      </c>
      <c r="K231" s="34">
        <v>1788730</v>
      </c>
    </row>
    <row r="232" spans="1:11" s="34" customFormat="1" ht="12.75">
      <c r="A232" s="46" t="s">
        <v>6</v>
      </c>
      <c r="B232" s="47" t="s">
        <v>453</v>
      </c>
      <c r="C232" s="47" t="s">
        <v>454</v>
      </c>
      <c r="D232" s="48">
        <v>5654.73</v>
      </c>
      <c r="E232" s="48">
        <v>7411.45</v>
      </c>
      <c r="F232" s="48">
        <v>1459.21</v>
      </c>
      <c r="G232" s="48">
        <v>1185</v>
      </c>
      <c r="H232" s="48">
        <v>7707</v>
      </c>
      <c r="I232" s="49"/>
      <c r="J232" s="76">
        <f>ABS(D232)+ABS(E232)+ABS(F232)+ABS(G232)+ABS(H232)</f>
        <v>23417.39</v>
      </c>
      <c r="K232" s="34">
        <v>1788731</v>
      </c>
    </row>
    <row r="233" spans="1:11" s="34" customFormat="1" ht="12.75" hidden="1">
      <c r="A233" s="46" t="s">
        <v>6</v>
      </c>
      <c r="B233" s="47" t="s">
        <v>455</v>
      </c>
      <c r="C233" s="47" t="s">
        <v>456</v>
      </c>
      <c r="D233" s="48">
        <v>0</v>
      </c>
      <c r="E233" s="48">
        <v>0</v>
      </c>
      <c r="F233" s="48">
        <v>0</v>
      </c>
      <c r="G233" s="48">
        <v>0</v>
      </c>
      <c r="H233" s="48">
        <v>0</v>
      </c>
      <c r="I233" s="49"/>
      <c r="J233" s="76">
        <f>ABS(D233)+ABS(E233)+ABS(F233)+ABS(G233)+ABS(H233)</f>
        <v>0</v>
      </c>
      <c r="K233" s="34">
        <v>1788732</v>
      </c>
    </row>
    <row r="234" spans="1:11" s="34" customFormat="1" ht="12.75" hidden="1">
      <c r="A234" s="46" t="s">
        <v>6</v>
      </c>
      <c r="B234" s="47" t="s">
        <v>457</v>
      </c>
      <c r="C234" s="47" t="s">
        <v>458</v>
      </c>
      <c r="D234" s="48">
        <v>0</v>
      </c>
      <c r="E234" s="48">
        <v>0</v>
      </c>
      <c r="F234" s="48">
        <v>0</v>
      </c>
      <c r="G234" s="48">
        <v>0</v>
      </c>
      <c r="H234" s="48">
        <v>0</v>
      </c>
      <c r="I234" s="49"/>
      <c r="J234" s="76">
        <f>ABS(D234)+ABS(E234)+ABS(F234)+ABS(G234)+ABS(H234)</f>
        <v>0</v>
      </c>
      <c r="K234" s="34">
        <v>1788733</v>
      </c>
    </row>
    <row r="235" spans="1:11" s="34" customFormat="1" ht="12.75">
      <c r="A235" s="46" t="s">
        <v>26</v>
      </c>
      <c r="B235" s="55" t="s">
        <v>459</v>
      </c>
      <c r="C235" s="55" t="s">
        <v>460</v>
      </c>
      <c r="D235" s="56">
        <v>1148964.34</v>
      </c>
      <c r="E235" s="56">
        <v>1130972.55</v>
      </c>
      <c r="F235" s="56">
        <v>184560.44</v>
      </c>
      <c r="G235" s="56">
        <v>208479.98</v>
      </c>
      <c r="H235" s="56">
        <v>1242479.7</v>
      </c>
      <c r="I235" s="57"/>
      <c r="J235" s="77">
        <f>ABS(D235)+ABS(E235)+ABS(F235)+ABS(G235)+ABS(H235)</f>
        <v>3915457.01</v>
      </c>
      <c r="K235" s="34">
        <v>1788734</v>
      </c>
    </row>
    <row r="236" spans="1:10" s="34" customFormat="1" ht="12.75">
      <c r="A236" s="46"/>
      <c r="B236" s="47"/>
      <c r="C236" s="47"/>
      <c r="D236" s="48"/>
      <c r="E236" s="48"/>
      <c r="F236" s="48"/>
      <c r="G236" s="48"/>
      <c r="H236" s="48"/>
      <c r="I236" s="49"/>
      <c r="J236" s="76"/>
    </row>
    <row r="237" spans="1:11" s="34" customFormat="1" ht="12.75">
      <c r="A237" s="46" t="s">
        <v>25</v>
      </c>
      <c r="B237" s="59" t="s">
        <v>461</v>
      </c>
      <c r="C237" s="59" t="s">
        <v>462</v>
      </c>
      <c r="D237" s="60" t="s">
        <v>1</v>
      </c>
      <c r="E237" s="60" t="s">
        <v>1</v>
      </c>
      <c r="F237" s="60" t="s">
        <v>1</v>
      </c>
      <c r="G237" s="60" t="s">
        <v>1</v>
      </c>
      <c r="H237" s="60" t="s">
        <v>1</v>
      </c>
      <c r="I237" s="61"/>
      <c r="J237" s="78">
        <v>1</v>
      </c>
      <c r="K237" s="34">
        <v>1788735</v>
      </c>
    </row>
    <row r="238" spans="1:11" s="34" customFormat="1" ht="12.75">
      <c r="A238" s="46" t="s">
        <v>6</v>
      </c>
      <c r="B238" s="47" t="s">
        <v>463</v>
      </c>
      <c r="C238" s="47" t="s">
        <v>155</v>
      </c>
      <c r="D238" s="48">
        <v>1275.4</v>
      </c>
      <c r="E238" s="48">
        <v>451.86</v>
      </c>
      <c r="F238" s="48">
        <v>109.07</v>
      </c>
      <c r="G238" s="48">
        <v>122</v>
      </c>
      <c r="H238" s="48">
        <v>854</v>
      </c>
      <c r="I238" s="49"/>
      <c r="J238" s="76">
        <f>ABS(D238)+ABS(E238)+ABS(F238)+ABS(G238)+ABS(H238)</f>
        <v>2812.33</v>
      </c>
      <c r="K238" s="34">
        <v>1788736</v>
      </c>
    </row>
    <row r="239" spans="1:11" s="34" customFormat="1" ht="12.75" hidden="1">
      <c r="A239" s="46" t="s">
        <v>6</v>
      </c>
      <c r="B239" s="47" t="s">
        <v>464</v>
      </c>
      <c r="C239" s="47" t="s">
        <v>465</v>
      </c>
      <c r="D239" s="48">
        <v>0</v>
      </c>
      <c r="E239" s="48">
        <v>0</v>
      </c>
      <c r="F239" s="48">
        <v>0</v>
      </c>
      <c r="G239" s="48">
        <v>0</v>
      </c>
      <c r="H239" s="48">
        <v>0</v>
      </c>
      <c r="I239" s="49"/>
      <c r="J239" s="76">
        <f>ABS(D239)+ABS(E239)+ABS(F239)+ABS(G239)+ABS(H239)</f>
        <v>0</v>
      </c>
      <c r="K239" s="34">
        <v>1788737</v>
      </c>
    </row>
    <row r="240" spans="1:11" s="34" customFormat="1" ht="12.75" hidden="1">
      <c r="A240" s="46" t="s">
        <v>6</v>
      </c>
      <c r="B240" s="47" t="s">
        <v>466</v>
      </c>
      <c r="C240" s="47" t="s">
        <v>467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9"/>
      <c r="J240" s="76">
        <f>ABS(D240)+ABS(E240)+ABS(F240)+ABS(G240)+ABS(H240)</f>
        <v>0</v>
      </c>
      <c r="K240" s="34">
        <v>1788738</v>
      </c>
    </row>
    <row r="241" spans="1:11" s="34" customFormat="1" ht="12.75">
      <c r="A241" s="46" t="s">
        <v>6</v>
      </c>
      <c r="B241" s="47" t="s">
        <v>468</v>
      </c>
      <c r="C241" s="47" t="s">
        <v>469</v>
      </c>
      <c r="D241" s="48">
        <v>98238.01</v>
      </c>
      <c r="E241" s="48">
        <v>115780.13</v>
      </c>
      <c r="F241" s="48">
        <v>14156.14</v>
      </c>
      <c r="G241" s="48">
        <v>15764</v>
      </c>
      <c r="H241" s="48">
        <v>119281</v>
      </c>
      <c r="I241" s="49"/>
      <c r="J241" s="76">
        <f>ABS(D241)+ABS(E241)+ABS(F241)+ABS(G241)+ABS(H241)</f>
        <v>363219.28</v>
      </c>
      <c r="K241" s="34">
        <v>1788739</v>
      </c>
    </row>
    <row r="242" spans="1:11" s="34" customFormat="1" ht="12.75" hidden="1">
      <c r="A242" s="46" t="s">
        <v>6</v>
      </c>
      <c r="B242" s="47" t="s">
        <v>470</v>
      </c>
      <c r="C242" s="47" t="s">
        <v>471</v>
      </c>
      <c r="D242" s="48">
        <v>0</v>
      </c>
      <c r="E242" s="48">
        <v>0</v>
      </c>
      <c r="F242" s="48">
        <v>0</v>
      </c>
      <c r="G242" s="48">
        <v>0</v>
      </c>
      <c r="H242" s="48">
        <v>0</v>
      </c>
      <c r="I242" s="49"/>
      <c r="J242" s="76">
        <f>ABS(D242)+ABS(E242)+ABS(F242)+ABS(G242)+ABS(H242)</f>
        <v>0</v>
      </c>
      <c r="K242" s="34">
        <v>1788740</v>
      </c>
    </row>
    <row r="243" spans="1:11" s="34" customFormat="1" ht="12.75">
      <c r="A243" s="46" t="s">
        <v>6</v>
      </c>
      <c r="B243" s="47" t="s">
        <v>472</v>
      </c>
      <c r="C243" s="47" t="s">
        <v>473</v>
      </c>
      <c r="D243" s="48">
        <v>335863.28</v>
      </c>
      <c r="E243" s="48">
        <v>410415.27</v>
      </c>
      <c r="F243" s="48">
        <v>100774.41</v>
      </c>
      <c r="G243" s="48">
        <v>101971</v>
      </c>
      <c r="H243" s="48">
        <v>426897</v>
      </c>
      <c r="I243" s="49"/>
      <c r="J243" s="76">
        <f>ABS(D243)+ABS(E243)+ABS(F243)+ABS(G243)+ABS(H243)</f>
        <v>1375920.96</v>
      </c>
      <c r="K243" s="34">
        <v>1788741</v>
      </c>
    </row>
    <row r="244" spans="1:11" s="34" customFormat="1" ht="12.75" hidden="1">
      <c r="A244" s="46" t="s">
        <v>6</v>
      </c>
      <c r="B244" s="47" t="s">
        <v>474</v>
      </c>
      <c r="C244" s="47" t="s">
        <v>475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9"/>
      <c r="J244" s="76">
        <f>ABS(D244)+ABS(E244)+ABS(F244)+ABS(G244)+ABS(H244)</f>
        <v>0</v>
      </c>
      <c r="K244" s="34">
        <v>1788742</v>
      </c>
    </row>
    <row r="245" spans="1:11" s="34" customFormat="1" ht="12.75">
      <c r="A245" s="46" t="s">
        <v>26</v>
      </c>
      <c r="B245" s="55" t="s">
        <v>476</v>
      </c>
      <c r="C245" s="55" t="s">
        <v>477</v>
      </c>
      <c r="D245" s="56">
        <v>435376.69</v>
      </c>
      <c r="E245" s="56">
        <v>526647.26</v>
      </c>
      <c r="F245" s="56">
        <v>115039.62</v>
      </c>
      <c r="G245" s="56">
        <v>117857</v>
      </c>
      <c r="H245" s="56">
        <v>547032</v>
      </c>
      <c r="I245" s="57"/>
      <c r="J245" s="77">
        <f>ABS(D245)+ABS(E245)+ABS(F245)+ABS(G245)+ABS(H245)</f>
        <v>1741952.57</v>
      </c>
      <c r="K245" s="34">
        <v>1788743</v>
      </c>
    </row>
    <row r="246" spans="1:10" s="34" customFormat="1" ht="12.75">
      <c r="A246" s="46"/>
      <c r="B246" s="47"/>
      <c r="C246" s="47"/>
      <c r="D246" s="48"/>
      <c r="E246" s="48"/>
      <c r="F246" s="48"/>
      <c r="G246" s="48"/>
      <c r="H246" s="48"/>
      <c r="I246" s="49"/>
      <c r="J246" s="76"/>
    </row>
    <row r="247" spans="1:11" s="34" customFormat="1" ht="12.75">
      <c r="A247" s="46" t="s">
        <v>25</v>
      </c>
      <c r="B247" s="59" t="s">
        <v>478</v>
      </c>
      <c r="C247" s="59" t="s">
        <v>479</v>
      </c>
      <c r="D247" s="60" t="s">
        <v>1</v>
      </c>
      <c r="E247" s="60" t="s">
        <v>1</v>
      </c>
      <c r="F247" s="60" t="s">
        <v>1</v>
      </c>
      <c r="G247" s="60" t="s">
        <v>1</v>
      </c>
      <c r="H247" s="60" t="s">
        <v>1</v>
      </c>
      <c r="I247" s="61"/>
      <c r="J247" s="78">
        <v>1</v>
      </c>
      <c r="K247" s="34">
        <v>1788744</v>
      </c>
    </row>
    <row r="248" spans="1:10" s="34" customFormat="1" ht="12.75">
      <c r="A248" s="46"/>
      <c r="B248" s="47"/>
      <c r="C248" s="47"/>
      <c r="D248" s="48"/>
      <c r="E248" s="48"/>
      <c r="F248" s="48"/>
      <c r="G248" s="48"/>
      <c r="H248" s="48"/>
      <c r="I248" s="49"/>
      <c r="J248" s="76"/>
    </row>
    <row r="249" spans="1:11" s="34" customFormat="1" ht="12.75">
      <c r="A249" s="46" t="s">
        <v>25</v>
      </c>
      <c r="B249" s="59" t="s">
        <v>480</v>
      </c>
      <c r="C249" s="59" t="s">
        <v>481</v>
      </c>
      <c r="D249" s="60" t="s">
        <v>1</v>
      </c>
      <c r="E249" s="60" t="s">
        <v>1</v>
      </c>
      <c r="F249" s="60" t="s">
        <v>1</v>
      </c>
      <c r="G249" s="60" t="s">
        <v>1</v>
      </c>
      <c r="H249" s="60" t="s">
        <v>1</v>
      </c>
      <c r="I249" s="61"/>
      <c r="J249" s="78">
        <v>1</v>
      </c>
      <c r="K249" s="34">
        <v>1788745</v>
      </c>
    </row>
    <row r="250" spans="1:11" s="34" customFormat="1" ht="12.75" hidden="1">
      <c r="A250" s="46" t="s">
        <v>6</v>
      </c>
      <c r="B250" s="47" t="s">
        <v>482</v>
      </c>
      <c r="C250" s="47" t="s">
        <v>483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9"/>
      <c r="J250" s="76">
        <f>ABS(D250)+ABS(E250)+ABS(F250)+ABS(G250)+ABS(H250)</f>
        <v>0</v>
      </c>
      <c r="K250" s="34">
        <v>1788746</v>
      </c>
    </row>
    <row r="251" spans="1:11" s="34" customFormat="1" ht="12.75">
      <c r="A251" s="46" t="s">
        <v>6</v>
      </c>
      <c r="B251" s="47" t="s">
        <v>484</v>
      </c>
      <c r="C251" s="47" t="s">
        <v>485</v>
      </c>
      <c r="D251" s="48">
        <v>69392</v>
      </c>
      <c r="E251" s="48">
        <v>82511.08</v>
      </c>
      <c r="F251" s="48">
        <v>14988.52</v>
      </c>
      <c r="G251" s="48">
        <v>12083.34</v>
      </c>
      <c r="H251" s="48">
        <v>72500</v>
      </c>
      <c r="I251" s="49"/>
      <c r="J251" s="76">
        <f>ABS(D251)+ABS(E251)+ABS(F251)+ABS(G251)+ABS(H251)</f>
        <v>251474.94</v>
      </c>
      <c r="K251" s="34">
        <v>1788747</v>
      </c>
    </row>
    <row r="252" spans="1:11" s="34" customFormat="1" ht="12.75" hidden="1">
      <c r="A252" s="46" t="s">
        <v>6</v>
      </c>
      <c r="B252" s="47" t="s">
        <v>486</v>
      </c>
      <c r="C252" s="47" t="s">
        <v>487</v>
      </c>
      <c r="D252" s="48">
        <v>0</v>
      </c>
      <c r="E252" s="48">
        <v>0</v>
      </c>
      <c r="F252" s="48">
        <v>0</v>
      </c>
      <c r="G252" s="48">
        <v>0</v>
      </c>
      <c r="H252" s="48">
        <v>0</v>
      </c>
      <c r="I252" s="49"/>
      <c r="J252" s="76">
        <f>ABS(D252)+ABS(E252)+ABS(F252)+ABS(G252)+ABS(H252)</f>
        <v>0</v>
      </c>
      <c r="K252" s="34">
        <v>1788748</v>
      </c>
    </row>
    <row r="253" spans="1:11" s="34" customFormat="1" ht="12.75" hidden="1">
      <c r="A253" s="46" t="s">
        <v>6</v>
      </c>
      <c r="B253" s="47" t="s">
        <v>488</v>
      </c>
      <c r="C253" s="47" t="s">
        <v>489</v>
      </c>
      <c r="D253" s="48">
        <v>0</v>
      </c>
      <c r="E253" s="48">
        <v>0</v>
      </c>
      <c r="F253" s="48">
        <v>0</v>
      </c>
      <c r="G253" s="48">
        <v>0</v>
      </c>
      <c r="H253" s="48">
        <v>0</v>
      </c>
      <c r="I253" s="49"/>
      <c r="J253" s="76">
        <f>ABS(D253)+ABS(E253)+ABS(F253)+ABS(G253)+ABS(H253)</f>
        <v>0</v>
      </c>
      <c r="K253" s="34">
        <v>1788749</v>
      </c>
    </row>
    <row r="254" spans="1:11" s="34" customFormat="1" ht="12.75" hidden="1">
      <c r="A254" s="46" t="s">
        <v>6</v>
      </c>
      <c r="B254" s="47" t="s">
        <v>490</v>
      </c>
      <c r="C254" s="47" t="s">
        <v>491</v>
      </c>
      <c r="D254" s="48">
        <v>0</v>
      </c>
      <c r="E254" s="48">
        <v>0</v>
      </c>
      <c r="F254" s="48">
        <v>0</v>
      </c>
      <c r="G254" s="48">
        <v>0</v>
      </c>
      <c r="H254" s="48">
        <v>0</v>
      </c>
      <c r="I254" s="49"/>
      <c r="J254" s="76">
        <f>ABS(D254)+ABS(E254)+ABS(F254)+ABS(G254)+ABS(H254)</f>
        <v>0</v>
      </c>
      <c r="K254" s="34">
        <v>1788750</v>
      </c>
    </row>
    <row r="255" spans="1:11" s="34" customFormat="1" ht="12.75" hidden="1">
      <c r="A255" s="46" t="s">
        <v>6</v>
      </c>
      <c r="B255" s="47" t="s">
        <v>492</v>
      </c>
      <c r="C255" s="47" t="s">
        <v>493</v>
      </c>
      <c r="D255" s="48">
        <v>0</v>
      </c>
      <c r="E255" s="48">
        <v>0</v>
      </c>
      <c r="F255" s="48">
        <v>0</v>
      </c>
      <c r="G255" s="48">
        <v>0</v>
      </c>
      <c r="H255" s="48">
        <v>0</v>
      </c>
      <c r="I255" s="49"/>
      <c r="J255" s="76">
        <f>ABS(D255)+ABS(E255)+ABS(F255)+ABS(G255)+ABS(H255)</f>
        <v>0</v>
      </c>
      <c r="K255" s="34">
        <v>1788751</v>
      </c>
    </row>
    <row r="256" spans="1:11" s="34" customFormat="1" ht="12.75" hidden="1">
      <c r="A256" s="46" t="s">
        <v>6</v>
      </c>
      <c r="B256" s="47" t="s">
        <v>494</v>
      </c>
      <c r="C256" s="47" t="s">
        <v>495</v>
      </c>
      <c r="D256" s="48">
        <v>0</v>
      </c>
      <c r="E256" s="48">
        <v>0</v>
      </c>
      <c r="F256" s="48">
        <v>0</v>
      </c>
      <c r="G256" s="48">
        <v>0</v>
      </c>
      <c r="H256" s="48">
        <v>0</v>
      </c>
      <c r="I256" s="49"/>
      <c r="J256" s="76">
        <f>ABS(D256)+ABS(E256)+ABS(F256)+ABS(G256)+ABS(H256)</f>
        <v>0</v>
      </c>
      <c r="K256" s="34">
        <v>1788752</v>
      </c>
    </row>
    <row r="257" spans="1:11" s="34" customFormat="1" ht="12.75" hidden="1">
      <c r="A257" s="46" t="s">
        <v>6</v>
      </c>
      <c r="B257" s="47" t="s">
        <v>496</v>
      </c>
      <c r="C257" s="47" t="s">
        <v>497</v>
      </c>
      <c r="D257" s="48">
        <v>0</v>
      </c>
      <c r="E257" s="48">
        <v>0</v>
      </c>
      <c r="F257" s="48">
        <v>0</v>
      </c>
      <c r="G257" s="48">
        <v>0</v>
      </c>
      <c r="H257" s="48">
        <v>0</v>
      </c>
      <c r="I257" s="49"/>
      <c r="J257" s="76">
        <f>ABS(D257)+ABS(E257)+ABS(F257)+ABS(G257)+ABS(H257)</f>
        <v>0</v>
      </c>
      <c r="K257" s="34">
        <v>1788753</v>
      </c>
    </row>
    <row r="258" spans="1:11" s="34" customFormat="1" ht="12.75" hidden="1">
      <c r="A258" s="46" t="s">
        <v>6</v>
      </c>
      <c r="B258" s="47" t="s">
        <v>498</v>
      </c>
      <c r="C258" s="47" t="s">
        <v>499</v>
      </c>
      <c r="D258" s="48">
        <v>0</v>
      </c>
      <c r="E258" s="48">
        <v>0</v>
      </c>
      <c r="F258" s="48">
        <v>0</v>
      </c>
      <c r="G258" s="48">
        <v>0</v>
      </c>
      <c r="H258" s="48">
        <v>0</v>
      </c>
      <c r="I258" s="49"/>
      <c r="J258" s="76">
        <f>ABS(D258)+ABS(E258)+ABS(F258)+ABS(G258)+ABS(H258)</f>
        <v>0</v>
      </c>
      <c r="K258" s="34">
        <v>1788754</v>
      </c>
    </row>
    <row r="259" spans="1:11" s="34" customFormat="1" ht="12.75" hidden="1">
      <c r="A259" s="46" t="s">
        <v>6</v>
      </c>
      <c r="B259" s="47" t="s">
        <v>500</v>
      </c>
      <c r="C259" s="47" t="s">
        <v>501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9"/>
      <c r="J259" s="76">
        <f>ABS(D259)+ABS(E259)+ABS(F259)+ABS(G259)+ABS(H259)</f>
        <v>0</v>
      </c>
      <c r="K259" s="34">
        <v>1788755</v>
      </c>
    </row>
    <row r="260" spans="1:11" s="34" customFormat="1" ht="12.75" hidden="1">
      <c r="A260" s="46" t="s">
        <v>6</v>
      </c>
      <c r="B260" s="47" t="s">
        <v>502</v>
      </c>
      <c r="C260" s="47" t="s">
        <v>503</v>
      </c>
      <c r="D260" s="48">
        <v>0</v>
      </c>
      <c r="E260" s="48">
        <v>0</v>
      </c>
      <c r="F260" s="48">
        <v>0</v>
      </c>
      <c r="G260" s="48">
        <v>0</v>
      </c>
      <c r="H260" s="48">
        <v>0</v>
      </c>
      <c r="I260" s="49"/>
      <c r="J260" s="76">
        <f>ABS(D260)+ABS(E260)+ABS(F260)+ABS(G260)+ABS(H260)</f>
        <v>0</v>
      </c>
      <c r="K260" s="34">
        <v>1788756</v>
      </c>
    </row>
    <row r="261" spans="1:11" s="34" customFormat="1" ht="12.75" hidden="1">
      <c r="A261" s="46" t="s">
        <v>6</v>
      </c>
      <c r="B261" s="47" t="s">
        <v>504</v>
      </c>
      <c r="C261" s="47" t="s">
        <v>505</v>
      </c>
      <c r="D261" s="48">
        <v>0</v>
      </c>
      <c r="E261" s="48">
        <v>0</v>
      </c>
      <c r="F261" s="48">
        <v>0</v>
      </c>
      <c r="G261" s="48">
        <v>0</v>
      </c>
      <c r="H261" s="48">
        <v>0</v>
      </c>
      <c r="I261" s="49"/>
      <c r="J261" s="76">
        <f>ABS(D261)+ABS(E261)+ABS(F261)+ABS(G261)+ABS(H261)</f>
        <v>0</v>
      </c>
      <c r="K261" s="34">
        <v>1788757</v>
      </c>
    </row>
    <row r="262" spans="1:11" s="34" customFormat="1" ht="12.75" hidden="1">
      <c r="A262" s="46" t="s">
        <v>6</v>
      </c>
      <c r="B262" s="47" t="s">
        <v>506</v>
      </c>
      <c r="C262" s="47" t="s">
        <v>507</v>
      </c>
      <c r="D262" s="48">
        <v>0</v>
      </c>
      <c r="E262" s="48">
        <v>0</v>
      </c>
      <c r="F262" s="48">
        <v>0</v>
      </c>
      <c r="G262" s="48">
        <v>0</v>
      </c>
      <c r="H262" s="48">
        <v>0</v>
      </c>
      <c r="I262" s="49"/>
      <c r="J262" s="76">
        <f>ABS(D262)+ABS(E262)+ABS(F262)+ABS(G262)+ABS(H262)</f>
        <v>0</v>
      </c>
      <c r="K262" s="34">
        <v>1788758</v>
      </c>
    </row>
    <row r="263" spans="1:11" s="34" customFormat="1" ht="12.75" hidden="1">
      <c r="A263" s="46" t="s">
        <v>6</v>
      </c>
      <c r="B263" s="47" t="s">
        <v>508</v>
      </c>
      <c r="C263" s="47" t="s">
        <v>248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9"/>
      <c r="J263" s="76">
        <f>ABS(D263)+ABS(E263)+ABS(F263)+ABS(G263)+ABS(H263)</f>
        <v>0</v>
      </c>
      <c r="K263" s="34">
        <v>1788759</v>
      </c>
    </row>
    <row r="264" spans="1:11" s="34" customFormat="1" ht="12.75" hidden="1">
      <c r="A264" s="46" t="s">
        <v>6</v>
      </c>
      <c r="B264" s="47" t="s">
        <v>509</v>
      </c>
      <c r="C264" s="47" t="s">
        <v>510</v>
      </c>
      <c r="D264" s="48">
        <v>0</v>
      </c>
      <c r="E264" s="48">
        <v>0</v>
      </c>
      <c r="F264" s="48">
        <v>0</v>
      </c>
      <c r="G264" s="48">
        <v>0</v>
      </c>
      <c r="H264" s="48">
        <v>0</v>
      </c>
      <c r="I264" s="49"/>
      <c r="J264" s="76">
        <f>ABS(D264)+ABS(E264)+ABS(F264)+ABS(G264)+ABS(H264)</f>
        <v>0</v>
      </c>
      <c r="K264" s="34">
        <v>1788760</v>
      </c>
    </row>
    <row r="265" spans="1:11" s="34" customFormat="1" ht="12.75" hidden="1">
      <c r="A265" s="46" t="s">
        <v>6</v>
      </c>
      <c r="B265" s="47" t="s">
        <v>511</v>
      </c>
      <c r="C265" s="47" t="s">
        <v>512</v>
      </c>
      <c r="D265" s="48">
        <v>0</v>
      </c>
      <c r="E265" s="48">
        <v>0</v>
      </c>
      <c r="F265" s="48">
        <v>0</v>
      </c>
      <c r="G265" s="48">
        <v>0</v>
      </c>
      <c r="H265" s="48">
        <v>0</v>
      </c>
      <c r="I265" s="49"/>
      <c r="J265" s="76">
        <f>ABS(D265)+ABS(E265)+ABS(F265)+ABS(G265)+ABS(H265)</f>
        <v>0</v>
      </c>
      <c r="K265" s="34">
        <v>1788761</v>
      </c>
    </row>
    <row r="266" spans="1:11" s="34" customFormat="1" ht="12.75" hidden="1">
      <c r="A266" s="46" t="s">
        <v>6</v>
      </c>
      <c r="B266" s="47" t="s">
        <v>513</v>
      </c>
      <c r="C266" s="47" t="s">
        <v>514</v>
      </c>
      <c r="D266" s="48">
        <v>0</v>
      </c>
      <c r="E266" s="48">
        <v>0</v>
      </c>
      <c r="F266" s="48">
        <v>0</v>
      </c>
      <c r="G266" s="48">
        <v>0</v>
      </c>
      <c r="H266" s="48">
        <v>0</v>
      </c>
      <c r="I266" s="49"/>
      <c r="J266" s="76">
        <f>ABS(D266)+ABS(E266)+ABS(F266)+ABS(G266)+ABS(H266)</f>
        <v>0</v>
      </c>
      <c r="K266" s="34">
        <v>1788762</v>
      </c>
    </row>
    <row r="267" spans="1:11" s="34" customFormat="1" ht="12.75" hidden="1">
      <c r="A267" s="46" t="s">
        <v>6</v>
      </c>
      <c r="B267" s="47" t="s">
        <v>515</v>
      </c>
      <c r="C267" s="47" t="s">
        <v>516</v>
      </c>
      <c r="D267" s="48">
        <v>0</v>
      </c>
      <c r="E267" s="48">
        <v>0</v>
      </c>
      <c r="F267" s="48">
        <v>0</v>
      </c>
      <c r="G267" s="48">
        <v>0</v>
      </c>
      <c r="H267" s="48">
        <v>0</v>
      </c>
      <c r="I267" s="49"/>
      <c r="J267" s="76">
        <f>ABS(D267)+ABS(E267)+ABS(F267)+ABS(G267)+ABS(H267)</f>
        <v>0</v>
      </c>
      <c r="K267" s="34">
        <v>1788763</v>
      </c>
    </row>
    <row r="268" spans="1:11" s="34" customFormat="1" ht="12.75" hidden="1">
      <c r="A268" s="46" t="s">
        <v>6</v>
      </c>
      <c r="B268" s="47" t="s">
        <v>517</v>
      </c>
      <c r="C268" s="47" t="s">
        <v>518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9"/>
      <c r="J268" s="76">
        <f>ABS(D268)+ABS(E268)+ABS(F268)+ABS(G268)+ABS(H268)</f>
        <v>0</v>
      </c>
      <c r="K268" s="34">
        <v>1788764</v>
      </c>
    </row>
    <row r="269" spans="1:11" s="34" customFormat="1" ht="12.75" hidden="1">
      <c r="A269" s="46" t="s">
        <v>6</v>
      </c>
      <c r="B269" s="47" t="s">
        <v>519</v>
      </c>
      <c r="C269" s="47" t="s">
        <v>520</v>
      </c>
      <c r="D269" s="48">
        <v>0</v>
      </c>
      <c r="E269" s="48">
        <v>0</v>
      </c>
      <c r="F269" s="48">
        <v>0</v>
      </c>
      <c r="G269" s="48">
        <v>0</v>
      </c>
      <c r="H269" s="48">
        <v>0</v>
      </c>
      <c r="I269" s="49"/>
      <c r="J269" s="76">
        <f>ABS(D269)+ABS(E269)+ABS(F269)+ABS(G269)+ABS(H269)</f>
        <v>0</v>
      </c>
      <c r="K269" s="34">
        <v>1788765</v>
      </c>
    </row>
    <row r="270" spans="1:11" s="34" customFormat="1" ht="12.75" hidden="1">
      <c r="A270" s="46" t="s">
        <v>6</v>
      </c>
      <c r="B270" s="47" t="s">
        <v>521</v>
      </c>
      <c r="C270" s="47" t="s">
        <v>522</v>
      </c>
      <c r="D270" s="48">
        <v>0</v>
      </c>
      <c r="E270" s="48">
        <v>0</v>
      </c>
      <c r="F270" s="48">
        <v>0</v>
      </c>
      <c r="G270" s="48">
        <v>0</v>
      </c>
      <c r="H270" s="48">
        <v>0</v>
      </c>
      <c r="I270" s="49"/>
      <c r="J270" s="76">
        <f>ABS(D270)+ABS(E270)+ABS(F270)+ABS(G270)+ABS(H270)</f>
        <v>0</v>
      </c>
      <c r="K270" s="34">
        <v>1788766</v>
      </c>
    </row>
    <row r="271" spans="1:11" s="34" customFormat="1" ht="12.75" hidden="1">
      <c r="A271" s="46" t="s">
        <v>6</v>
      </c>
      <c r="B271" s="47" t="s">
        <v>523</v>
      </c>
      <c r="C271" s="47" t="s">
        <v>524</v>
      </c>
      <c r="D271" s="48">
        <v>0</v>
      </c>
      <c r="E271" s="48">
        <v>0</v>
      </c>
      <c r="F271" s="48">
        <v>0</v>
      </c>
      <c r="G271" s="48">
        <v>0</v>
      </c>
      <c r="H271" s="48">
        <v>0</v>
      </c>
      <c r="I271" s="49"/>
      <c r="J271" s="76">
        <f>ABS(D271)+ABS(E271)+ABS(F271)+ABS(G271)+ABS(H271)</f>
        <v>0</v>
      </c>
      <c r="K271" s="34">
        <v>1788767</v>
      </c>
    </row>
    <row r="272" spans="1:11" s="34" customFormat="1" ht="12.75" hidden="1">
      <c r="A272" s="46" t="s">
        <v>6</v>
      </c>
      <c r="B272" s="47" t="s">
        <v>525</v>
      </c>
      <c r="C272" s="47" t="s">
        <v>526</v>
      </c>
      <c r="D272" s="48">
        <v>0</v>
      </c>
      <c r="E272" s="48">
        <v>0</v>
      </c>
      <c r="F272" s="48">
        <v>0</v>
      </c>
      <c r="G272" s="48">
        <v>0</v>
      </c>
      <c r="H272" s="48">
        <v>0</v>
      </c>
      <c r="I272" s="49"/>
      <c r="J272" s="76">
        <f>ABS(D272)+ABS(E272)+ABS(F272)+ABS(G272)+ABS(H272)</f>
        <v>0</v>
      </c>
      <c r="K272" s="34">
        <v>1788768</v>
      </c>
    </row>
    <row r="273" spans="1:11" s="34" customFormat="1" ht="12.75" hidden="1">
      <c r="A273" s="46" t="s">
        <v>6</v>
      </c>
      <c r="B273" s="47" t="s">
        <v>527</v>
      </c>
      <c r="C273" s="47" t="s">
        <v>528</v>
      </c>
      <c r="D273" s="48">
        <v>0</v>
      </c>
      <c r="E273" s="48">
        <v>0</v>
      </c>
      <c r="F273" s="48">
        <v>0</v>
      </c>
      <c r="G273" s="48">
        <v>0</v>
      </c>
      <c r="H273" s="48">
        <v>0</v>
      </c>
      <c r="I273" s="49"/>
      <c r="J273" s="76">
        <f>ABS(D273)+ABS(E273)+ABS(F273)+ABS(G273)+ABS(H273)</f>
        <v>0</v>
      </c>
      <c r="K273" s="34">
        <v>1788769</v>
      </c>
    </row>
    <row r="274" spans="1:11" s="34" customFormat="1" ht="12.75" hidden="1">
      <c r="A274" s="46" t="s">
        <v>6</v>
      </c>
      <c r="B274" s="47" t="s">
        <v>529</v>
      </c>
      <c r="C274" s="47" t="s">
        <v>530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9"/>
      <c r="J274" s="76">
        <f>ABS(D274)+ABS(E274)+ABS(F274)+ABS(G274)+ABS(H274)</f>
        <v>0</v>
      </c>
      <c r="K274" s="34">
        <v>1788770</v>
      </c>
    </row>
    <row r="275" spans="1:11" s="34" customFormat="1" ht="12.75">
      <c r="A275" s="46" t="s">
        <v>26</v>
      </c>
      <c r="B275" s="55" t="s">
        <v>531</v>
      </c>
      <c r="C275" s="55" t="s">
        <v>532</v>
      </c>
      <c r="D275" s="56">
        <v>69392</v>
      </c>
      <c r="E275" s="56">
        <v>82511.08</v>
      </c>
      <c r="F275" s="56">
        <v>14988.52</v>
      </c>
      <c r="G275" s="56">
        <v>12083.34</v>
      </c>
      <c r="H275" s="56">
        <v>72500</v>
      </c>
      <c r="I275" s="57"/>
      <c r="J275" s="77">
        <f>ABS(D275)+ABS(E275)+ABS(F275)+ABS(G275)+ABS(H275)</f>
        <v>251474.94</v>
      </c>
      <c r="K275" s="34">
        <v>1788771</v>
      </c>
    </row>
    <row r="276" spans="1:10" s="34" customFormat="1" ht="12.75">
      <c r="A276" s="46"/>
      <c r="B276" s="47"/>
      <c r="C276" s="47"/>
      <c r="D276" s="48"/>
      <c r="E276" s="48"/>
      <c r="F276" s="48"/>
      <c r="G276" s="48"/>
      <c r="H276" s="48"/>
      <c r="I276" s="49"/>
      <c r="J276" s="76"/>
    </row>
    <row r="277" spans="1:11" s="34" customFormat="1" ht="12.75">
      <c r="A277" s="46" t="s">
        <v>25</v>
      </c>
      <c r="B277" s="59" t="s">
        <v>533</v>
      </c>
      <c r="C277" s="59" t="s">
        <v>534</v>
      </c>
      <c r="D277" s="60" t="s">
        <v>1</v>
      </c>
      <c r="E277" s="60" t="s">
        <v>1</v>
      </c>
      <c r="F277" s="60" t="s">
        <v>1</v>
      </c>
      <c r="G277" s="60" t="s">
        <v>1</v>
      </c>
      <c r="H277" s="60" t="s">
        <v>1</v>
      </c>
      <c r="I277" s="61"/>
      <c r="J277" s="78">
        <v>1</v>
      </c>
      <c r="K277" s="34">
        <v>1788772</v>
      </c>
    </row>
    <row r="278" spans="1:11" s="34" customFormat="1" ht="12.75" hidden="1">
      <c r="A278" s="46" t="s">
        <v>6</v>
      </c>
      <c r="B278" s="47" t="s">
        <v>535</v>
      </c>
      <c r="C278" s="47" t="s">
        <v>536</v>
      </c>
      <c r="D278" s="48">
        <v>0</v>
      </c>
      <c r="E278" s="48">
        <v>0</v>
      </c>
      <c r="F278" s="48">
        <v>0</v>
      </c>
      <c r="G278" s="48">
        <v>0</v>
      </c>
      <c r="H278" s="48">
        <v>0</v>
      </c>
      <c r="I278" s="49"/>
      <c r="J278" s="76">
        <f>ABS(D278)+ABS(E278)+ABS(F278)+ABS(G278)+ABS(H278)</f>
        <v>0</v>
      </c>
      <c r="K278" s="34">
        <v>1788773</v>
      </c>
    </row>
    <row r="279" spans="1:11" s="34" customFormat="1" ht="12.75" hidden="1">
      <c r="A279" s="46" t="s">
        <v>6</v>
      </c>
      <c r="B279" s="47" t="s">
        <v>537</v>
      </c>
      <c r="C279" s="47" t="s">
        <v>538</v>
      </c>
      <c r="D279" s="48">
        <v>0</v>
      </c>
      <c r="E279" s="48">
        <v>0</v>
      </c>
      <c r="F279" s="48">
        <v>0</v>
      </c>
      <c r="G279" s="48">
        <v>0</v>
      </c>
      <c r="H279" s="48">
        <v>0</v>
      </c>
      <c r="I279" s="49"/>
      <c r="J279" s="76">
        <f>ABS(D279)+ABS(E279)+ABS(F279)+ABS(G279)+ABS(H279)</f>
        <v>0</v>
      </c>
      <c r="K279" s="34">
        <v>1788774</v>
      </c>
    </row>
    <row r="280" spans="1:11" s="34" customFormat="1" ht="12.75" hidden="1">
      <c r="A280" s="46" t="s">
        <v>6</v>
      </c>
      <c r="B280" s="47" t="s">
        <v>539</v>
      </c>
      <c r="C280" s="47" t="s">
        <v>540</v>
      </c>
      <c r="D280" s="48">
        <v>0</v>
      </c>
      <c r="E280" s="48">
        <v>0</v>
      </c>
      <c r="F280" s="48">
        <v>0</v>
      </c>
      <c r="G280" s="48">
        <v>0</v>
      </c>
      <c r="H280" s="48">
        <v>0</v>
      </c>
      <c r="I280" s="49"/>
      <c r="J280" s="76">
        <f>ABS(D280)+ABS(E280)+ABS(F280)+ABS(G280)+ABS(H280)</f>
        <v>0</v>
      </c>
      <c r="K280" s="34">
        <v>1788775</v>
      </c>
    </row>
    <row r="281" spans="1:11" s="34" customFormat="1" ht="12.75" hidden="1">
      <c r="A281" s="46" t="s">
        <v>6</v>
      </c>
      <c r="B281" s="47" t="s">
        <v>541</v>
      </c>
      <c r="C281" s="47" t="s">
        <v>542</v>
      </c>
      <c r="D281" s="48">
        <v>0</v>
      </c>
      <c r="E281" s="48">
        <v>0</v>
      </c>
      <c r="F281" s="48">
        <v>0</v>
      </c>
      <c r="G281" s="48">
        <v>0</v>
      </c>
      <c r="H281" s="48">
        <v>0</v>
      </c>
      <c r="I281" s="49"/>
      <c r="J281" s="76">
        <f>ABS(D281)+ABS(E281)+ABS(F281)+ABS(G281)+ABS(H281)</f>
        <v>0</v>
      </c>
      <c r="K281" s="34">
        <v>1788776</v>
      </c>
    </row>
    <row r="282" spans="1:11" s="34" customFormat="1" ht="12.75">
      <c r="A282" s="46" t="s">
        <v>6</v>
      </c>
      <c r="B282" s="47" t="s">
        <v>543</v>
      </c>
      <c r="C282" s="47" t="s">
        <v>544</v>
      </c>
      <c r="D282" s="48">
        <v>12024.12</v>
      </c>
      <c r="E282" s="48">
        <v>13900.68</v>
      </c>
      <c r="F282" s="48">
        <v>391.93</v>
      </c>
      <c r="G282" s="48">
        <v>2500</v>
      </c>
      <c r="H282" s="48">
        <v>15000</v>
      </c>
      <c r="I282" s="49"/>
      <c r="J282" s="76">
        <f>ABS(D282)+ABS(E282)+ABS(F282)+ABS(G282)+ABS(H282)</f>
        <v>43816.73</v>
      </c>
      <c r="K282" s="34">
        <v>1788777</v>
      </c>
    </row>
    <row r="283" spans="1:11" s="34" customFormat="1" ht="12.75" hidden="1">
      <c r="A283" s="46" t="s">
        <v>6</v>
      </c>
      <c r="B283" s="47" t="s">
        <v>545</v>
      </c>
      <c r="C283" s="47" t="s">
        <v>546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9"/>
      <c r="J283" s="76">
        <f>ABS(D283)+ABS(E283)+ABS(F283)+ABS(G283)+ABS(H283)</f>
        <v>0</v>
      </c>
      <c r="K283" s="34">
        <v>1788778</v>
      </c>
    </row>
    <row r="284" spans="1:11" s="34" customFormat="1" ht="12.75" hidden="1">
      <c r="A284" s="46" t="s">
        <v>6</v>
      </c>
      <c r="B284" s="47" t="s">
        <v>547</v>
      </c>
      <c r="C284" s="47" t="s">
        <v>548</v>
      </c>
      <c r="D284" s="48">
        <v>0</v>
      </c>
      <c r="E284" s="48">
        <v>0</v>
      </c>
      <c r="F284" s="48">
        <v>0</v>
      </c>
      <c r="G284" s="48">
        <v>0</v>
      </c>
      <c r="H284" s="48">
        <v>0</v>
      </c>
      <c r="I284" s="49"/>
      <c r="J284" s="76">
        <f>ABS(D284)+ABS(E284)+ABS(F284)+ABS(G284)+ABS(H284)</f>
        <v>0</v>
      </c>
      <c r="K284" s="34">
        <v>1788779</v>
      </c>
    </row>
    <row r="285" spans="1:11" s="34" customFormat="1" ht="12.75" hidden="1">
      <c r="A285" s="46" t="s">
        <v>6</v>
      </c>
      <c r="B285" s="47" t="s">
        <v>549</v>
      </c>
      <c r="C285" s="47" t="s">
        <v>550</v>
      </c>
      <c r="D285" s="48">
        <v>0</v>
      </c>
      <c r="E285" s="48">
        <v>0</v>
      </c>
      <c r="F285" s="48">
        <v>0</v>
      </c>
      <c r="G285" s="48">
        <v>0</v>
      </c>
      <c r="H285" s="48">
        <v>0</v>
      </c>
      <c r="I285" s="49"/>
      <c r="J285" s="76">
        <f>ABS(D285)+ABS(E285)+ABS(F285)+ABS(G285)+ABS(H285)</f>
        <v>0</v>
      </c>
      <c r="K285" s="34">
        <v>1788780</v>
      </c>
    </row>
    <row r="286" spans="1:11" s="34" customFormat="1" ht="12.75" hidden="1">
      <c r="A286" s="46" t="s">
        <v>6</v>
      </c>
      <c r="B286" s="47" t="s">
        <v>551</v>
      </c>
      <c r="C286" s="47" t="s">
        <v>552</v>
      </c>
      <c r="D286" s="48">
        <v>0</v>
      </c>
      <c r="E286" s="48">
        <v>0</v>
      </c>
      <c r="F286" s="48">
        <v>0</v>
      </c>
      <c r="G286" s="48">
        <v>0</v>
      </c>
      <c r="H286" s="48">
        <v>0</v>
      </c>
      <c r="I286" s="49"/>
      <c r="J286" s="76">
        <f>ABS(D286)+ABS(E286)+ABS(F286)+ABS(G286)+ABS(H286)</f>
        <v>0</v>
      </c>
      <c r="K286" s="34">
        <v>1788781</v>
      </c>
    </row>
    <row r="287" spans="1:11" s="34" customFormat="1" ht="12.75">
      <c r="A287" s="46" t="s">
        <v>6</v>
      </c>
      <c r="B287" s="47" t="s">
        <v>553</v>
      </c>
      <c r="C287" s="47" t="s">
        <v>554</v>
      </c>
      <c r="D287" s="48">
        <v>-2150.28</v>
      </c>
      <c r="E287" s="48">
        <v>0</v>
      </c>
      <c r="F287" s="48">
        <v>0</v>
      </c>
      <c r="G287" s="48">
        <v>0</v>
      </c>
      <c r="H287" s="48">
        <v>0</v>
      </c>
      <c r="I287" s="49"/>
      <c r="J287" s="76">
        <f>ABS(D287)+ABS(E287)+ABS(F287)+ABS(G287)+ABS(H287)</f>
        <v>2150.28</v>
      </c>
      <c r="K287" s="34">
        <v>1788782</v>
      </c>
    </row>
    <row r="288" spans="1:11" s="34" customFormat="1" ht="12.75">
      <c r="A288" s="46" t="s">
        <v>6</v>
      </c>
      <c r="B288" s="47" t="s">
        <v>555</v>
      </c>
      <c r="C288" s="47" t="s">
        <v>556</v>
      </c>
      <c r="D288" s="48">
        <v>176118.01</v>
      </c>
      <c r="E288" s="48">
        <v>223897.68</v>
      </c>
      <c r="F288" s="48">
        <v>9438.14</v>
      </c>
      <c r="G288" s="48">
        <v>30833.34</v>
      </c>
      <c r="H288" s="48">
        <v>185000</v>
      </c>
      <c r="I288" s="49"/>
      <c r="J288" s="76">
        <f>ABS(D288)+ABS(E288)+ABS(F288)+ABS(G288)+ABS(H288)</f>
        <v>625287.17</v>
      </c>
      <c r="K288" s="34">
        <v>1788783</v>
      </c>
    </row>
    <row r="289" spans="1:11" s="34" customFormat="1" ht="12.75">
      <c r="A289" s="46" t="s">
        <v>6</v>
      </c>
      <c r="B289" s="47" t="s">
        <v>557</v>
      </c>
      <c r="C289" s="47" t="s">
        <v>558</v>
      </c>
      <c r="D289" s="48">
        <v>15328.31</v>
      </c>
      <c r="E289" s="48">
        <v>10696.97</v>
      </c>
      <c r="F289" s="48">
        <v>0</v>
      </c>
      <c r="G289" s="48">
        <v>1666.66</v>
      </c>
      <c r="H289" s="48">
        <v>10000</v>
      </c>
      <c r="I289" s="49"/>
      <c r="J289" s="76">
        <f>ABS(D289)+ABS(E289)+ABS(F289)+ABS(G289)+ABS(H289)</f>
        <v>37691.94</v>
      </c>
      <c r="K289" s="34">
        <v>1788784</v>
      </c>
    </row>
    <row r="290" spans="1:11" s="34" customFormat="1" ht="12.75">
      <c r="A290" s="46" t="s">
        <v>6</v>
      </c>
      <c r="B290" s="47" t="s">
        <v>559</v>
      </c>
      <c r="C290" s="47" t="s">
        <v>234</v>
      </c>
      <c r="D290" s="48">
        <v>8944.11</v>
      </c>
      <c r="E290" s="48">
        <v>15937.55</v>
      </c>
      <c r="F290" s="48">
        <v>718.58</v>
      </c>
      <c r="G290" s="48">
        <v>1500</v>
      </c>
      <c r="H290" s="48">
        <v>9000</v>
      </c>
      <c r="I290" s="49"/>
      <c r="J290" s="76">
        <f>ABS(D290)+ABS(E290)+ABS(F290)+ABS(G290)+ABS(H290)</f>
        <v>36100.24</v>
      </c>
      <c r="K290" s="34">
        <v>1788785</v>
      </c>
    </row>
    <row r="291" spans="1:11" s="34" customFormat="1" ht="12.75">
      <c r="A291" s="46" t="s">
        <v>6</v>
      </c>
      <c r="B291" s="47" t="s">
        <v>560</v>
      </c>
      <c r="C291" s="47" t="s">
        <v>561</v>
      </c>
      <c r="D291" s="48">
        <v>8741.15</v>
      </c>
      <c r="E291" s="48">
        <v>6509.54</v>
      </c>
      <c r="F291" s="48">
        <v>0</v>
      </c>
      <c r="G291" s="48">
        <v>1666.66</v>
      </c>
      <c r="H291" s="48">
        <v>10000</v>
      </c>
      <c r="I291" s="49"/>
      <c r="J291" s="76">
        <f>ABS(D291)+ABS(E291)+ABS(F291)+ABS(G291)+ABS(H291)</f>
        <v>26917.35</v>
      </c>
      <c r="K291" s="34">
        <v>1788786</v>
      </c>
    </row>
    <row r="292" spans="1:11" s="34" customFormat="1" ht="12.75">
      <c r="A292" s="46" t="s">
        <v>6</v>
      </c>
      <c r="B292" s="47" t="s">
        <v>562</v>
      </c>
      <c r="C292" s="47" t="s">
        <v>563</v>
      </c>
      <c r="D292" s="48">
        <v>3137.78</v>
      </c>
      <c r="E292" s="48">
        <v>831.81</v>
      </c>
      <c r="F292" s="48">
        <v>3326.13</v>
      </c>
      <c r="G292" s="48">
        <v>1000</v>
      </c>
      <c r="H292" s="48">
        <v>1000</v>
      </c>
      <c r="I292" s="49"/>
      <c r="J292" s="76">
        <f>ABS(D292)+ABS(E292)+ABS(F292)+ABS(G292)+ABS(H292)</f>
        <v>9295.72</v>
      </c>
      <c r="K292" s="34">
        <v>1788787</v>
      </c>
    </row>
    <row r="293" spans="1:11" s="34" customFormat="1" ht="12.75">
      <c r="A293" s="46" t="s">
        <v>6</v>
      </c>
      <c r="B293" s="47" t="s">
        <v>564</v>
      </c>
      <c r="C293" s="47" t="s">
        <v>565</v>
      </c>
      <c r="D293" s="48">
        <v>8203.73</v>
      </c>
      <c r="E293" s="48">
        <v>2607.55</v>
      </c>
      <c r="F293" s="48">
        <v>0</v>
      </c>
      <c r="G293" s="48">
        <v>0</v>
      </c>
      <c r="H293" s="48">
        <v>500</v>
      </c>
      <c r="I293" s="49"/>
      <c r="J293" s="76">
        <f>ABS(D293)+ABS(E293)+ABS(F293)+ABS(G293)+ABS(H293)</f>
        <v>11311.28</v>
      </c>
      <c r="K293" s="34">
        <v>1788788</v>
      </c>
    </row>
    <row r="294" spans="1:11" s="34" customFormat="1" ht="12.75">
      <c r="A294" s="46" t="s">
        <v>6</v>
      </c>
      <c r="B294" s="47" t="s">
        <v>566</v>
      </c>
      <c r="C294" s="47" t="s">
        <v>567</v>
      </c>
      <c r="D294" s="48">
        <v>8280.5</v>
      </c>
      <c r="E294" s="48">
        <v>13885.93</v>
      </c>
      <c r="F294" s="48">
        <v>0</v>
      </c>
      <c r="G294" s="48">
        <v>1166.66</v>
      </c>
      <c r="H294" s="48">
        <v>7000</v>
      </c>
      <c r="I294" s="49"/>
      <c r="J294" s="76">
        <f>ABS(D294)+ABS(E294)+ABS(F294)+ABS(G294)+ABS(H294)</f>
        <v>30333.09</v>
      </c>
      <c r="K294" s="34">
        <v>1788789</v>
      </c>
    </row>
    <row r="295" spans="1:11" s="34" customFormat="1" ht="12.75">
      <c r="A295" s="46" t="s">
        <v>6</v>
      </c>
      <c r="B295" s="47" t="s">
        <v>568</v>
      </c>
      <c r="C295" s="47" t="s">
        <v>569</v>
      </c>
      <c r="D295" s="48">
        <v>5473.97</v>
      </c>
      <c r="E295" s="48">
        <v>1959.75</v>
      </c>
      <c r="F295" s="48">
        <v>3075.72</v>
      </c>
      <c r="G295" s="48">
        <v>1000</v>
      </c>
      <c r="H295" s="48">
        <v>6000</v>
      </c>
      <c r="I295" s="49"/>
      <c r="J295" s="76">
        <f>ABS(D295)+ABS(E295)+ABS(F295)+ABS(G295)+ABS(H295)</f>
        <v>17509.44</v>
      </c>
      <c r="K295" s="34">
        <v>1788790</v>
      </c>
    </row>
    <row r="296" spans="1:11" s="34" customFormat="1" ht="12.75" hidden="1">
      <c r="A296" s="46" t="s">
        <v>6</v>
      </c>
      <c r="B296" s="47" t="s">
        <v>570</v>
      </c>
      <c r="C296" s="47" t="s">
        <v>571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9"/>
      <c r="J296" s="76">
        <f>ABS(D296)+ABS(E296)+ABS(F296)+ABS(G296)+ABS(H296)</f>
        <v>0</v>
      </c>
      <c r="K296" s="34">
        <v>1788791</v>
      </c>
    </row>
    <row r="297" spans="1:11" s="34" customFormat="1" ht="12.75" hidden="1">
      <c r="A297" s="46" t="s">
        <v>6</v>
      </c>
      <c r="B297" s="47" t="s">
        <v>572</v>
      </c>
      <c r="C297" s="47" t="s">
        <v>573</v>
      </c>
      <c r="D297" s="48">
        <v>0</v>
      </c>
      <c r="E297" s="48">
        <v>0</v>
      </c>
      <c r="F297" s="48">
        <v>0</v>
      </c>
      <c r="G297" s="48">
        <v>0</v>
      </c>
      <c r="H297" s="48">
        <v>0</v>
      </c>
      <c r="I297" s="49"/>
      <c r="J297" s="76">
        <f>ABS(D297)+ABS(E297)+ABS(F297)+ABS(G297)+ABS(H297)</f>
        <v>0</v>
      </c>
      <c r="K297" s="34">
        <v>1788792</v>
      </c>
    </row>
    <row r="298" spans="1:11" s="34" customFormat="1" ht="12.75" hidden="1">
      <c r="A298" s="46" t="s">
        <v>6</v>
      </c>
      <c r="B298" s="47" t="s">
        <v>574</v>
      </c>
      <c r="C298" s="47" t="s">
        <v>575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9"/>
      <c r="J298" s="76">
        <f>ABS(D298)+ABS(E298)+ABS(F298)+ABS(G298)+ABS(H298)</f>
        <v>0</v>
      </c>
      <c r="K298" s="34">
        <v>1788793</v>
      </c>
    </row>
    <row r="299" spans="1:11" s="34" customFormat="1" ht="12.75">
      <c r="A299" s="46" t="s">
        <v>6</v>
      </c>
      <c r="B299" s="47" t="s">
        <v>576</v>
      </c>
      <c r="C299" s="47" t="s">
        <v>577</v>
      </c>
      <c r="D299" s="48">
        <v>20428.6</v>
      </c>
      <c r="E299" s="48">
        <v>30757.12</v>
      </c>
      <c r="F299" s="48">
        <v>4681.61</v>
      </c>
      <c r="G299" s="48">
        <v>4500</v>
      </c>
      <c r="H299" s="48">
        <v>27000</v>
      </c>
      <c r="I299" s="49"/>
      <c r="J299" s="76">
        <f>ABS(D299)+ABS(E299)+ABS(F299)+ABS(G299)+ABS(H299)</f>
        <v>87367.33</v>
      </c>
      <c r="K299" s="34">
        <v>1788794</v>
      </c>
    </row>
    <row r="300" spans="1:11" s="34" customFormat="1" ht="12.75" hidden="1">
      <c r="A300" s="46" t="s">
        <v>6</v>
      </c>
      <c r="B300" s="47" t="s">
        <v>578</v>
      </c>
      <c r="C300" s="47" t="s">
        <v>579</v>
      </c>
      <c r="D300" s="48">
        <v>0</v>
      </c>
      <c r="E300" s="48">
        <v>0</v>
      </c>
      <c r="F300" s="48">
        <v>0</v>
      </c>
      <c r="G300" s="48">
        <v>0</v>
      </c>
      <c r="H300" s="48">
        <v>0</v>
      </c>
      <c r="I300" s="49"/>
      <c r="J300" s="76">
        <f>ABS(D300)+ABS(E300)+ABS(F300)+ABS(G300)+ABS(H300)</f>
        <v>0</v>
      </c>
      <c r="K300" s="34">
        <v>1788795</v>
      </c>
    </row>
    <row r="301" spans="1:11" s="34" customFormat="1" ht="12.75">
      <c r="A301" s="46" t="s">
        <v>6</v>
      </c>
      <c r="B301" s="47" t="s">
        <v>580</v>
      </c>
      <c r="C301" s="47" t="s">
        <v>581</v>
      </c>
      <c r="D301" s="48">
        <v>4588.75</v>
      </c>
      <c r="E301" s="48">
        <v>7057.76</v>
      </c>
      <c r="F301" s="48">
        <v>537.3</v>
      </c>
      <c r="G301" s="48">
        <v>833.34</v>
      </c>
      <c r="H301" s="48">
        <v>5000</v>
      </c>
      <c r="I301" s="49"/>
      <c r="J301" s="76">
        <f>ABS(D301)+ABS(E301)+ABS(F301)+ABS(G301)+ABS(H301)</f>
        <v>18017.15</v>
      </c>
      <c r="K301" s="34">
        <v>1788796</v>
      </c>
    </row>
    <row r="302" spans="1:11" s="34" customFormat="1" ht="12.75" hidden="1">
      <c r="A302" s="46" t="s">
        <v>6</v>
      </c>
      <c r="B302" s="47" t="s">
        <v>582</v>
      </c>
      <c r="C302" s="47" t="s">
        <v>583</v>
      </c>
      <c r="D302" s="48">
        <v>0</v>
      </c>
      <c r="E302" s="48">
        <v>0</v>
      </c>
      <c r="F302" s="48">
        <v>0</v>
      </c>
      <c r="G302" s="48">
        <v>0</v>
      </c>
      <c r="H302" s="48">
        <v>0</v>
      </c>
      <c r="I302" s="49"/>
      <c r="J302" s="76">
        <f>ABS(D302)+ABS(E302)+ABS(F302)+ABS(G302)+ABS(H302)</f>
        <v>0</v>
      </c>
      <c r="K302" s="34">
        <v>1788797</v>
      </c>
    </row>
    <row r="303" spans="1:11" s="34" customFormat="1" ht="12.75">
      <c r="A303" s="46" t="s">
        <v>6</v>
      </c>
      <c r="B303" s="47" t="s">
        <v>584</v>
      </c>
      <c r="C303" s="47" t="s">
        <v>236</v>
      </c>
      <c r="D303" s="48">
        <v>5258.65</v>
      </c>
      <c r="E303" s="48">
        <v>489.94</v>
      </c>
      <c r="F303" s="48">
        <v>169.85</v>
      </c>
      <c r="G303" s="48">
        <v>500</v>
      </c>
      <c r="H303" s="48">
        <v>2000</v>
      </c>
      <c r="I303" s="49"/>
      <c r="J303" s="76">
        <f>ABS(D303)+ABS(E303)+ABS(F303)+ABS(G303)+ABS(H303)</f>
        <v>8418.44</v>
      </c>
      <c r="K303" s="34">
        <v>1788798</v>
      </c>
    </row>
    <row r="304" spans="1:11" s="34" customFormat="1" ht="12.75">
      <c r="A304" s="46" t="s">
        <v>6</v>
      </c>
      <c r="B304" s="47" t="s">
        <v>585</v>
      </c>
      <c r="C304" s="47" t="s">
        <v>586</v>
      </c>
      <c r="D304" s="48">
        <v>272.19</v>
      </c>
      <c r="E304" s="48">
        <v>0</v>
      </c>
      <c r="F304" s="48">
        <v>0</v>
      </c>
      <c r="G304" s="48">
        <v>0</v>
      </c>
      <c r="H304" s="48">
        <v>0</v>
      </c>
      <c r="I304" s="49"/>
      <c r="J304" s="76">
        <f>ABS(D304)+ABS(E304)+ABS(F304)+ABS(G304)+ABS(H304)</f>
        <v>272.19</v>
      </c>
      <c r="K304" s="34">
        <v>1788799</v>
      </c>
    </row>
    <row r="305" spans="1:11" s="34" customFormat="1" ht="12.75" hidden="1">
      <c r="A305" s="46" t="s">
        <v>6</v>
      </c>
      <c r="B305" s="47" t="s">
        <v>587</v>
      </c>
      <c r="C305" s="47" t="s">
        <v>588</v>
      </c>
      <c r="D305" s="48">
        <v>0</v>
      </c>
      <c r="E305" s="48">
        <v>0</v>
      </c>
      <c r="F305" s="48">
        <v>0</v>
      </c>
      <c r="G305" s="48">
        <v>0</v>
      </c>
      <c r="H305" s="48">
        <v>0</v>
      </c>
      <c r="I305" s="49"/>
      <c r="J305" s="76">
        <f>ABS(D305)+ABS(E305)+ABS(F305)+ABS(G305)+ABS(H305)</f>
        <v>0</v>
      </c>
      <c r="K305" s="34">
        <v>1788800</v>
      </c>
    </row>
    <row r="306" spans="1:11" s="34" customFormat="1" ht="12.75" hidden="1">
      <c r="A306" s="46" t="s">
        <v>6</v>
      </c>
      <c r="B306" s="47" t="s">
        <v>589</v>
      </c>
      <c r="C306" s="47" t="s">
        <v>590</v>
      </c>
      <c r="D306" s="48">
        <v>0</v>
      </c>
      <c r="E306" s="48">
        <v>0</v>
      </c>
      <c r="F306" s="48">
        <v>0</v>
      </c>
      <c r="G306" s="48">
        <v>0</v>
      </c>
      <c r="H306" s="48">
        <v>0</v>
      </c>
      <c r="I306" s="49"/>
      <c r="J306" s="76">
        <f>ABS(D306)+ABS(E306)+ABS(F306)+ABS(G306)+ABS(H306)</f>
        <v>0</v>
      </c>
      <c r="K306" s="34">
        <v>1788801</v>
      </c>
    </row>
    <row r="307" spans="1:11" s="34" customFormat="1" ht="12.75">
      <c r="A307" s="46" t="s">
        <v>6</v>
      </c>
      <c r="B307" s="47" t="s">
        <v>591</v>
      </c>
      <c r="C307" s="47" t="s">
        <v>592</v>
      </c>
      <c r="D307" s="48">
        <v>2759.98</v>
      </c>
      <c r="E307" s="48">
        <v>4839.49</v>
      </c>
      <c r="F307" s="48">
        <v>0</v>
      </c>
      <c r="G307" s="48">
        <v>0</v>
      </c>
      <c r="H307" s="48">
        <v>4000</v>
      </c>
      <c r="I307" s="49"/>
      <c r="J307" s="76">
        <f>ABS(D307)+ABS(E307)+ABS(F307)+ABS(G307)+ABS(H307)</f>
        <v>11599.47</v>
      </c>
      <c r="K307" s="34">
        <v>1788802</v>
      </c>
    </row>
    <row r="308" spans="1:11" s="34" customFormat="1" ht="12.75">
      <c r="A308" s="46" t="s">
        <v>6</v>
      </c>
      <c r="B308" s="47" t="s">
        <v>593</v>
      </c>
      <c r="C308" s="47" t="s">
        <v>594</v>
      </c>
      <c r="D308" s="48">
        <v>14752.57</v>
      </c>
      <c r="E308" s="48">
        <v>3767.08</v>
      </c>
      <c r="F308" s="48">
        <v>0</v>
      </c>
      <c r="G308" s="48">
        <v>1000</v>
      </c>
      <c r="H308" s="48">
        <v>6000</v>
      </c>
      <c r="I308" s="49"/>
      <c r="J308" s="76">
        <f>ABS(D308)+ABS(E308)+ABS(F308)+ABS(G308)+ABS(H308)</f>
        <v>25519.65</v>
      </c>
      <c r="K308" s="34">
        <v>1788803</v>
      </c>
    </row>
    <row r="309" spans="1:11" s="34" customFormat="1" ht="12.75" hidden="1">
      <c r="A309" s="46" t="s">
        <v>6</v>
      </c>
      <c r="B309" s="47" t="s">
        <v>595</v>
      </c>
      <c r="C309" s="47" t="s">
        <v>596</v>
      </c>
      <c r="D309" s="48">
        <v>0</v>
      </c>
      <c r="E309" s="48">
        <v>0</v>
      </c>
      <c r="F309" s="48">
        <v>0</v>
      </c>
      <c r="G309" s="48">
        <v>0</v>
      </c>
      <c r="H309" s="48">
        <v>0</v>
      </c>
      <c r="I309" s="49"/>
      <c r="J309" s="76">
        <f>ABS(D309)+ABS(E309)+ABS(F309)+ABS(G309)+ABS(H309)</f>
        <v>0</v>
      </c>
      <c r="K309" s="34">
        <v>1788804</v>
      </c>
    </row>
    <row r="310" spans="1:11" s="34" customFormat="1" ht="12.75">
      <c r="A310" s="46" t="s">
        <v>6</v>
      </c>
      <c r="B310" s="47" t="s">
        <v>597</v>
      </c>
      <c r="C310" s="47" t="s">
        <v>598</v>
      </c>
      <c r="D310" s="48">
        <v>4699.9</v>
      </c>
      <c r="E310" s="48">
        <v>5401.94</v>
      </c>
      <c r="F310" s="48">
        <v>2037.05</v>
      </c>
      <c r="G310" s="48">
        <v>2500</v>
      </c>
      <c r="H310" s="48">
        <v>5000</v>
      </c>
      <c r="I310" s="49"/>
      <c r="J310" s="76">
        <f>ABS(D310)+ABS(E310)+ABS(F310)+ABS(G310)+ABS(H310)</f>
        <v>19638.89</v>
      </c>
      <c r="K310" s="34">
        <v>1788805</v>
      </c>
    </row>
    <row r="311" spans="1:11" s="34" customFormat="1" ht="12.75" hidden="1">
      <c r="A311" s="46" t="s">
        <v>6</v>
      </c>
      <c r="B311" s="47" t="s">
        <v>599</v>
      </c>
      <c r="C311" s="47" t="s">
        <v>600</v>
      </c>
      <c r="D311" s="48">
        <v>0</v>
      </c>
      <c r="E311" s="48">
        <v>0</v>
      </c>
      <c r="F311" s="48">
        <v>0</v>
      </c>
      <c r="G311" s="48">
        <v>0</v>
      </c>
      <c r="H311" s="48">
        <v>0</v>
      </c>
      <c r="I311" s="49"/>
      <c r="J311" s="76">
        <f>ABS(D311)+ABS(E311)+ABS(F311)+ABS(G311)+ABS(H311)</f>
        <v>0</v>
      </c>
      <c r="K311" s="34">
        <v>1788806</v>
      </c>
    </row>
    <row r="312" spans="1:11" s="34" customFormat="1" ht="12.75" hidden="1">
      <c r="A312" s="46" t="s">
        <v>6</v>
      </c>
      <c r="B312" s="47" t="s">
        <v>601</v>
      </c>
      <c r="C312" s="47" t="s">
        <v>602</v>
      </c>
      <c r="D312" s="48">
        <v>0</v>
      </c>
      <c r="E312" s="48">
        <v>0</v>
      </c>
      <c r="F312" s="48">
        <v>0</v>
      </c>
      <c r="G312" s="48">
        <v>0</v>
      </c>
      <c r="H312" s="48">
        <v>0</v>
      </c>
      <c r="I312" s="49"/>
      <c r="J312" s="76">
        <f>ABS(D312)+ABS(E312)+ABS(F312)+ABS(G312)+ABS(H312)</f>
        <v>0</v>
      </c>
      <c r="K312" s="34">
        <v>1788807</v>
      </c>
    </row>
    <row r="313" spans="1:11" s="34" customFormat="1" ht="12.75" hidden="1">
      <c r="A313" s="46" t="s">
        <v>6</v>
      </c>
      <c r="B313" s="47" t="s">
        <v>603</v>
      </c>
      <c r="C313" s="47" t="s">
        <v>604</v>
      </c>
      <c r="D313" s="48">
        <v>0</v>
      </c>
      <c r="E313" s="48">
        <v>0</v>
      </c>
      <c r="F313" s="48">
        <v>0</v>
      </c>
      <c r="G313" s="48">
        <v>0</v>
      </c>
      <c r="H313" s="48">
        <v>0</v>
      </c>
      <c r="I313" s="49"/>
      <c r="J313" s="76">
        <f>ABS(D313)+ABS(E313)+ABS(F313)+ABS(G313)+ABS(H313)</f>
        <v>0</v>
      </c>
      <c r="K313" s="34">
        <v>1788808</v>
      </c>
    </row>
    <row r="314" spans="1:11" s="34" customFormat="1" ht="12.75" hidden="1">
      <c r="A314" s="46" t="s">
        <v>6</v>
      </c>
      <c r="B314" s="47" t="s">
        <v>605</v>
      </c>
      <c r="C314" s="47" t="s">
        <v>606</v>
      </c>
      <c r="D314" s="48">
        <v>0</v>
      </c>
      <c r="E314" s="48">
        <v>0</v>
      </c>
      <c r="F314" s="48">
        <v>0</v>
      </c>
      <c r="G314" s="48">
        <v>0</v>
      </c>
      <c r="H314" s="48">
        <v>0</v>
      </c>
      <c r="I314" s="49"/>
      <c r="J314" s="76">
        <f>ABS(D314)+ABS(E314)+ABS(F314)+ABS(G314)+ABS(H314)</f>
        <v>0</v>
      </c>
      <c r="K314" s="34">
        <v>1788809</v>
      </c>
    </row>
    <row r="315" spans="1:11" s="34" customFormat="1" ht="12.75" hidden="1">
      <c r="A315" s="46" t="s">
        <v>6</v>
      </c>
      <c r="B315" s="47" t="s">
        <v>607</v>
      </c>
      <c r="C315" s="47" t="s">
        <v>608</v>
      </c>
      <c r="D315" s="48">
        <v>0</v>
      </c>
      <c r="E315" s="48">
        <v>0</v>
      </c>
      <c r="F315" s="48">
        <v>0</v>
      </c>
      <c r="G315" s="48">
        <v>0</v>
      </c>
      <c r="H315" s="48">
        <v>0</v>
      </c>
      <c r="I315" s="49"/>
      <c r="J315" s="76">
        <f>ABS(D315)+ABS(E315)+ABS(F315)+ABS(G315)+ABS(H315)</f>
        <v>0</v>
      </c>
      <c r="K315" s="34">
        <v>1788810</v>
      </c>
    </row>
    <row r="316" spans="1:11" s="34" customFormat="1" ht="12.75">
      <c r="A316" s="46" t="s">
        <v>6</v>
      </c>
      <c r="B316" s="47" t="s">
        <v>609</v>
      </c>
      <c r="C316" s="47" t="s">
        <v>610</v>
      </c>
      <c r="D316" s="48">
        <v>1139.62</v>
      </c>
      <c r="E316" s="48">
        <v>0</v>
      </c>
      <c r="F316" s="48">
        <v>3600</v>
      </c>
      <c r="G316" s="48">
        <v>833.34</v>
      </c>
      <c r="H316" s="48">
        <v>5000</v>
      </c>
      <c r="I316" s="49"/>
      <c r="J316" s="76">
        <f>ABS(D316)+ABS(E316)+ABS(F316)+ABS(G316)+ABS(H316)</f>
        <v>10572.96</v>
      </c>
      <c r="K316" s="34">
        <v>1788811</v>
      </c>
    </row>
    <row r="317" spans="1:11" s="34" customFormat="1" ht="12.75">
      <c r="A317" s="46" t="s">
        <v>26</v>
      </c>
      <c r="B317" s="55" t="s">
        <v>611</v>
      </c>
      <c r="C317" s="55" t="s">
        <v>612</v>
      </c>
      <c r="D317" s="56">
        <v>298001.66</v>
      </c>
      <c r="E317" s="56">
        <v>342540.79</v>
      </c>
      <c r="F317" s="56">
        <v>27976.31</v>
      </c>
      <c r="G317" s="56">
        <v>51500</v>
      </c>
      <c r="H317" s="56">
        <v>297500</v>
      </c>
      <c r="I317" s="57"/>
      <c r="J317" s="77">
        <f>ABS(D317)+ABS(E317)+ABS(F317)+ABS(G317)+ABS(H317)</f>
        <v>1017518.76</v>
      </c>
      <c r="K317" s="34">
        <v>1788812</v>
      </c>
    </row>
    <row r="318" spans="1:10" s="34" customFormat="1" ht="12.75">
      <c r="A318" s="46"/>
      <c r="B318" s="47"/>
      <c r="C318" s="47"/>
      <c r="D318" s="48"/>
      <c r="E318" s="48"/>
      <c r="F318" s="48"/>
      <c r="G318" s="48"/>
      <c r="H318" s="48"/>
      <c r="I318" s="49"/>
      <c r="J318" s="76"/>
    </row>
    <row r="319" spans="1:11" s="34" customFormat="1" ht="12.75">
      <c r="A319" s="46" t="s">
        <v>25</v>
      </c>
      <c r="B319" s="59" t="s">
        <v>613</v>
      </c>
      <c r="C319" s="59" t="s">
        <v>614</v>
      </c>
      <c r="D319" s="60" t="s">
        <v>1</v>
      </c>
      <c r="E319" s="60" t="s">
        <v>1</v>
      </c>
      <c r="F319" s="60" t="s">
        <v>1</v>
      </c>
      <c r="G319" s="60" t="s">
        <v>1</v>
      </c>
      <c r="H319" s="60" t="s">
        <v>1</v>
      </c>
      <c r="I319" s="61"/>
      <c r="J319" s="78">
        <v>1</v>
      </c>
      <c r="K319" s="34">
        <v>1788813</v>
      </c>
    </row>
    <row r="320" spans="1:11" s="34" customFormat="1" ht="12.75">
      <c r="A320" s="46" t="s">
        <v>6</v>
      </c>
      <c r="B320" s="47" t="s">
        <v>615</v>
      </c>
      <c r="C320" s="47" t="s">
        <v>616</v>
      </c>
      <c r="D320" s="48">
        <v>-1360.93</v>
      </c>
      <c r="E320" s="48">
        <v>0</v>
      </c>
      <c r="F320" s="48">
        <v>0</v>
      </c>
      <c r="G320" s="48">
        <v>0</v>
      </c>
      <c r="H320" s="48">
        <v>0</v>
      </c>
      <c r="I320" s="49"/>
      <c r="J320" s="76">
        <f>ABS(D320)+ABS(E320)+ABS(F320)+ABS(G320)+ABS(H320)</f>
        <v>1360.93</v>
      </c>
      <c r="K320" s="34">
        <v>1788814</v>
      </c>
    </row>
    <row r="321" spans="1:11" s="34" customFormat="1" ht="12.75">
      <c r="A321" s="46" t="s">
        <v>6</v>
      </c>
      <c r="B321" s="47" t="s">
        <v>617</v>
      </c>
      <c r="C321" s="47" t="s">
        <v>618</v>
      </c>
      <c r="D321" s="48">
        <v>8601.12</v>
      </c>
      <c r="E321" s="48">
        <v>5226</v>
      </c>
      <c r="F321" s="48">
        <v>1742</v>
      </c>
      <c r="G321" s="48">
        <v>2000</v>
      </c>
      <c r="H321" s="48">
        <v>8000</v>
      </c>
      <c r="I321" s="49"/>
      <c r="J321" s="76">
        <f>ABS(D321)+ABS(E321)+ABS(F321)+ABS(G321)+ABS(H321)</f>
        <v>25569.12</v>
      </c>
      <c r="K321" s="34">
        <v>1788815</v>
      </c>
    </row>
    <row r="322" spans="1:11" s="34" customFormat="1" ht="12.75" hidden="1">
      <c r="A322" s="46" t="s">
        <v>6</v>
      </c>
      <c r="B322" s="47" t="s">
        <v>619</v>
      </c>
      <c r="C322" s="47" t="s">
        <v>620</v>
      </c>
      <c r="D322" s="48">
        <v>0</v>
      </c>
      <c r="E322" s="48">
        <v>0</v>
      </c>
      <c r="F322" s="48">
        <v>0</v>
      </c>
      <c r="G322" s="48">
        <v>0</v>
      </c>
      <c r="H322" s="48">
        <v>0</v>
      </c>
      <c r="I322" s="49"/>
      <c r="J322" s="76">
        <f>ABS(D322)+ABS(E322)+ABS(F322)+ABS(G322)+ABS(H322)</f>
        <v>0</v>
      </c>
      <c r="K322" s="34">
        <v>1788816</v>
      </c>
    </row>
    <row r="323" spans="1:11" s="34" customFormat="1" ht="12.75">
      <c r="A323" s="46" t="s">
        <v>6</v>
      </c>
      <c r="B323" s="47" t="s">
        <v>621</v>
      </c>
      <c r="C323" s="47" t="s">
        <v>622</v>
      </c>
      <c r="D323" s="48">
        <v>14153.75</v>
      </c>
      <c r="E323" s="48">
        <v>13752.74</v>
      </c>
      <c r="F323" s="48">
        <v>0</v>
      </c>
      <c r="G323" s="48">
        <v>0</v>
      </c>
      <c r="H323" s="48">
        <v>14000</v>
      </c>
      <c r="I323" s="49"/>
      <c r="J323" s="76">
        <f>ABS(D323)+ABS(E323)+ABS(F323)+ABS(G323)+ABS(H323)</f>
        <v>41906.49</v>
      </c>
      <c r="K323" s="34">
        <v>1788817</v>
      </c>
    </row>
    <row r="324" spans="1:11" s="34" customFormat="1" ht="12.75" hidden="1">
      <c r="A324" s="46" t="s">
        <v>6</v>
      </c>
      <c r="B324" s="47" t="s">
        <v>623</v>
      </c>
      <c r="C324" s="47" t="s">
        <v>624</v>
      </c>
      <c r="D324" s="48">
        <v>0</v>
      </c>
      <c r="E324" s="48">
        <v>0</v>
      </c>
      <c r="F324" s="48">
        <v>0</v>
      </c>
      <c r="G324" s="48">
        <v>0</v>
      </c>
      <c r="H324" s="48">
        <v>0</v>
      </c>
      <c r="I324" s="49"/>
      <c r="J324" s="76">
        <f>ABS(D324)+ABS(E324)+ABS(F324)+ABS(G324)+ABS(H324)</f>
        <v>0</v>
      </c>
      <c r="K324" s="34">
        <v>1788818</v>
      </c>
    </row>
    <row r="325" spans="1:11" s="34" customFormat="1" ht="12.75" hidden="1">
      <c r="A325" s="46" t="s">
        <v>6</v>
      </c>
      <c r="B325" s="47" t="s">
        <v>625</v>
      </c>
      <c r="C325" s="47" t="s">
        <v>626</v>
      </c>
      <c r="D325" s="48">
        <v>0</v>
      </c>
      <c r="E325" s="48">
        <v>0</v>
      </c>
      <c r="F325" s="48">
        <v>0</v>
      </c>
      <c r="G325" s="48">
        <v>0</v>
      </c>
      <c r="H325" s="48">
        <v>0</v>
      </c>
      <c r="I325" s="49"/>
      <c r="J325" s="76">
        <f>ABS(D325)+ABS(E325)+ABS(F325)+ABS(G325)+ABS(H325)</f>
        <v>0</v>
      </c>
      <c r="K325" s="34">
        <v>1788819</v>
      </c>
    </row>
    <row r="326" spans="1:11" s="34" customFormat="1" ht="12.75">
      <c r="A326" s="46" t="s">
        <v>6</v>
      </c>
      <c r="B326" s="47" t="s">
        <v>627</v>
      </c>
      <c r="C326" s="47" t="s">
        <v>628</v>
      </c>
      <c r="D326" s="48">
        <v>0</v>
      </c>
      <c r="E326" s="48">
        <v>1742</v>
      </c>
      <c r="F326" s="48">
        <v>0</v>
      </c>
      <c r="G326" s="48">
        <v>0</v>
      </c>
      <c r="H326" s="48">
        <v>0</v>
      </c>
      <c r="I326" s="49"/>
      <c r="J326" s="76">
        <f>ABS(D326)+ABS(E326)+ABS(F326)+ABS(G326)+ABS(H326)</f>
        <v>1742</v>
      </c>
      <c r="K326" s="34">
        <v>1788820</v>
      </c>
    </row>
    <row r="327" spans="1:11" s="34" customFormat="1" ht="12.75" hidden="1">
      <c r="A327" s="46" t="s">
        <v>6</v>
      </c>
      <c r="B327" s="47" t="s">
        <v>629</v>
      </c>
      <c r="C327" s="47" t="s">
        <v>630</v>
      </c>
      <c r="D327" s="48">
        <v>0</v>
      </c>
      <c r="E327" s="48">
        <v>0</v>
      </c>
      <c r="F327" s="48">
        <v>0</v>
      </c>
      <c r="G327" s="48">
        <v>0</v>
      </c>
      <c r="H327" s="48">
        <v>0</v>
      </c>
      <c r="I327" s="49"/>
      <c r="J327" s="76">
        <f>ABS(D327)+ABS(E327)+ABS(F327)+ABS(G327)+ABS(H327)</f>
        <v>0</v>
      </c>
      <c r="K327" s="34">
        <v>1788821</v>
      </c>
    </row>
    <row r="328" spans="1:11" s="34" customFormat="1" ht="12.75">
      <c r="A328" s="46" t="s">
        <v>6</v>
      </c>
      <c r="B328" s="47" t="s">
        <v>631</v>
      </c>
      <c r="C328" s="47" t="s">
        <v>632</v>
      </c>
      <c r="D328" s="48">
        <v>23757.95</v>
      </c>
      <c r="E328" s="48">
        <v>23091.18</v>
      </c>
      <c r="F328" s="48">
        <v>3894.9</v>
      </c>
      <c r="G328" s="48">
        <v>4041</v>
      </c>
      <c r="H328" s="48">
        <v>24246</v>
      </c>
      <c r="I328" s="49"/>
      <c r="J328" s="76">
        <f>ABS(D328)+ABS(E328)+ABS(F328)+ABS(G328)+ABS(H328)</f>
        <v>79031.03</v>
      </c>
      <c r="K328" s="34">
        <v>1788822</v>
      </c>
    </row>
    <row r="329" spans="1:11" s="34" customFormat="1" ht="12.75" hidden="1">
      <c r="A329" s="46" t="s">
        <v>6</v>
      </c>
      <c r="B329" s="47" t="s">
        <v>633</v>
      </c>
      <c r="C329" s="47" t="s">
        <v>634</v>
      </c>
      <c r="D329" s="48">
        <v>0</v>
      </c>
      <c r="E329" s="48">
        <v>0</v>
      </c>
      <c r="F329" s="48">
        <v>0</v>
      </c>
      <c r="G329" s="48">
        <v>0</v>
      </c>
      <c r="H329" s="48">
        <v>0</v>
      </c>
      <c r="I329" s="49"/>
      <c r="J329" s="76">
        <f>ABS(D329)+ABS(E329)+ABS(F329)+ABS(G329)+ABS(H329)</f>
        <v>0</v>
      </c>
      <c r="K329" s="34">
        <v>1788823</v>
      </c>
    </row>
    <row r="330" spans="1:11" s="34" customFormat="1" ht="12.75" hidden="1">
      <c r="A330" s="46" t="s">
        <v>6</v>
      </c>
      <c r="B330" s="47" t="s">
        <v>635</v>
      </c>
      <c r="C330" s="47" t="s">
        <v>636</v>
      </c>
      <c r="D330" s="48">
        <v>0</v>
      </c>
      <c r="E330" s="48">
        <v>0</v>
      </c>
      <c r="F330" s="48">
        <v>0</v>
      </c>
      <c r="G330" s="48">
        <v>0</v>
      </c>
      <c r="H330" s="48">
        <v>0</v>
      </c>
      <c r="I330" s="49"/>
      <c r="J330" s="76">
        <f>ABS(D330)+ABS(E330)+ABS(F330)+ABS(G330)+ABS(H330)</f>
        <v>0</v>
      </c>
      <c r="K330" s="34">
        <v>1788824</v>
      </c>
    </row>
    <row r="331" spans="1:11" s="34" customFormat="1" ht="12.75">
      <c r="A331" s="46" t="s">
        <v>6</v>
      </c>
      <c r="B331" s="47" t="s">
        <v>637</v>
      </c>
      <c r="C331" s="47" t="s">
        <v>638</v>
      </c>
      <c r="D331" s="48">
        <v>5438.31</v>
      </c>
      <c r="E331" s="48">
        <v>6521.62</v>
      </c>
      <c r="F331" s="48">
        <v>0</v>
      </c>
      <c r="G331" s="48">
        <v>0</v>
      </c>
      <c r="H331" s="48">
        <v>6000</v>
      </c>
      <c r="I331" s="49"/>
      <c r="J331" s="76">
        <f>ABS(D331)+ABS(E331)+ABS(F331)+ABS(G331)+ABS(H331)</f>
        <v>17959.93</v>
      </c>
      <c r="K331" s="34">
        <v>1788825</v>
      </c>
    </row>
    <row r="332" spans="1:11" s="34" customFormat="1" ht="12.75" hidden="1">
      <c r="A332" s="46" t="s">
        <v>6</v>
      </c>
      <c r="B332" s="47" t="s">
        <v>639</v>
      </c>
      <c r="C332" s="47" t="s">
        <v>640</v>
      </c>
      <c r="D332" s="48">
        <v>0</v>
      </c>
      <c r="E332" s="48">
        <v>0</v>
      </c>
      <c r="F332" s="48">
        <v>0</v>
      </c>
      <c r="G332" s="48">
        <v>0</v>
      </c>
      <c r="H332" s="48">
        <v>0</v>
      </c>
      <c r="I332" s="49"/>
      <c r="J332" s="76">
        <f>ABS(D332)+ABS(E332)+ABS(F332)+ABS(G332)+ABS(H332)</f>
        <v>0</v>
      </c>
      <c r="K332" s="34">
        <v>1788826</v>
      </c>
    </row>
    <row r="333" spans="1:11" s="34" customFormat="1" ht="12.75">
      <c r="A333" s="46" t="s">
        <v>6</v>
      </c>
      <c r="B333" s="47" t="s">
        <v>641</v>
      </c>
      <c r="C333" s="47" t="s">
        <v>642</v>
      </c>
      <c r="D333" s="48">
        <v>3314.93</v>
      </c>
      <c r="E333" s="48">
        <v>0</v>
      </c>
      <c r="F333" s="48">
        <v>0</v>
      </c>
      <c r="G333" s="48">
        <v>0</v>
      </c>
      <c r="H333" s="48">
        <v>1500</v>
      </c>
      <c r="I333" s="49"/>
      <c r="J333" s="76">
        <f>ABS(D333)+ABS(E333)+ABS(F333)+ABS(G333)+ABS(H333)</f>
        <v>4814.93</v>
      </c>
      <c r="K333" s="34">
        <v>1788827</v>
      </c>
    </row>
    <row r="334" spans="1:11" s="34" customFormat="1" ht="12.75">
      <c r="A334" s="46" t="s">
        <v>6</v>
      </c>
      <c r="B334" s="47" t="s">
        <v>643</v>
      </c>
      <c r="C334" s="47" t="s">
        <v>644</v>
      </c>
      <c r="D334" s="48">
        <v>6664.15</v>
      </c>
      <c r="E334" s="48">
        <v>6211.55</v>
      </c>
      <c r="F334" s="48">
        <v>1421.3</v>
      </c>
      <c r="G334" s="48">
        <v>1083.34</v>
      </c>
      <c r="H334" s="48">
        <v>6500</v>
      </c>
      <c r="I334" s="49"/>
      <c r="J334" s="76">
        <f>ABS(D334)+ABS(E334)+ABS(F334)+ABS(G334)+ABS(H334)</f>
        <v>21880.34</v>
      </c>
      <c r="K334" s="34">
        <v>1788828</v>
      </c>
    </row>
    <row r="335" spans="1:11" s="34" customFormat="1" ht="12.75" hidden="1">
      <c r="A335" s="46" t="s">
        <v>6</v>
      </c>
      <c r="B335" s="47" t="s">
        <v>645</v>
      </c>
      <c r="C335" s="47" t="s">
        <v>646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9"/>
      <c r="J335" s="76">
        <f>ABS(D335)+ABS(E335)+ABS(F335)+ABS(G335)+ABS(H335)</f>
        <v>0</v>
      </c>
      <c r="K335" s="34">
        <v>1788829</v>
      </c>
    </row>
    <row r="336" spans="1:11" s="34" customFormat="1" ht="12.75">
      <c r="A336" s="46" t="s">
        <v>6</v>
      </c>
      <c r="B336" s="47" t="s">
        <v>647</v>
      </c>
      <c r="C336" s="47" t="s">
        <v>648</v>
      </c>
      <c r="D336" s="48">
        <v>5465.5</v>
      </c>
      <c r="E336" s="48">
        <v>1589.57</v>
      </c>
      <c r="F336" s="48">
        <v>1360.93</v>
      </c>
      <c r="G336" s="48">
        <v>1500</v>
      </c>
      <c r="H336" s="48">
        <v>2000</v>
      </c>
      <c r="I336" s="49"/>
      <c r="J336" s="76">
        <f>ABS(D336)+ABS(E336)+ABS(F336)+ABS(G336)+ABS(H336)</f>
        <v>11916</v>
      </c>
      <c r="K336" s="34">
        <v>1788830</v>
      </c>
    </row>
    <row r="337" spans="1:11" s="34" customFormat="1" ht="12.75">
      <c r="A337" s="46" t="s">
        <v>6</v>
      </c>
      <c r="B337" s="47" t="s">
        <v>649</v>
      </c>
      <c r="C337" s="47" t="s">
        <v>650</v>
      </c>
      <c r="D337" s="48">
        <v>24494.99</v>
      </c>
      <c r="E337" s="48">
        <v>20772.9</v>
      </c>
      <c r="F337" s="48">
        <v>2726.25</v>
      </c>
      <c r="G337" s="48">
        <v>2629.16</v>
      </c>
      <c r="H337" s="48">
        <v>15775</v>
      </c>
      <c r="I337" s="49"/>
      <c r="J337" s="76">
        <f>ABS(D337)+ABS(E337)+ABS(F337)+ABS(G337)+ABS(H337)</f>
        <v>66398.3</v>
      </c>
      <c r="K337" s="34">
        <v>1788831</v>
      </c>
    </row>
    <row r="338" spans="1:11" s="34" customFormat="1" ht="12.75" hidden="1">
      <c r="A338" s="46" t="s">
        <v>6</v>
      </c>
      <c r="B338" s="47" t="s">
        <v>651</v>
      </c>
      <c r="C338" s="47" t="s">
        <v>652</v>
      </c>
      <c r="D338" s="48">
        <v>0</v>
      </c>
      <c r="E338" s="48">
        <v>0</v>
      </c>
      <c r="F338" s="48">
        <v>0</v>
      </c>
      <c r="G338" s="48">
        <v>0</v>
      </c>
      <c r="H338" s="48">
        <v>0</v>
      </c>
      <c r="I338" s="49"/>
      <c r="J338" s="76">
        <f>ABS(D338)+ABS(E338)+ABS(F338)+ABS(G338)+ABS(H338)</f>
        <v>0</v>
      </c>
      <c r="K338" s="34">
        <v>1788832</v>
      </c>
    </row>
    <row r="339" spans="1:11" s="34" customFormat="1" ht="12.75">
      <c r="A339" s="46" t="s">
        <v>6</v>
      </c>
      <c r="B339" s="47" t="s">
        <v>653</v>
      </c>
      <c r="C339" s="47" t="s">
        <v>654</v>
      </c>
      <c r="D339" s="48">
        <v>1108.68</v>
      </c>
      <c r="E339" s="48">
        <v>3554.76</v>
      </c>
      <c r="F339" s="48">
        <v>0</v>
      </c>
      <c r="G339" s="48">
        <v>250</v>
      </c>
      <c r="H339" s="48">
        <v>1176</v>
      </c>
      <c r="I339" s="49"/>
      <c r="J339" s="76">
        <f>ABS(D339)+ABS(E339)+ABS(F339)+ABS(G339)+ABS(H339)</f>
        <v>6089.44</v>
      </c>
      <c r="K339" s="34">
        <v>1788833</v>
      </c>
    </row>
    <row r="340" spans="1:11" s="34" customFormat="1" ht="12.75" hidden="1">
      <c r="A340" s="46" t="s">
        <v>6</v>
      </c>
      <c r="B340" s="47" t="s">
        <v>655</v>
      </c>
      <c r="C340" s="47" t="s">
        <v>656</v>
      </c>
      <c r="D340" s="48">
        <v>0</v>
      </c>
      <c r="E340" s="48">
        <v>0</v>
      </c>
      <c r="F340" s="48">
        <v>0</v>
      </c>
      <c r="G340" s="48">
        <v>0</v>
      </c>
      <c r="H340" s="48">
        <v>0</v>
      </c>
      <c r="I340" s="49"/>
      <c r="J340" s="76">
        <f>ABS(D340)+ABS(E340)+ABS(F340)+ABS(G340)+ABS(H340)</f>
        <v>0</v>
      </c>
      <c r="K340" s="34">
        <v>1788834</v>
      </c>
    </row>
    <row r="341" spans="1:11" s="34" customFormat="1" ht="12.75">
      <c r="A341" s="46" t="s">
        <v>6</v>
      </c>
      <c r="B341" s="47" t="s">
        <v>657</v>
      </c>
      <c r="C341" s="47" t="s">
        <v>658</v>
      </c>
      <c r="D341" s="48">
        <v>3728.97</v>
      </c>
      <c r="E341" s="48">
        <v>0</v>
      </c>
      <c r="F341" s="48">
        <v>0</v>
      </c>
      <c r="G341" s="48">
        <v>0</v>
      </c>
      <c r="H341" s="48">
        <v>3500</v>
      </c>
      <c r="I341" s="49"/>
      <c r="J341" s="76">
        <f>ABS(D341)+ABS(E341)+ABS(F341)+ABS(G341)+ABS(H341)</f>
        <v>7228.97</v>
      </c>
      <c r="K341" s="34">
        <v>1788835</v>
      </c>
    </row>
    <row r="342" spans="1:11" s="34" customFormat="1" ht="12.75" hidden="1">
      <c r="A342" s="46" t="s">
        <v>6</v>
      </c>
      <c r="B342" s="47" t="s">
        <v>659</v>
      </c>
      <c r="C342" s="47" t="s">
        <v>660</v>
      </c>
      <c r="D342" s="48">
        <v>0</v>
      </c>
      <c r="E342" s="48">
        <v>0</v>
      </c>
      <c r="F342" s="48">
        <v>0</v>
      </c>
      <c r="G342" s="48">
        <v>0</v>
      </c>
      <c r="H342" s="48">
        <v>0</v>
      </c>
      <c r="I342" s="49"/>
      <c r="J342" s="76">
        <f>ABS(D342)+ABS(E342)+ABS(F342)+ABS(G342)+ABS(H342)</f>
        <v>0</v>
      </c>
      <c r="K342" s="34">
        <v>1788836</v>
      </c>
    </row>
    <row r="343" spans="1:11" s="34" customFormat="1" ht="12.75" hidden="1">
      <c r="A343" s="46" t="s">
        <v>6</v>
      </c>
      <c r="B343" s="47" t="s">
        <v>661</v>
      </c>
      <c r="C343" s="47" t="s">
        <v>662</v>
      </c>
      <c r="D343" s="48">
        <v>0</v>
      </c>
      <c r="E343" s="48">
        <v>0</v>
      </c>
      <c r="F343" s="48">
        <v>0</v>
      </c>
      <c r="G343" s="48">
        <v>0</v>
      </c>
      <c r="H343" s="48">
        <v>0</v>
      </c>
      <c r="I343" s="49"/>
      <c r="J343" s="76">
        <f>ABS(D343)+ABS(E343)+ABS(F343)+ABS(G343)+ABS(H343)</f>
        <v>0</v>
      </c>
      <c r="K343" s="34">
        <v>1788837</v>
      </c>
    </row>
    <row r="344" spans="1:11" s="34" customFormat="1" ht="12.75" hidden="1">
      <c r="A344" s="46" t="s">
        <v>6</v>
      </c>
      <c r="B344" s="47" t="s">
        <v>663</v>
      </c>
      <c r="C344" s="47" t="s">
        <v>664</v>
      </c>
      <c r="D344" s="48">
        <v>0</v>
      </c>
      <c r="E344" s="48">
        <v>0</v>
      </c>
      <c r="F344" s="48">
        <v>0</v>
      </c>
      <c r="G344" s="48">
        <v>0</v>
      </c>
      <c r="H344" s="48">
        <v>0</v>
      </c>
      <c r="I344" s="49"/>
      <c r="J344" s="76">
        <f>ABS(D344)+ABS(E344)+ABS(F344)+ABS(G344)+ABS(H344)</f>
        <v>0</v>
      </c>
      <c r="K344" s="34">
        <v>1788838</v>
      </c>
    </row>
    <row r="345" spans="1:11" s="34" customFormat="1" ht="12.75">
      <c r="A345" s="46" t="s">
        <v>6</v>
      </c>
      <c r="B345" s="47" t="s">
        <v>665</v>
      </c>
      <c r="C345" s="47" t="s">
        <v>666</v>
      </c>
      <c r="D345" s="48">
        <v>21460.99</v>
      </c>
      <c r="E345" s="48">
        <v>20347.42</v>
      </c>
      <c r="F345" s="48">
        <v>1850.88</v>
      </c>
      <c r="G345" s="48">
        <v>3000</v>
      </c>
      <c r="H345" s="48">
        <v>18000</v>
      </c>
      <c r="I345" s="49"/>
      <c r="J345" s="76">
        <f>ABS(D345)+ABS(E345)+ABS(F345)+ABS(G345)+ABS(H345)</f>
        <v>64659.29</v>
      </c>
      <c r="K345" s="34">
        <v>1788839</v>
      </c>
    </row>
    <row r="346" spans="1:11" s="34" customFormat="1" ht="12.75" hidden="1">
      <c r="A346" s="46" t="s">
        <v>6</v>
      </c>
      <c r="B346" s="47" t="s">
        <v>667</v>
      </c>
      <c r="C346" s="47" t="s">
        <v>668</v>
      </c>
      <c r="D346" s="48">
        <v>0</v>
      </c>
      <c r="E346" s="48">
        <v>0</v>
      </c>
      <c r="F346" s="48">
        <v>0</v>
      </c>
      <c r="G346" s="48">
        <v>0</v>
      </c>
      <c r="H346" s="48">
        <v>0</v>
      </c>
      <c r="I346" s="49"/>
      <c r="J346" s="76">
        <f>ABS(D346)+ABS(E346)+ABS(F346)+ABS(G346)+ABS(H346)</f>
        <v>0</v>
      </c>
      <c r="K346" s="34">
        <v>1788840</v>
      </c>
    </row>
    <row r="347" spans="1:11" s="34" customFormat="1" ht="12.75" hidden="1">
      <c r="A347" s="46" t="s">
        <v>6</v>
      </c>
      <c r="B347" s="47" t="s">
        <v>669</v>
      </c>
      <c r="C347" s="47" t="s">
        <v>670</v>
      </c>
      <c r="D347" s="48">
        <v>0</v>
      </c>
      <c r="E347" s="48">
        <v>0</v>
      </c>
      <c r="F347" s="48">
        <v>0</v>
      </c>
      <c r="G347" s="48">
        <v>0</v>
      </c>
      <c r="H347" s="48">
        <v>0</v>
      </c>
      <c r="I347" s="49"/>
      <c r="J347" s="76">
        <f>ABS(D347)+ABS(E347)+ABS(F347)+ABS(G347)+ABS(H347)</f>
        <v>0</v>
      </c>
      <c r="K347" s="34">
        <v>1788841</v>
      </c>
    </row>
    <row r="348" spans="1:11" s="34" customFormat="1" ht="12.75" hidden="1">
      <c r="A348" s="46" t="s">
        <v>6</v>
      </c>
      <c r="B348" s="47" t="s">
        <v>671</v>
      </c>
      <c r="C348" s="47" t="s">
        <v>672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9"/>
      <c r="J348" s="76">
        <f>ABS(D348)+ABS(E348)+ABS(F348)+ABS(G348)+ABS(H348)</f>
        <v>0</v>
      </c>
      <c r="K348" s="34">
        <v>1788842</v>
      </c>
    </row>
    <row r="349" spans="1:11" s="34" customFormat="1" ht="12.75" hidden="1">
      <c r="A349" s="46" t="s">
        <v>6</v>
      </c>
      <c r="B349" s="47" t="s">
        <v>673</v>
      </c>
      <c r="C349" s="47" t="s">
        <v>674</v>
      </c>
      <c r="D349" s="48">
        <v>0</v>
      </c>
      <c r="E349" s="48">
        <v>0</v>
      </c>
      <c r="F349" s="48">
        <v>0</v>
      </c>
      <c r="G349" s="48">
        <v>0</v>
      </c>
      <c r="H349" s="48">
        <v>0</v>
      </c>
      <c r="I349" s="49"/>
      <c r="J349" s="76">
        <f>ABS(D349)+ABS(E349)+ABS(F349)+ABS(G349)+ABS(H349)</f>
        <v>0</v>
      </c>
      <c r="K349" s="34">
        <v>1788843</v>
      </c>
    </row>
    <row r="350" spans="1:11" s="34" customFormat="1" ht="12.75" hidden="1">
      <c r="A350" s="46" t="s">
        <v>6</v>
      </c>
      <c r="B350" s="47" t="s">
        <v>675</v>
      </c>
      <c r="C350" s="47" t="s">
        <v>676</v>
      </c>
      <c r="D350" s="48">
        <v>0</v>
      </c>
      <c r="E350" s="48">
        <v>0</v>
      </c>
      <c r="F350" s="48">
        <v>0</v>
      </c>
      <c r="G350" s="48">
        <v>0</v>
      </c>
      <c r="H350" s="48">
        <v>0</v>
      </c>
      <c r="I350" s="49"/>
      <c r="J350" s="76">
        <f>ABS(D350)+ABS(E350)+ABS(F350)+ABS(G350)+ABS(H350)</f>
        <v>0</v>
      </c>
      <c r="K350" s="34">
        <v>1788844</v>
      </c>
    </row>
    <row r="351" spans="1:11" s="34" customFormat="1" ht="12.75">
      <c r="A351" s="46" t="s">
        <v>6</v>
      </c>
      <c r="B351" s="47" t="s">
        <v>677</v>
      </c>
      <c r="C351" s="47" t="s">
        <v>678</v>
      </c>
      <c r="D351" s="48">
        <v>43525.17</v>
      </c>
      <c r="E351" s="48">
        <v>40636.37</v>
      </c>
      <c r="F351" s="48">
        <v>2947.79</v>
      </c>
      <c r="G351" s="48">
        <v>6250</v>
      </c>
      <c r="H351" s="48">
        <v>37500</v>
      </c>
      <c r="I351" s="49"/>
      <c r="J351" s="76">
        <f>ABS(D351)+ABS(E351)+ABS(F351)+ABS(G351)+ABS(H351)</f>
        <v>130859.33</v>
      </c>
      <c r="K351" s="34">
        <v>1788845</v>
      </c>
    </row>
    <row r="352" spans="1:11" s="34" customFormat="1" ht="12.75" hidden="1">
      <c r="A352" s="46" t="s">
        <v>6</v>
      </c>
      <c r="B352" s="47" t="s">
        <v>679</v>
      </c>
      <c r="C352" s="47" t="s">
        <v>680</v>
      </c>
      <c r="D352" s="48">
        <v>0</v>
      </c>
      <c r="E352" s="48">
        <v>0</v>
      </c>
      <c r="F352" s="48">
        <v>0</v>
      </c>
      <c r="G352" s="48">
        <v>0</v>
      </c>
      <c r="H352" s="48">
        <v>0</v>
      </c>
      <c r="I352" s="49"/>
      <c r="J352" s="76">
        <f>ABS(D352)+ABS(E352)+ABS(F352)+ABS(G352)+ABS(H352)</f>
        <v>0</v>
      </c>
      <c r="K352" s="34">
        <v>1788846</v>
      </c>
    </row>
    <row r="353" spans="1:11" s="34" customFormat="1" ht="12.75" hidden="1">
      <c r="A353" s="46" t="s">
        <v>6</v>
      </c>
      <c r="B353" s="47" t="s">
        <v>681</v>
      </c>
      <c r="C353" s="47" t="s">
        <v>682</v>
      </c>
      <c r="D353" s="48">
        <v>0</v>
      </c>
      <c r="E353" s="48">
        <v>0</v>
      </c>
      <c r="F353" s="48">
        <v>0</v>
      </c>
      <c r="G353" s="48">
        <v>0</v>
      </c>
      <c r="H353" s="48">
        <v>0</v>
      </c>
      <c r="I353" s="49"/>
      <c r="J353" s="76">
        <f>ABS(D353)+ABS(E353)+ABS(F353)+ABS(G353)+ABS(H353)</f>
        <v>0</v>
      </c>
      <c r="K353" s="34">
        <v>1788847</v>
      </c>
    </row>
    <row r="354" spans="1:11" s="34" customFormat="1" ht="12.75" hidden="1">
      <c r="A354" s="46" t="s">
        <v>6</v>
      </c>
      <c r="B354" s="47" t="s">
        <v>683</v>
      </c>
      <c r="C354" s="47" t="s">
        <v>684</v>
      </c>
      <c r="D354" s="48">
        <v>0</v>
      </c>
      <c r="E354" s="48">
        <v>0</v>
      </c>
      <c r="F354" s="48">
        <v>0</v>
      </c>
      <c r="G354" s="48">
        <v>0</v>
      </c>
      <c r="H354" s="48">
        <v>0</v>
      </c>
      <c r="I354" s="49"/>
      <c r="J354" s="76">
        <f>ABS(D354)+ABS(E354)+ABS(F354)+ABS(G354)+ABS(H354)</f>
        <v>0</v>
      </c>
      <c r="K354" s="34">
        <v>1788848</v>
      </c>
    </row>
    <row r="355" spans="1:11" s="34" customFormat="1" ht="12.75" hidden="1">
      <c r="A355" s="46" t="s">
        <v>6</v>
      </c>
      <c r="B355" s="47" t="s">
        <v>685</v>
      </c>
      <c r="C355" s="47" t="s">
        <v>686</v>
      </c>
      <c r="D355" s="48">
        <v>0</v>
      </c>
      <c r="E355" s="48">
        <v>0</v>
      </c>
      <c r="F355" s="48">
        <v>0</v>
      </c>
      <c r="G355" s="48">
        <v>0</v>
      </c>
      <c r="H355" s="48">
        <v>0</v>
      </c>
      <c r="I355" s="49"/>
      <c r="J355" s="76">
        <f>ABS(D355)+ABS(E355)+ABS(F355)+ABS(G355)+ABS(H355)</f>
        <v>0</v>
      </c>
      <c r="K355" s="34">
        <v>1788849</v>
      </c>
    </row>
    <row r="356" spans="1:11" s="34" customFormat="1" ht="12.75" hidden="1">
      <c r="A356" s="46" t="s">
        <v>6</v>
      </c>
      <c r="B356" s="47" t="s">
        <v>687</v>
      </c>
      <c r="C356" s="47" t="s">
        <v>688</v>
      </c>
      <c r="D356" s="48">
        <v>0</v>
      </c>
      <c r="E356" s="48">
        <v>0</v>
      </c>
      <c r="F356" s="48">
        <v>0</v>
      </c>
      <c r="G356" s="48">
        <v>0</v>
      </c>
      <c r="H356" s="48">
        <v>0</v>
      </c>
      <c r="I356" s="49"/>
      <c r="J356" s="76">
        <f>ABS(D356)+ABS(E356)+ABS(F356)+ABS(G356)+ABS(H356)</f>
        <v>0</v>
      </c>
      <c r="K356" s="34">
        <v>1788850</v>
      </c>
    </row>
    <row r="357" spans="1:11" s="34" customFormat="1" ht="12.75">
      <c r="A357" s="46" t="s">
        <v>6</v>
      </c>
      <c r="B357" s="47" t="s">
        <v>689</v>
      </c>
      <c r="C357" s="47" t="s">
        <v>690</v>
      </c>
      <c r="D357" s="48">
        <v>0</v>
      </c>
      <c r="E357" s="48">
        <v>0</v>
      </c>
      <c r="F357" s="48">
        <v>0</v>
      </c>
      <c r="G357" s="48">
        <v>333.34</v>
      </c>
      <c r="H357" s="48">
        <v>2000</v>
      </c>
      <c r="I357" s="49"/>
      <c r="J357" s="76">
        <f>ABS(D357)+ABS(E357)+ABS(F357)+ABS(G357)+ABS(H357)</f>
        <v>2333.34</v>
      </c>
      <c r="K357" s="34">
        <v>1788851</v>
      </c>
    </row>
    <row r="358" spans="1:11" s="34" customFormat="1" ht="12.75">
      <c r="A358" s="46" t="s">
        <v>26</v>
      </c>
      <c r="B358" s="55" t="s">
        <v>691</v>
      </c>
      <c r="C358" s="55" t="s">
        <v>692</v>
      </c>
      <c r="D358" s="56">
        <v>160353.58</v>
      </c>
      <c r="E358" s="56">
        <v>143446.11</v>
      </c>
      <c r="F358" s="56">
        <v>15944.05</v>
      </c>
      <c r="G358" s="56">
        <v>21086.84</v>
      </c>
      <c r="H358" s="56">
        <v>140197</v>
      </c>
      <c r="I358" s="57"/>
      <c r="J358" s="77">
        <f>ABS(D358)+ABS(E358)+ABS(F358)+ABS(G358)+ABS(H358)</f>
        <v>481027.58</v>
      </c>
      <c r="K358" s="34">
        <v>1788852</v>
      </c>
    </row>
    <row r="359" spans="1:11" s="34" customFormat="1" ht="12.75">
      <c r="A359" s="46" t="s">
        <v>26</v>
      </c>
      <c r="B359" s="55" t="s">
        <v>693</v>
      </c>
      <c r="C359" s="55" t="s">
        <v>694</v>
      </c>
      <c r="D359" s="56">
        <v>527747.24</v>
      </c>
      <c r="E359" s="56">
        <v>568497.98</v>
      </c>
      <c r="F359" s="56">
        <v>58908.88</v>
      </c>
      <c r="G359" s="56">
        <v>84670.18</v>
      </c>
      <c r="H359" s="56">
        <v>510197</v>
      </c>
      <c r="I359" s="57"/>
      <c r="J359" s="77">
        <f>ABS(D359)+ABS(E359)+ABS(F359)+ABS(G359)+ABS(H359)</f>
        <v>1750021.28</v>
      </c>
      <c r="K359" s="34">
        <v>1788853</v>
      </c>
    </row>
    <row r="360" spans="1:11" s="34" customFormat="1" ht="12.75">
      <c r="A360" s="46" t="s">
        <v>27</v>
      </c>
      <c r="B360" s="55" t="s">
        <v>37</v>
      </c>
      <c r="C360" s="55" t="s">
        <v>695</v>
      </c>
      <c r="D360" s="56">
        <v>2112088.27</v>
      </c>
      <c r="E360" s="56">
        <v>2226117.79</v>
      </c>
      <c r="F360" s="56">
        <v>358508.94</v>
      </c>
      <c r="G360" s="56">
        <v>411007.16</v>
      </c>
      <c r="H360" s="56">
        <v>2299708.7</v>
      </c>
      <c r="I360" s="57"/>
      <c r="J360" s="77">
        <f>ABS(D360)+ABS(E360)+ABS(F360)+ABS(G360)+ABS(H360)</f>
        <v>7407430.86</v>
      </c>
      <c r="K360" s="34">
        <v>1788854</v>
      </c>
    </row>
    <row r="361" spans="1:10" s="34" customFormat="1" ht="12.75">
      <c r="A361" s="46"/>
      <c r="B361" s="47"/>
      <c r="C361" s="47"/>
      <c r="D361" s="48"/>
      <c r="E361" s="48"/>
      <c r="F361" s="48"/>
      <c r="G361" s="48"/>
      <c r="H361" s="48"/>
      <c r="I361" s="49"/>
      <c r="J361" s="76"/>
    </row>
    <row r="362" spans="1:11" s="34" customFormat="1" ht="12.75">
      <c r="A362" s="46" t="s">
        <v>24</v>
      </c>
      <c r="B362" s="55" t="s">
        <v>696</v>
      </c>
      <c r="C362" s="55" t="s">
        <v>697</v>
      </c>
      <c r="D362" s="56" t="s">
        <v>1</v>
      </c>
      <c r="E362" s="56" t="s">
        <v>1</v>
      </c>
      <c r="F362" s="56" t="s">
        <v>1</v>
      </c>
      <c r="G362" s="56" t="s">
        <v>1</v>
      </c>
      <c r="H362" s="56" t="s">
        <v>1</v>
      </c>
      <c r="I362" s="57"/>
      <c r="J362" s="77">
        <v>1</v>
      </c>
      <c r="K362" s="34">
        <v>1788855</v>
      </c>
    </row>
    <row r="363" spans="1:10" s="34" customFormat="1" ht="12.75">
      <c r="A363" s="46"/>
      <c r="B363" s="47"/>
      <c r="C363" s="47"/>
      <c r="D363" s="48"/>
      <c r="E363" s="48"/>
      <c r="F363" s="48"/>
      <c r="G363" s="48"/>
      <c r="H363" s="48"/>
      <c r="I363" s="49"/>
      <c r="J363" s="76"/>
    </row>
    <row r="364" spans="1:11" s="34" customFormat="1" ht="12.75">
      <c r="A364" s="46" t="s">
        <v>25</v>
      </c>
      <c r="B364" s="59" t="s">
        <v>698</v>
      </c>
      <c r="C364" s="59" t="s">
        <v>699</v>
      </c>
      <c r="D364" s="60" t="s">
        <v>1</v>
      </c>
      <c r="E364" s="60" t="s">
        <v>1</v>
      </c>
      <c r="F364" s="60" t="s">
        <v>1</v>
      </c>
      <c r="G364" s="60" t="s">
        <v>1</v>
      </c>
      <c r="H364" s="60" t="s">
        <v>1</v>
      </c>
      <c r="I364" s="61"/>
      <c r="J364" s="78">
        <v>1</v>
      </c>
      <c r="K364" s="34">
        <v>1788856</v>
      </c>
    </row>
    <row r="365" spans="1:11" s="34" customFormat="1" ht="12.75">
      <c r="A365" s="46" t="s">
        <v>6</v>
      </c>
      <c r="B365" s="47" t="s">
        <v>700</v>
      </c>
      <c r="C365" s="47" t="s">
        <v>701</v>
      </c>
      <c r="D365" s="48">
        <v>113151.24</v>
      </c>
      <c r="E365" s="48">
        <v>117954.49</v>
      </c>
      <c r="F365" s="48">
        <v>125314.93</v>
      </c>
      <c r="G365" s="48">
        <v>130648</v>
      </c>
      <c r="H365" s="48">
        <v>130648</v>
      </c>
      <c r="I365" s="49"/>
      <c r="J365" s="76">
        <f>ABS(D365)+ABS(E365)+ABS(F365)+ABS(G365)+ABS(H365)</f>
        <v>617716.66</v>
      </c>
      <c r="K365" s="34">
        <v>1788857</v>
      </c>
    </row>
    <row r="366" spans="1:11" s="34" customFormat="1" ht="12.75" hidden="1">
      <c r="A366" s="46" t="s">
        <v>6</v>
      </c>
      <c r="B366" s="47" t="s">
        <v>702</v>
      </c>
      <c r="C366" s="47" t="s">
        <v>703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9"/>
      <c r="J366" s="76">
        <f>ABS(D366)+ABS(E366)+ABS(F366)+ABS(G366)+ABS(H366)</f>
        <v>0</v>
      </c>
      <c r="K366" s="34">
        <v>1788858</v>
      </c>
    </row>
    <row r="367" spans="1:11" s="34" customFormat="1" ht="12.75" hidden="1">
      <c r="A367" s="46" t="s">
        <v>6</v>
      </c>
      <c r="B367" s="47" t="s">
        <v>704</v>
      </c>
      <c r="C367" s="47" t="s">
        <v>705</v>
      </c>
      <c r="D367" s="48">
        <v>0</v>
      </c>
      <c r="E367" s="48">
        <v>0</v>
      </c>
      <c r="F367" s="48">
        <v>0</v>
      </c>
      <c r="G367" s="48">
        <v>0</v>
      </c>
      <c r="H367" s="48">
        <v>0</v>
      </c>
      <c r="I367" s="49"/>
      <c r="J367" s="76">
        <f>ABS(D367)+ABS(E367)+ABS(F367)+ABS(G367)+ABS(H367)</f>
        <v>0</v>
      </c>
      <c r="K367" s="34">
        <v>1788859</v>
      </c>
    </row>
    <row r="368" spans="1:11" s="34" customFormat="1" ht="12.75">
      <c r="A368" s="46" t="s">
        <v>6</v>
      </c>
      <c r="B368" s="47" t="s">
        <v>706</v>
      </c>
      <c r="C368" s="47" t="s">
        <v>707</v>
      </c>
      <c r="D368" s="48">
        <v>71464.51</v>
      </c>
      <c r="E368" s="48">
        <v>74541.12</v>
      </c>
      <c r="F368" s="48">
        <v>96392.48</v>
      </c>
      <c r="G368" s="48">
        <v>84918</v>
      </c>
      <c r="H368" s="48">
        <v>84918</v>
      </c>
      <c r="I368" s="49"/>
      <c r="J368" s="76">
        <f>ABS(D368)+ABS(E368)+ABS(F368)+ABS(G368)+ABS(H368)</f>
        <v>412234.11</v>
      </c>
      <c r="K368" s="34">
        <v>1788860</v>
      </c>
    </row>
    <row r="369" spans="1:11" s="34" customFormat="1" ht="12.75">
      <c r="A369" s="46" t="s">
        <v>6</v>
      </c>
      <c r="B369" s="47" t="s">
        <v>708</v>
      </c>
      <c r="C369" s="47" t="s">
        <v>709</v>
      </c>
      <c r="D369" s="48">
        <v>10665</v>
      </c>
      <c r="E369" s="48">
        <v>15428</v>
      </c>
      <c r="F369" s="48">
        <v>17853</v>
      </c>
      <c r="G369" s="48">
        <v>17742</v>
      </c>
      <c r="H369" s="48">
        <v>17742</v>
      </c>
      <c r="I369" s="49"/>
      <c r="J369" s="76">
        <f>ABS(D369)+ABS(E369)+ABS(F369)+ABS(G369)+ABS(H369)</f>
        <v>79430</v>
      </c>
      <c r="K369" s="34">
        <v>1788861</v>
      </c>
    </row>
    <row r="370" spans="1:11" s="34" customFormat="1" ht="12.75">
      <c r="A370" s="46" t="s">
        <v>6</v>
      </c>
      <c r="B370" s="47" t="s">
        <v>710</v>
      </c>
      <c r="C370" s="47" t="s">
        <v>711</v>
      </c>
      <c r="D370" s="48">
        <v>1310</v>
      </c>
      <c r="E370" s="48">
        <v>1471</v>
      </c>
      <c r="F370" s="48">
        <v>1471</v>
      </c>
      <c r="G370" s="48">
        <v>1692</v>
      </c>
      <c r="H370" s="48">
        <v>1692</v>
      </c>
      <c r="I370" s="49"/>
      <c r="J370" s="76">
        <f>ABS(D370)+ABS(E370)+ABS(F370)+ABS(G370)+ABS(H370)</f>
        <v>7636</v>
      </c>
      <c r="K370" s="34">
        <v>1788862</v>
      </c>
    </row>
    <row r="371" spans="1:11" s="34" customFormat="1" ht="12.75" hidden="1">
      <c r="A371" s="46" t="s">
        <v>6</v>
      </c>
      <c r="B371" s="47" t="s">
        <v>712</v>
      </c>
      <c r="C371" s="47" t="s">
        <v>713</v>
      </c>
      <c r="D371" s="48">
        <v>0</v>
      </c>
      <c r="E371" s="48">
        <v>0</v>
      </c>
      <c r="F371" s="48">
        <v>0</v>
      </c>
      <c r="G371" s="48">
        <v>0</v>
      </c>
      <c r="H371" s="48">
        <v>0</v>
      </c>
      <c r="I371" s="49"/>
      <c r="J371" s="76">
        <f>ABS(D371)+ABS(E371)+ABS(F371)+ABS(G371)+ABS(H371)</f>
        <v>0</v>
      </c>
      <c r="K371" s="34">
        <v>1788863</v>
      </c>
    </row>
    <row r="372" spans="1:11" s="34" customFormat="1" ht="12.75" hidden="1">
      <c r="A372" s="46" t="s">
        <v>6</v>
      </c>
      <c r="B372" s="47" t="s">
        <v>714</v>
      </c>
      <c r="C372" s="47" t="s">
        <v>715</v>
      </c>
      <c r="D372" s="48">
        <v>0</v>
      </c>
      <c r="E372" s="48">
        <v>0</v>
      </c>
      <c r="F372" s="48">
        <v>0</v>
      </c>
      <c r="G372" s="48">
        <v>0</v>
      </c>
      <c r="H372" s="48">
        <v>0</v>
      </c>
      <c r="I372" s="49"/>
      <c r="J372" s="76">
        <f>ABS(D372)+ABS(E372)+ABS(F372)+ABS(G372)+ABS(H372)</f>
        <v>0</v>
      </c>
      <c r="K372" s="34">
        <v>1788864</v>
      </c>
    </row>
    <row r="373" spans="1:11" s="34" customFormat="1" ht="12.75" hidden="1">
      <c r="A373" s="46" t="s">
        <v>6</v>
      </c>
      <c r="B373" s="47" t="s">
        <v>716</v>
      </c>
      <c r="C373" s="47" t="s">
        <v>717</v>
      </c>
      <c r="D373" s="48">
        <v>0</v>
      </c>
      <c r="E373" s="48">
        <v>0</v>
      </c>
      <c r="F373" s="48">
        <v>0</v>
      </c>
      <c r="G373" s="48">
        <v>0</v>
      </c>
      <c r="H373" s="48">
        <v>0</v>
      </c>
      <c r="I373" s="49"/>
      <c r="J373" s="76">
        <f>ABS(D373)+ABS(E373)+ABS(F373)+ABS(G373)+ABS(H373)</f>
        <v>0</v>
      </c>
      <c r="K373" s="34">
        <v>1788865</v>
      </c>
    </row>
    <row r="374" spans="1:11" s="34" customFormat="1" ht="12.75" hidden="1">
      <c r="A374" s="46" t="s">
        <v>6</v>
      </c>
      <c r="B374" s="47" t="s">
        <v>718</v>
      </c>
      <c r="C374" s="47" t="s">
        <v>719</v>
      </c>
      <c r="D374" s="48">
        <v>0</v>
      </c>
      <c r="E374" s="48">
        <v>0</v>
      </c>
      <c r="F374" s="48">
        <v>0</v>
      </c>
      <c r="G374" s="48">
        <v>0</v>
      </c>
      <c r="H374" s="48">
        <v>0</v>
      </c>
      <c r="I374" s="49"/>
      <c r="J374" s="76">
        <f>ABS(D374)+ABS(E374)+ABS(F374)+ABS(G374)+ABS(H374)</f>
        <v>0</v>
      </c>
      <c r="K374" s="34">
        <v>1788866</v>
      </c>
    </row>
    <row r="375" spans="1:11" s="34" customFormat="1" ht="12.75" hidden="1">
      <c r="A375" s="46" t="s">
        <v>6</v>
      </c>
      <c r="B375" s="47" t="s">
        <v>720</v>
      </c>
      <c r="C375" s="47" t="s">
        <v>721</v>
      </c>
      <c r="D375" s="48">
        <v>0</v>
      </c>
      <c r="E375" s="48">
        <v>0</v>
      </c>
      <c r="F375" s="48">
        <v>0</v>
      </c>
      <c r="G375" s="48">
        <v>0</v>
      </c>
      <c r="H375" s="48">
        <v>0</v>
      </c>
      <c r="I375" s="49"/>
      <c r="J375" s="76">
        <f>ABS(D375)+ABS(E375)+ABS(F375)+ABS(G375)+ABS(H375)</f>
        <v>0</v>
      </c>
      <c r="K375" s="34">
        <v>1788867</v>
      </c>
    </row>
    <row r="376" spans="1:11" s="34" customFormat="1" ht="12.75">
      <c r="A376" s="46" t="s">
        <v>6</v>
      </c>
      <c r="B376" s="47" t="s">
        <v>722</v>
      </c>
      <c r="C376" s="47" t="s">
        <v>723</v>
      </c>
      <c r="D376" s="48">
        <v>3500</v>
      </c>
      <c r="E376" s="48">
        <v>0</v>
      </c>
      <c r="F376" s="48">
        <v>0</v>
      </c>
      <c r="G376" s="48">
        <v>0</v>
      </c>
      <c r="H376" s="48">
        <v>0</v>
      </c>
      <c r="I376" s="49"/>
      <c r="J376" s="76">
        <f>ABS(D376)+ABS(E376)+ABS(F376)+ABS(G376)+ABS(H376)</f>
        <v>3500</v>
      </c>
      <c r="K376" s="34">
        <v>1788868</v>
      </c>
    </row>
    <row r="377" spans="1:11" s="34" customFormat="1" ht="12.75">
      <c r="A377" s="46" t="s">
        <v>26</v>
      </c>
      <c r="B377" s="55" t="s">
        <v>724</v>
      </c>
      <c r="C377" s="55" t="s">
        <v>725</v>
      </c>
      <c r="D377" s="56">
        <v>200090.75</v>
      </c>
      <c r="E377" s="56">
        <v>209394.61</v>
      </c>
      <c r="F377" s="56">
        <v>241031.41</v>
      </c>
      <c r="G377" s="56">
        <v>235000</v>
      </c>
      <c r="H377" s="56">
        <v>235000</v>
      </c>
      <c r="I377" s="57"/>
      <c r="J377" s="77">
        <f>ABS(D377)+ABS(E377)+ABS(F377)+ABS(G377)+ABS(H377)</f>
        <v>1120516.77</v>
      </c>
      <c r="K377" s="34">
        <v>1788869</v>
      </c>
    </row>
    <row r="378" spans="1:10" s="34" customFormat="1" ht="12.75">
      <c r="A378" s="46"/>
      <c r="B378" s="47"/>
      <c r="C378" s="47"/>
      <c r="D378" s="48"/>
      <c r="E378" s="48"/>
      <c r="F378" s="48"/>
      <c r="G378" s="48"/>
      <c r="H378" s="48"/>
      <c r="I378" s="49"/>
      <c r="J378" s="76"/>
    </row>
    <row r="379" spans="1:11" s="34" customFormat="1" ht="12.75">
      <c r="A379" s="46" t="s">
        <v>25</v>
      </c>
      <c r="B379" s="59" t="s">
        <v>726</v>
      </c>
      <c r="C379" s="59" t="s">
        <v>727</v>
      </c>
      <c r="D379" s="60" t="s">
        <v>1</v>
      </c>
      <c r="E379" s="60" t="s">
        <v>1</v>
      </c>
      <c r="F379" s="60" t="s">
        <v>1</v>
      </c>
      <c r="G379" s="60" t="s">
        <v>1</v>
      </c>
      <c r="H379" s="60" t="s">
        <v>1</v>
      </c>
      <c r="I379" s="61"/>
      <c r="J379" s="78">
        <v>1</v>
      </c>
      <c r="K379" s="34">
        <v>1788870</v>
      </c>
    </row>
    <row r="380" spans="1:11" s="34" customFormat="1" ht="12.75">
      <c r="A380" s="46" t="s">
        <v>6</v>
      </c>
      <c r="B380" s="47" t="s">
        <v>728</v>
      </c>
      <c r="C380" s="47" t="s">
        <v>729</v>
      </c>
      <c r="D380" s="48">
        <v>170669.41</v>
      </c>
      <c r="E380" s="48">
        <v>182826.57</v>
      </c>
      <c r="F380" s="48">
        <v>32877.82</v>
      </c>
      <c r="G380" s="48">
        <v>30500</v>
      </c>
      <c r="H380" s="48">
        <v>183000</v>
      </c>
      <c r="I380" s="49"/>
      <c r="J380" s="76">
        <f>ABS(D380)+ABS(E380)+ABS(F380)+ABS(G380)+ABS(H380)</f>
        <v>599873.8</v>
      </c>
      <c r="K380" s="34">
        <v>1788871</v>
      </c>
    </row>
    <row r="381" spans="1:11" s="34" customFormat="1" ht="12.75">
      <c r="A381" s="46" t="s">
        <v>6</v>
      </c>
      <c r="B381" s="47" t="s">
        <v>730</v>
      </c>
      <c r="C381" s="47" t="s">
        <v>731</v>
      </c>
      <c r="D381" s="48">
        <v>11072</v>
      </c>
      <c r="E381" s="48">
        <v>12861</v>
      </c>
      <c r="F381" s="48">
        <v>0</v>
      </c>
      <c r="G381" s="48">
        <v>0</v>
      </c>
      <c r="H381" s="48">
        <v>14700</v>
      </c>
      <c r="I381" s="49"/>
      <c r="J381" s="76">
        <f>ABS(D381)+ABS(E381)+ABS(F381)+ABS(G381)+ABS(H381)</f>
        <v>38633</v>
      </c>
      <c r="K381" s="34">
        <v>1788872</v>
      </c>
    </row>
    <row r="382" spans="1:11" s="34" customFormat="1" ht="12.75">
      <c r="A382" s="46" t="s">
        <v>6</v>
      </c>
      <c r="B382" s="47" t="s">
        <v>732</v>
      </c>
      <c r="C382" s="47" t="s">
        <v>733</v>
      </c>
      <c r="D382" s="48">
        <v>2584994.48</v>
      </c>
      <c r="E382" s="48">
        <v>2628030.56</v>
      </c>
      <c r="F382" s="48">
        <v>660654.62</v>
      </c>
      <c r="G382" s="48">
        <v>660132.5</v>
      </c>
      <c r="H382" s="48">
        <v>2732091</v>
      </c>
      <c r="I382" s="49"/>
      <c r="J382" s="76">
        <f>ABS(D382)+ABS(E382)+ABS(F382)+ABS(G382)+ABS(H382)</f>
        <v>9265903.16</v>
      </c>
      <c r="K382" s="34">
        <v>1788873</v>
      </c>
    </row>
    <row r="383" spans="1:11" s="34" customFormat="1" ht="12.75">
      <c r="A383" s="46" t="s">
        <v>6</v>
      </c>
      <c r="B383" s="47" t="s">
        <v>734</v>
      </c>
      <c r="C383" s="47" t="s">
        <v>81</v>
      </c>
      <c r="D383" s="48">
        <v>-391850.13</v>
      </c>
      <c r="E383" s="48">
        <v>-403506.53</v>
      </c>
      <c r="F383" s="48">
        <v>-102138.55</v>
      </c>
      <c r="G383" s="48">
        <v>-107500</v>
      </c>
      <c r="H383" s="48">
        <v>-430000</v>
      </c>
      <c r="I383" s="49"/>
      <c r="J383" s="76">
        <f>ABS(D383)+ABS(E383)+ABS(F383)+ABS(G383)+ABS(H383)</f>
        <v>1434995.21</v>
      </c>
      <c r="K383" s="34">
        <v>1788874</v>
      </c>
    </row>
    <row r="384" spans="1:11" s="34" customFormat="1" ht="12.75">
      <c r="A384" s="46" t="s">
        <v>6</v>
      </c>
      <c r="B384" s="47" t="s">
        <v>735</v>
      </c>
      <c r="C384" s="47" t="s">
        <v>83</v>
      </c>
      <c r="D384" s="48">
        <v>-23329.26</v>
      </c>
      <c r="E384" s="48">
        <v>-20079.5</v>
      </c>
      <c r="F384" s="48">
        <v>-4453</v>
      </c>
      <c r="G384" s="48">
        <v>-4923.75</v>
      </c>
      <c r="H384" s="48">
        <v>-19695</v>
      </c>
      <c r="I384" s="49"/>
      <c r="J384" s="76">
        <f>ABS(D384)+ABS(E384)+ABS(F384)+ABS(G384)+ABS(H384)</f>
        <v>72480.51</v>
      </c>
      <c r="K384" s="34">
        <v>1788875</v>
      </c>
    </row>
    <row r="385" spans="1:11" s="34" customFormat="1" ht="12.75">
      <c r="A385" s="46" t="s">
        <v>6</v>
      </c>
      <c r="B385" s="47" t="s">
        <v>736</v>
      </c>
      <c r="C385" s="47" t="s">
        <v>737</v>
      </c>
      <c r="D385" s="48">
        <v>-8764.22</v>
      </c>
      <c r="E385" s="48">
        <v>-2700</v>
      </c>
      <c r="F385" s="48">
        <v>-671.71</v>
      </c>
      <c r="G385" s="48">
        <v>-681.75</v>
      </c>
      <c r="H385" s="48">
        <v>-2727</v>
      </c>
      <c r="I385" s="49"/>
      <c r="J385" s="76">
        <f>ABS(D385)+ABS(E385)+ABS(F385)+ABS(G385)+ABS(H385)</f>
        <v>15544.68</v>
      </c>
      <c r="K385" s="34">
        <v>1788876</v>
      </c>
    </row>
    <row r="386" spans="1:11" s="34" customFormat="1" ht="12.75" hidden="1">
      <c r="A386" s="46" t="s">
        <v>6</v>
      </c>
      <c r="B386" s="47" t="s">
        <v>738</v>
      </c>
      <c r="C386" s="47" t="s">
        <v>739</v>
      </c>
      <c r="D386" s="48">
        <v>0</v>
      </c>
      <c r="E386" s="48">
        <v>0</v>
      </c>
      <c r="F386" s="48">
        <v>0</v>
      </c>
      <c r="G386" s="48">
        <v>0</v>
      </c>
      <c r="H386" s="48">
        <v>0</v>
      </c>
      <c r="I386" s="49"/>
      <c r="J386" s="76">
        <f>ABS(D386)+ABS(E386)+ABS(F386)+ABS(G386)+ABS(H386)</f>
        <v>0</v>
      </c>
      <c r="K386" s="34">
        <v>1788877</v>
      </c>
    </row>
    <row r="387" spans="1:11" s="34" customFormat="1" ht="12.75">
      <c r="A387" s="46" t="s">
        <v>6</v>
      </c>
      <c r="B387" s="47" t="s">
        <v>740</v>
      </c>
      <c r="C387" s="47" t="s">
        <v>741</v>
      </c>
      <c r="D387" s="48">
        <v>-13369.02</v>
      </c>
      <c r="E387" s="48">
        <v>-11458.12</v>
      </c>
      <c r="F387" s="48">
        <v>-2898.72</v>
      </c>
      <c r="G387" s="48">
        <v>-2861.5</v>
      </c>
      <c r="H387" s="48">
        <v>-11446</v>
      </c>
      <c r="I387" s="49"/>
      <c r="J387" s="76">
        <f>ABS(D387)+ABS(E387)+ABS(F387)+ABS(G387)+ABS(H387)</f>
        <v>42033.36</v>
      </c>
      <c r="K387" s="34">
        <v>1788878</v>
      </c>
    </row>
    <row r="388" spans="1:11" s="34" customFormat="1" ht="12.75" hidden="1">
      <c r="A388" s="46" t="s">
        <v>6</v>
      </c>
      <c r="B388" s="47" t="s">
        <v>742</v>
      </c>
      <c r="C388" s="47" t="s">
        <v>743</v>
      </c>
      <c r="D388" s="48">
        <v>0</v>
      </c>
      <c r="E388" s="48">
        <v>0</v>
      </c>
      <c r="F388" s="48">
        <v>0</v>
      </c>
      <c r="G388" s="48">
        <v>0</v>
      </c>
      <c r="H388" s="48">
        <v>0</v>
      </c>
      <c r="I388" s="49"/>
      <c r="J388" s="76">
        <f>ABS(D388)+ABS(E388)+ABS(F388)+ABS(G388)+ABS(H388)</f>
        <v>0</v>
      </c>
      <c r="K388" s="34">
        <v>1788879</v>
      </c>
    </row>
    <row r="389" spans="1:11" s="34" customFormat="1" ht="12.75" hidden="1">
      <c r="A389" s="46" t="s">
        <v>6</v>
      </c>
      <c r="B389" s="47" t="s">
        <v>744</v>
      </c>
      <c r="C389" s="47" t="s">
        <v>745</v>
      </c>
      <c r="D389" s="48">
        <v>0</v>
      </c>
      <c r="E389" s="48">
        <v>0</v>
      </c>
      <c r="F389" s="48">
        <v>0</v>
      </c>
      <c r="G389" s="48">
        <v>0</v>
      </c>
      <c r="H389" s="48">
        <v>0</v>
      </c>
      <c r="I389" s="49"/>
      <c r="J389" s="76">
        <f>ABS(D389)+ABS(E389)+ABS(F389)+ABS(G389)+ABS(H389)</f>
        <v>0</v>
      </c>
      <c r="K389" s="34">
        <v>1788880</v>
      </c>
    </row>
    <row r="390" spans="1:11" s="34" customFormat="1" ht="12.75" hidden="1">
      <c r="A390" s="46" t="s">
        <v>6</v>
      </c>
      <c r="B390" s="47" t="s">
        <v>746</v>
      </c>
      <c r="C390" s="47" t="s">
        <v>747</v>
      </c>
      <c r="D390" s="48">
        <v>0</v>
      </c>
      <c r="E390" s="48">
        <v>0</v>
      </c>
      <c r="F390" s="48">
        <v>0</v>
      </c>
      <c r="G390" s="48">
        <v>0</v>
      </c>
      <c r="H390" s="48">
        <v>0</v>
      </c>
      <c r="I390" s="49"/>
      <c r="J390" s="76">
        <f>ABS(D390)+ABS(E390)+ABS(F390)+ABS(G390)+ABS(H390)</f>
        <v>0</v>
      </c>
      <c r="K390" s="34">
        <v>1788881</v>
      </c>
    </row>
    <row r="391" spans="1:11" s="34" customFormat="1" ht="12.75" hidden="1">
      <c r="A391" s="46" t="s">
        <v>6</v>
      </c>
      <c r="B391" s="47" t="s">
        <v>748</v>
      </c>
      <c r="C391" s="47" t="s">
        <v>749</v>
      </c>
      <c r="D391" s="48">
        <v>0</v>
      </c>
      <c r="E391" s="48">
        <v>0</v>
      </c>
      <c r="F391" s="48">
        <v>0</v>
      </c>
      <c r="G391" s="48">
        <v>0</v>
      </c>
      <c r="H391" s="48">
        <v>0</v>
      </c>
      <c r="I391" s="49"/>
      <c r="J391" s="76">
        <f>ABS(D391)+ABS(E391)+ABS(F391)+ABS(G391)+ABS(H391)</f>
        <v>0</v>
      </c>
      <c r="K391" s="34">
        <v>1788882</v>
      </c>
    </row>
    <row r="392" spans="1:11" s="34" customFormat="1" ht="12.75" hidden="1">
      <c r="A392" s="46" t="s">
        <v>6</v>
      </c>
      <c r="B392" s="47" t="s">
        <v>750</v>
      </c>
      <c r="C392" s="47" t="s">
        <v>751</v>
      </c>
      <c r="D392" s="48">
        <v>0</v>
      </c>
      <c r="E392" s="48">
        <v>0</v>
      </c>
      <c r="F392" s="48">
        <v>0</v>
      </c>
      <c r="G392" s="48">
        <v>0</v>
      </c>
      <c r="H392" s="48">
        <v>0</v>
      </c>
      <c r="I392" s="49"/>
      <c r="J392" s="76">
        <f>ABS(D392)+ABS(E392)+ABS(F392)+ABS(G392)+ABS(H392)</f>
        <v>0</v>
      </c>
      <c r="K392" s="34">
        <v>1788883</v>
      </c>
    </row>
    <row r="393" spans="1:11" s="34" customFormat="1" ht="12.75" hidden="1">
      <c r="A393" s="46" t="s">
        <v>6</v>
      </c>
      <c r="B393" s="47" t="s">
        <v>752</v>
      </c>
      <c r="C393" s="47" t="s">
        <v>753</v>
      </c>
      <c r="D393" s="48">
        <v>0</v>
      </c>
      <c r="E393" s="48">
        <v>0</v>
      </c>
      <c r="F393" s="48">
        <v>0</v>
      </c>
      <c r="G393" s="48">
        <v>0</v>
      </c>
      <c r="H393" s="48">
        <v>0</v>
      </c>
      <c r="I393" s="49"/>
      <c r="J393" s="76">
        <f>ABS(D393)+ABS(E393)+ABS(F393)+ABS(G393)+ABS(H393)</f>
        <v>0</v>
      </c>
      <c r="K393" s="34">
        <v>1788884</v>
      </c>
    </row>
    <row r="394" spans="1:11" s="34" customFormat="1" ht="12.75">
      <c r="A394" s="46" t="s">
        <v>26</v>
      </c>
      <c r="B394" s="55" t="s">
        <v>754</v>
      </c>
      <c r="C394" s="55" t="s">
        <v>755</v>
      </c>
      <c r="D394" s="56">
        <v>2329423.26</v>
      </c>
      <c r="E394" s="56">
        <v>2385973.98</v>
      </c>
      <c r="F394" s="56">
        <v>583370.46</v>
      </c>
      <c r="G394" s="56">
        <v>574665.5</v>
      </c>
      <c r="H394" s="56">
        <v>2465923</v>
      </c>
      <c r="I394" s="57"/>
      <c r="J394" s="77">
        <f>ABS(D394)+ABS(E394)+ABS(F394)+ABS(G394)+ABS(H394)</f>
        <v>8339356.2</v>
      </c>
      <c r="K394" s="34">
        <v>1788885</v>
      </c>
    </row>
    <row r="395" spans="1:10" s="34" customFormat="1" ht="12.75">
      <c r="A395" s="46"/>
      <c r="B395" s="47"/>
      <c r="C395" s="47"/>
      <c r="D395" s="48"/>
      <c r="E395" s="48"/>
      <c r="F395" s="48"/>
      <c r="G395" s="48"/>
      <c r="H395" s="48"/>
      <c r="I395" s="49"/>
      <c r="J395" s="76"/>
    </row>
    <row r="396" spans="1:11" s="34" customFormat="1" ht="12.75">
      <c r="A396" s="46" t="s">
        <v>25</v>
      </c>
      <c r="B396" s="59" t="s">
        <v>756</v>
      </c>
      <c r="C396" s="59" t="s">
        <v>757</v>
      </c>
      <c r="D396" s="60" t="s">
        <v>1</v>
      </c>
      <c r="E396" s="60" t="s">
        <v>1</v>
      </c>
      <c r="F396" s="60" t="s">
        <v>1</v>
      </c>
      <c r="G396" s="60" t="s">
        <v>1</v>
      </c>
      <c r="H396" s="60" t="s">
        <v>1</v>
      </c>
      <c r="I396" s="61"/>
      <c r="J396" s="78">
        <v>1</v>
      </c>
      <c r="K396" s="34">
        <v>1788886</v>
      </c>
    </row>
    <row r="397" spans="1:11" s="34" customFormat="1" ht="12.75">
      <c r="A397" s="46" t="s">
        <v>6</v>
      </c>
      <c r="B397" s="47" t="s">
        <v>758</v>
      </c>
      <c r="C397" s="47" t="s">
        <v>759</v>
      </c>
      <c r="D397" s="48">
        <v>3650</v>
      </c>
      <c r="E397" s="48">
        <v>7150</v>
      </c>
      <c r="F397" s="48">
        <v>600</v>
      </c>
      <c r="G397" s="48">
        <v>1666.66</v>
      </c>
      <c r="H397" s="48">
        <v>10000</v>
      </c>
      <c r="I397" s="49"/>
      <c r="J397" s="76">
        <f>ABS(D397)+ABS(E397)+ABS(F397)+ABS(G397)+ABS(H397)</f>
        <v>23066.66</v>
      </c>
      <c r="K397" s="34">
        <v>1788887</v>
      </c>
    </row>
    <row r="398" spans="1:11" s="34" customFormat="1" ht="12.75">
      <c r="A398" s="46" t="s">
        <v>6</v>
      </c>
      <c r="B398" s="47" t="s">
        <v>760</v>
      </c>
      <c r="C398" s="47" t="s">
        <v>191</v>
      </c>
      <c r="D398" s="48">
        <v>138715.32</v>
      </c>
      <c r="E398" s="48">
        <v>142183.2</v>
      </c>
      <c r="F398" s="48">
        <v>24289.64</v>
      </c>
      <c r="G398" s="48">
        <v>24289.66</v>
      </c>
      <c r="H398" s="48">
        <v>145738</v>
      </c>
      <c r="I398" s="49"/>
      <c r="J398" s="76">
        <f>ABS(D398)+ABS(E398)+ABS(F398)+ABS(G398)+ABS(H398)</f>
        <v>475215.82</v>
      </c>
      <c r="K398" s="34">
        <v>1788888</v>
      </c>
    </row>
    <row r="399" spans="1:11" s="34" customFormat="1" ht="12.75" hidden="1">
      <c r="A399" s="46" t="s">
        <v>6</v>
      </c>
      <c r="B399" s="47" t="s">
        <v>761</v>
      </c>
      <c r="C399" s="47" t="s">
        <v>762</v>
      </c>
      <c r="D399" s="48">
        <v>0</v>
      </c>
      <c r="E399" s="48">
        <v>0</v>
      </c>
      <c r="F399" s="48">
        <v>0</v>
      </c>
      <c r="G399" s="48">
        <v>0</v>
      </c>
      <c r="H399" s="48">
        <v>0</v>
      </c>
      <c r="I399" s="49"/>
      <c r="J399" s="76">
        <f>ABS(D399)+ABS(E399)+ABS(F399)+ABS(G399)+ABS(H399)</f>
        <v>0</v>
      </c>
      <c r="K399" s="34">
        <v>1788889</v>
      </c>
    </row>
    <row r="400" spans="1:11" s="34" customFormat="1" ht="12.75">
      <c r="A400" s="46" t="s">
        <v>6</v>
      </c>
      <c r="B400" s="47" t="s">
        <v>763</v>
      </c>
      <c r="C400" s="47" t="s">
        <v>213</v>
      </c>
      <c r="D400" s="48">
        <v>92171.54</v>
      </c>
      <c r="E400" s="48">
        <v>71277.1</v>
      </c>
      <c r="F400" s="48">
        <v>6214.5</v>
      </c>
      <c r="G400" s="48">
        <v>5000</v>
      </c>
      <c r="H400" s="48">
        <v>30000</v>
      </c>
      <c r="I400" s="49"/>
      <c r="J400" s="76">
        <f>ABS(D400)+ABS(E400)+ABS(F400)+ABS(G400)+ABS(H400)</f>
        <v>204663.14</v>
      </c>
      <c r="K400" s="34">
        <v>1788890</v>
      </c>
    </row>
    <row r="401" spans="1:11" s="34" customFormat="1" ht="12.75">
      <c r="A401" s="46" t="s">
        <v>6</v>
      </c>
      <c r="B401" s="47" t="s">
        <v>764</v>
      </c>
      <c r="C401" s="47" t="s">
        <v>765</v>
      </c>
      <c r="D401" s="48">
        <v>3668</v>
      </c>
      <c r="E401" s="48">
        <v>2510</v>
      </c>
      <c r="F401" s="48">
        <v>0</v>
      </c>
      <c r="G401" s="48">
        <v>0</v>
      </c>
      <c r="H401" s="48">
        <v>1000</v>
      </c>
      <c r="I401" s="49"/>
      <c r="J401" s="76">
        <f>ABS(D401)+ABS(E401)+ABS(F401)+ABS(G401)+ABS(H401)</f>
        <v>7178</v>
      </c>
      <c r="K401" s="34">
        <v>1788891</v>
      </c>
    </row>
    <row r="402" spans="1:11" s="34" customFormat="1" ht="12.75">
      <c r="A402" s="46" t="s">
        <v>6</v>
      </c>
      <c r="B402" s="47" t="s">
        <v>766</v>
      </c>
      <c r="C402" s="47" t="s">
        <v>336</v>
      </c>
      <c r="D402" s="48">
        <v>16543</v>
      </c>
      <c r="E402" s="48">
        <v>21749</v>
      </c>
      <c r="F402" s="48">
        <v>6154</v>
      </c>
      <c r="G402" s="48">
        <v>5300</v>
      </c>
      <c r="H402" s="48">
        <v>21200</v>
      </c>
      <c r="I402" s="49"/>
      <c r="J402" s="76">
        <f>ABS(D402)+ABS(E402)+ABS(F402)+ABS(G402)+ABS(H402)</f>
        <v>70946</v>
      </c>
      <c r="K402" s="34">
        <v>1788892</v>
      </c>
    </row>
    <row r="403" spans="1:11" s="34" customFormat="1" ht="12.75" hidden="1">
      <c r="A403" s="46" t="s">
        <v>6</v>
      </c>
      <c r="B403" s="47" t="s">
        <v>767</v>
      </c>
      <c r="C403" s="47" t="s">
        <v>768</v>
      </c>
      <c r="D403" s="48">
        <v>0</v>
      </c>
      <c r="E403" s="48">
        <v>0</v>
      </c>
      <c r="F403" s="48">
        <v>0</v>
      </c>
      <c r="G403" s="48">
        <v>0</v>
      </c>
      <c r="H403" s="48">
        <v>0</v>
      </c>
      <c r="I403" s="49"/>
      <c r="J403" s="76">
        <f>ABS(D403)+ABS(E403)+ABS(F403)+ABS(G403)+ABS(H403)</f>
        <v>0</v>
      </c>
      <c r="K403" s="34">
        <v>1788893</v>
      </c>
    </row>
    <row r="404" spans="1:11" s="34" customFormat="1" ht="12.75" hidden="1">
      <c r="A404" s="46" t="s">
        <v>6</v>
      </c>
      <c r="B404" s="47" t="s">
        <v>769</v>
      </c>
      <c r="C404" s="47" t="s">
        <v>770</v>
      </c>
      <c r="D404" s="48">
        <v>0</v>
      </c>
      <c r="E404" s="48">
        <v>0</v>
      </c>
      <c r="F404" s="48">
        <v>0</v>
      </c>
      <c r="G404" s="48">
        <v>0</v>
      </c>
      <c r="H404" s="48">
        <v>0</v>
      </c>
      <c r="I404" s="49"/>
      <c r="J404" s="76">
        <f>ABS(D404)+ABS(E404)+ABS(F404)+ABS(G404)+ABS(H404)</f>
        <v>0</v>
      </c>
      <c r="K404" s="34">
        <v>1788894</v>
      </c>
    </row>
    <row r="405" spans="1:11" s="34" customFormat="1" ht="12.75">
      <c r="A405" s="46" t="s">
        <v>6</v>
      </c>
      <c r="B405" s="47" t="s">
        <v>771</v>
      </c>
      <c r="C405" s="47" t="s">
        <v>772</v>
      </c>
      <c r="D405" s="48">
        <v>3945</v>
      </c>
      <c r="E405" s="48">
        <v>2665</v>
      </c>
      <c r="F405" s="48">
        <v>360</v>
      </c>
      <c r="G405" s="48">
        <v>400</v>
      </c>
      <c r="H405" s="48">
        <v>3200</v>
      </c>
      <c r="I405" s="49"/>
      <c r="J405" s="76">
        <f>ABS(D405)+ABS(E405)+ABS(F405)+ABS(G405)+ABS(H405)</f>
        <v>10570</v>
      </c>
      <c r="K405" s="34">
        <v>1788895</v>
      </c>
    </row>
    <row r="406" spans="1:11" s="34" customFormat="1" ht="12.75">
      <c r="A406" s="46" t="s">
        <v>26</v>
      </c>
      <c r="B406" s="55" t="s">
        <v>773</v>
      </c>
      <c r="C406" s="55" t="s">
        <v>774</v>
      </c>
      <c r="D406" s="56">
        <v>258692.86</v>
      </c>
      <c r="E406" s="56">
        <v>247534.3</v>
      </c>
      <c r="F406" s="56">
        <v>37618.14</v>
      </c>
      <c r="G406" s="56">
        <v>36656.32</v>
      </c>
      <c r="H406" s="56">
        <v>211138</v>
      </c>
      <c r="I406" s="57"/>
      <c r="J406" s="77">
        <f>ABS(D406)+ABS(E406)+ABS(F406)+ABS(G406)+ABS(H406)</f>
        <v>791639.62</v>
      </c>
      <c r="K406" s="34">
        <v>1788896</v>
      </c>
    </row>
    <row r="407" spans="1:10" s="34" customFormat="1" ht="12.75">
      <c r="A407" s="46"/>
      <c r="B407" s="47"/>
      <c r="C407" s="47"/>
      <c r="D407" s="48"/>
      <c r="E407" s="48"/>
      <c r="F407" s="48"/>
      <c r="G407" s="48"/>
      <c r="H407" s="48"/>
      <c r="I407" s="49"/>
      <c r="J407" s="76"/>
    </row>
    <row r="408" spans="1:11" s="34" customFormat="1" ht="12.75">
      <c r="A408" s="46" t="s">
        <v>25</v>
      </c>
      <c r="B408" s="59" t="s">
        <v>775</v>
      </c>
      <c r="C408" s="59" t="s">
        <v>776</v>
      </c>
      <c r="D408" s="60" t="s">
        <v>1</v>
      </c>
      <c r="E408" s="60" t="s">
        <v>1</v>
      </c>
      <c r="F408" s="60" t="s">
        <v>1</v>
      </c>
      <c r="G408" s="60" t="s">
        <v>1</v>
      </c>
      <c r="H408" s="60" t="s">
        <v>1</v>
      </c>
      <c r="I408" s="61"/>
      <c r="J408" s="78">
        <v>1</v>
      </c>
      <c r="K408" s="34">
        <v>1788897</v>
      </c>
    </row>
    <row r="409" spans="1:11" s="34" customFormat="1" ht="12.75" hidden="1">
      <c r="A409" s="46" t="s">
        <v>6</v>
      </c>
      <c r="B409" s="47" t="s">
        <v>777</v>
      </c>
      <c r="C409" s="47" t="s">
        <v>778</v>
      </c>
      <c r="D409" s="48">
        <v>0</v>
      </c>
      <c r="E409" s="48">
        <v>0</v>
      </c>
      <c r="F409" s="48">
        <v>0</v>
      </c>
      <c r="G409" s="48">
        <v>0</v>
      </c>
      <c r="H409" s="48">
        <v>0</v>
      </c>
      <c r="I409" s="49"/>
      <c r="J409" s="76">
        <f>ABS(D409)+ABS(E409)+ABS(F409)+ABS(G409)+ABS(H409)</f>
        <v>0</v>
      </c>
      <c r="K409" s="34">
        <v>1788898</v>
      </c>
    </row>
    <row r="410" spans="1:11" s="34" customFormat="1" ht="12.75" hidden="1">
      <c r="A410" s="46" t="s">
        <v>6</v>
      </c>
      <c r="B410" s="47" t="s">
        <v>779</v>
      </c>
      <c r="C410" s="47" t="s">
        <v>780</v>
      </c>
      <c r="D410" s="48">
        <v>0</v>
      </c>
      <c r="E410" s="48">
        <v>0</v>
      </c>
      <c r="F410" s="48">
        <v>0</v>
      </c>
      <c r="G410" s="48">
        <v>0</v>
      </c>
      <c r="H410" s="48">
        <v>0</v>
      </c>
      <c r="I410" s="49"/>
      <c r="J410" s="76">
        <f>ABS(D410)+ABS(E410)+ABS(F410)+ABS(G410)+ABS(H410)</f>
        <v>0</v>
      </c>
      <c r="K410" s="34">
        <v>1788899</v>
      </c>
    </row>
    <row r="411" spans="1:11" s="34" customFormat="1" ht="12.75" hidden="1">
      <c r="A411" s="46" t="s">
        <v>6</v>
      </c>
      <c r="B411" s="47" t="s">
        <v>781</v>
      </c>
      <c r="C411" s="47" t="s">
        <v>782</v>
      </c>
      <c r="D411" s="48">
        <v>0</v>
      </c>
      <c r="E411" s="48">
        <v>0</v>
      </c>
      <c r="F411" s="48">
        <v>0</v>
      </c>
      <c r="G411" s="48">
        <v>0</v>
      </c>
      <c r="H411" s="48">
        <v>0</v>
      </c>
      <c r="I411" s="49"/>
      <c r="J411" s="76">
        <f>ABS(D411)+ABS(E411)+ABS(F411)+ABS(G411)+ABS(H411)</f>
        <v>0</v>
      </c>
      <c r="K411" s="34">
        <v>1788900</v>
      </c>
    </row>
    <row r="412" spans="1:11" s="34" customFormat="1" ht="12.75" hidden="1">
      <c r="A412" s="46" t="s">
        <v>6</v>
      </c>
      <c r="B412" s="47" t="s">
        <v>783</v>
      </c>
      <c r="C412" s="47" t="s">
        <v>784</v>
      </c>
      <c r="D412" s="48">
        <v>0</v>
      </c>
      <c r="E412" s="48">
        <v>0</v>
      </c>
      <c r="F412" s="48">
        <v>0</v>
      </c>
      <c r="G412" s="48">
        <v>0</v>
      </c>
      <c r="H412" s="48">
        <v>0</v>
      </c>
      <c r="I412" s="49"/>
      <c r="J412" s="76">
        <f>ABS(D412)+ABS(E412)+ABS(F412)+ABS(G412)+ABS(H412)</f>
        <v>0</v>
      </c>
      <c r="K412" s="34">
        <v>1788901</v>
      </c>
    </row>
    <row r="413" spans="1:11" s="34" customFormat="1" ht="12.75" hidden="1">
      <c r="A413" s="46" t="s">
        <v>6</v>
      </c>
      <c r="B413" s="47" t="s">
        <v>785</v>
      </c>
      <c r="C413" s="47" t="s">
        <v>786</v>
      </c>
      <c r="D413" s="48">
        <v>0</v>
      </c>
      <c r="E413" s="48">
        <v>0</v>
      </c>
      <c r="F413" s="48">
        <v>0</v>
      </c>
      <c r="G413" s="48">
        <v>0</v>
      </c>
      <c r="H413" s="48">
        <v>0</v>
      </c>
      <c r="I413" s="49"/>
      <c r="J413" s="76">
        <f>ABS(D413)+ABS(E413)+ABS(F413)+ABS(G413)+ABS(H413)</f>
        <v>0</v>
      </c>
      <c r="K413" s="34">
        <v>1788902</v>
      </c>
    </row>
    <row r="414" spans="1:11" s="34" customFormat="1" ht="12.75" hidden="1">
      <c r="A414" s="46" t="s">
        <v>6</v>
      </c>
      <c r="B414" s="47" t="s">
        <v>787</v>
      </c>
      <c r="C414" s="47" t="s">
        <v>788</v>
      </c>
      <c r="D414" s="48">
        <v>0</v>
      </c>
      <c r="E414" s="48">
        <v>0</v>
      </c>
      <c r="F414" s="48">
        <v>0</v>
      </c>
      <c r="G414" s="48">
        <v>0</v>
      </c>
      <c r="H414" s="48">
        <v>0</v>
      </c>
      <c r="I414" s="49"/>
      <c r="J414" s="76">
        <f>ABS(D414)+ABS(E414)+ABS(F414)+ABS(G414)+ABS(H414)</f>
        <v>0</v>
      </c>
      <c r="K414" s="34">
        <v>1788903</v>
      </c>
    </row>
    <row r="415" spans="1:11" s="34" customFormat="1" ht="12.75" hidden="1">
      <c r="A415" s="46" t="s">
        <v>6</v>
      </c>
      <c r="B415" s="47" t="s">
        <v>789</v>
      </c>
      <c r="C415" s="47" t="s">
        <v>790</v>
      </c>
      <c r="D415" s="48">
        <v>0</v>
      </c>
      <c r="E415" s="48">
        <v>0</v>
      </c>
      <c r="F415" s="48">
        <v>0</v>
      </c>
      <c r="G415" s="48">
        <v>0</v>
      </c>
      <c r="H415" s="48">
        <v>0</v>
      </c>
      <c r="I415" s="49"/>
      <c r="J415" s="76">
        <f>ABS(D415)+ABS(E415)+ABS(F415)+ABS(G415)+ABS(H415)</f>
        <v>0</v>
      </c>
      <c r="K415" s="34">
        <v>1788904</v>
      </c>
    </row>
    <row r="416" spans="1:11" s="34" customFormat="1" ht="12.75" hidden="1">
      <c r="A416" s="46" t="s">
        <v>6</v>
      </c>
      <c r="B416" s="47" t="s">
        <v>791</v>
      </c>
      <c r="C416" s="47" t="s">
        <v>792</v>
      </c>
      <c r="D416" s="48">
        <v>0</v>
      </c>
      <c r="E416" s="48">
        <v>0</v>
      </c>
      <c r="F416" s="48">
        <v>0</v>
      </c>
      <c r="G416" s="48">
        <v>0</v>
      </c>
      <c r="H416" s="48">
        <v>0</v>
      </c>
      <c r="I416" s="49"/>
      <c r="J416" s="76">
        <f>ABS(D416)+ABS(E416)+ABS(F416)+ABS(G416)+ABS(H416)</f>
        <v>0</v>
      </c>
      <c r="K416" s="34">
        <v>1788905</v>
      </c>
    </row>
    <row r="417" spans="1:11" s="34" customFormat="1" ht="12.75">
      <c r="A417" s="46" t="s">
        <v>6</v>
      </c>
      <c r="B417" s="47" t="s">
        <v>793</v>
      </c>
      <c r="C417" s="47" t="s">
        <v>300</v>
      </c>
      <c r="D417" s="48">
        <v>0</v>
      </c>
      <c r="E417" s="48">
        <v>93.39</v>
      </c>
      <c r="F417" s="48">
        <v>0</v>
      </c>
      <c r="G417" s="48">
        <v>250</v>
      </c>
      <c r="H417" s="48">
        <v>1500</v>
      </c>
      <c r="I417" s="49"/>
      <c r="J417" s="76">
        <f>ABS(D417)+ABS(E417)+ABS(F417)+ABS(G417)+ABS(H417)</f>
        <v>1843.39</v>
      </c>
      <c r="K417" s="34">
        <v>1788906</v>
      </c>
    </row>
    <row r="418" spans="1:11" s="34" customFormat="1" ht="12.75">
      <c r="A418" s="46" t="s">
        <v>6</v>
      </c>
      <c r="B418" s="47" t="s">
        <v>794</v>
      </c>
      <c r="C418" s="47" t="s">
        <v>795</v>
      </c>
      <c r="D418" s="48">
        <v>1267.82</v>
      </c>
      <c r="E418" s="48">
        <v>1623.89</v>
      </c>
      <c r="F418" s="48">
        <v>611.28</v>
      </c>
      <c r="G418" s="48">
        <v>166.66</v>
      </c>
      <c r="H418" s="48">
        <v>1000</v>
      </c>
      <c r="I418" s="49"/>
      <c r="J418" s="76">
        <f>ABS(D418)+ABS(E418)+ABS(F418)+ABS(G418)+ABS(H418)</f>
        <v>4669.65</v>
      </c>
      <c r="K418" s="34">
        <v>1788907</v>
      </c>
    </row>
    <row r="419" spans="1:11" s="34" customFormat="1" ht="12.75" hidden="1">
      <c r="A419" s="46" t="s">
        <v>6</v>
      </c>
      <c r="B419" s="47" t="s">
        <v>796</v>
      </c>
      <c r="C419" s="47" t="s">
        <v>797</v>
      </c>
      <c r="D419" s="48">
        <v>0</v>
      </c>
      <c r="E419" s="48">
        <v>0</v>
      </c>
      <c r="F419" s="48">
        <v>0</v>
      </c>
      <c r="G419" s="48">
        <v>0</v>
      </c>
      <c r="H419" s="48">
        <v>0</v>
      </c>
      <c r="I419" s="49"/>
      <c r="J419" s="76">
        <f>ABS(D419)+ABS(E419)+ABS(F419)+ABS(G419)+ABS(H419)</f>
        <v>0</v>
      </c>
      <c r="K419" s="34">
        <v>1788908</v>
      </c>
    </row>
    <row r="420" spans="1:11" s="34" customFormat="1" ht="12.75">
      <c r="A420" s="46" t="s">
        <v>6</v>
      </c>
      <c r="B420" s="47" t="s">
        <v>798</v>
      </c>
      <c r="C420" s="47" t="s">
        <v>799</v>
      </c>
      <c r="D420" s="48">
        <v>363.79</v>
      </c>
      <c r="E420" s="48">
        <v>424.2</v>
      </c>
      <c r="F420" s="48">
        <v>59.6</v>
      </c>
      <c r="G420" s="48">
        <v>83.34</v>
      </c>
      <c r="H420" s="48">
        <v>500</v>
      </c>
      <c r="I420" s="49"/>
      <c r="J420" s="76">
        <f>ABS(D420)+ABS(E420)+ABS(F420)+ABS(G420)+ABS(H420)</f>
        <v>1430.93</v>
      </c>
      <c r="K420" s="34">
        <v>1788909</v>
      </c>
    </row>
    <row r="421" spans="1:11" s="34" customFormat="1" ht="12.75">
      <c r="A421" s="46" t="s">
        <v>6</v>
      </c>
      <c r="B421" s="47" t="s">
        <v>800</v>
      </c>
      <c r="C421" s="47" t="s">
        <v>801</v>
      </c>
      <c r="D421" s="48">
        <v>9866.2</v>
      </c>
      <c r="E421" s="48">
        <v>10228.07</v>
      </c>
      <c r="F421" s="48">
        <v>0</v>
      </c>
      <c r="G421" s="48">
        <v>0</v>
      </c>
      <c r="H421" s="48">
        <v>10000</v>
      </c>
      <c r="I421" s="49"/>
      <c r="J421" s="76">
        <f>ABS(D421)+ABS(E421)+ABS(F421)+ABS(G421)+ABS(H421)</f>
        <v>30094.27</v>
      </c>
      <c r="K421" s="34">
        <v>1788910</v>
      </c>
    </row>
    <row r="422" spans="1:11" s="34" customFormat="1" ht="12.75" hidden="1">
      <c r="A422" s="46" t="s">
        <v>6</v>
      </c>
      <c r="B422" s="47" t="s">
        <v>802</v>
      </c>
      <c r="C422" s="47" t="s">
        <v>803</v>
      </c>
      <c r="D422" s="48">
        <v>0</v>
      </c>
      <c r="E422" s="48">
        <v>0</v>
      </c>
      <c r="F422" s="48">
        <v>0</v>
      </c>
      <c r="G422" s="48">
        <v>0</v>
      </c>
      <c r="H422" s="48">
        <v>0</v>
      </c>
      <c r="I422" s="49"/>
      <c r="J422" s="76">
        <f>ABS(D422)+ABS(E422)+ABS(F422)+ABS(G422)+ABS(H422)</f>
        <v>0</v>
      </c>
      <c r="K422" s="34">
        <v>1788911</v>
      </c>
    </row>
    <row r="423" spans="1:11" s="34" customFormat="1" ht="12.75" hidden="1">
      <c r="A423" s="46" t="s">
        <v>6</v>
      </c>
      <c r="B423" s="47" t="s">
        <v>804</v>
      </c>
      <c r="C423" s="47" t="s">
        <v>805</v>
      </c>
      <c r="D423" s="48">
        <v>0</v>
      </c>
      <c r="E423" s="48">
        <v>0</v>
      </c>
      <c r="F423" s="48">
        <v>0</v>
      </c>
      <c r="G423" s="48">
        <v>0</v>
      </c>
      <c r="H423" s="48">
        <v>0</v>
      </c>
      <c r="I423" s="49"/>
      <c r="J423" s="76">
        <f>ABS(D423)+ABS(E423)+ABS(F423)+ABS(G423)+ABS(H423)</f>
        <v>0</v>
      </c>
      <c r="K423" s="34">
        <v>1788912</v>
      </c>
    </row>
    <row r="424" spans="1:11" s="34" customFormat="1" ht="12.75" hidden="1">
      <c r="A424" s="46" t="s">
        <v>6</v>
      </c>
      <c r="B424" s="47" t="s">
        <v>806</v>
      </c>
      <c r="C424" s="47" t="s">
        <v>807</v>
      </c>
      <c r="D424" s="48">
        <v>0</v>
      </c>
      <c r="E424" s="48">
        <v>0</v>
      </c>
      <c r="F424" s="48">
        <v>0</v>
      </c>
      <c r="G424" s="48">
        <v>0</v>
      </c>
      <c r="H424" s="48">
        <v>0</v>
      </c>
      <c r="I424" s="49"/>
      <c r="J424" s="76">
        <f>ABS(D424)+ABS(E424)+ABS(F424)+ABS(G424)+ABS(H424)</f>
        <v>0</v>
      </c>
      <c r="K424" s="34">
        <v>1788913</v>
      </c>
    </row>
    <row r="425" spans="1:11" s="34" customFormat="1" ht="12.75" hidden="1">
      <c r="A425" s="46" t="s">
        <v>6</v>
      </c>
      <c r="B425" s="47" t="s">
        <v>808</v>
      </c>
      <c r="C425" s="47" t="s">
        <v>809</v>
      </c>
      <c r="D425" s="48">
        <v>0</v>
      </c>
      <c r="E425" s="48">
        <v>0</v>
      </c>
      <c r="F425" s="48">
        <v>0</v>
      </c>
      <c r="G425" s="48">
        <v>0</v>
      </c>
      <c r="H425" s="48">
        <v>0</v>
      </c>
      <c r="I425" s="49"/>
      <c r="J425" s="76">
        <f>ABS(D425)+ABS(E425)+ABS(F425)+ABS(G425)+ABS(H425)</f>
        <v>0</v>
      </c>
      <c r="K425" s="34">
        <v>1788914</v>
      </c>
    </row>
    <row r="426" spans="1:11" s="34" customFormat="1" ht="12.75">
      <c r="A426" s="46" t="s">
        <v>6</v>
      </c>
      <c r="B426" s="47" t="s">
        <v>810</v>
      </c>
      <c r="C426" s="47" t="s">
        <v>811</v>
      </c>
      <c r="D426" s="48">
        <v>4037.37</v>
      </c>
      <c r="E426" s="48">
        <v>3775.13</v>
      </c>
      <c r="F426" s="48">
        <v>745.34</v>
      </c>
      <c r="G426" s="48">
        <v>750</v>
      </c>
      <c r="H426" s="48">
        <v>4500</v>
      </c>
      <c r="I426" s="49"/>
      <c r="J426" s="76">
        <f>ABS(D426)+ABS(E426)+ABS(F426)+ABS(G426)+ABS(H426)</f>
        <v>13807.84</v>
      </c>
      <c r="K426" s="34">
        <v>1788915</v>
      </c>
    </row>
    <row r="427" spans="1:11" s="34" customFormat="1" ht="12.75" hidden="1">
      <c r="A427" s="46" t="s">
        <v>6</v>
      </c>
      <c r="B427" s="47" t="s">
        <v>812</v>
      </c>
      <c r="C427" s="47" t="s">
        <v>813</v>
      </c>
      <c r="D427" s="48">
        <v>0</v>
      </c>
      <c r="E427" s="48">
        <v>0</v>
      </c>
      <c r="F427" s="48">
        <v>0</v>
      </c>
      <c r="G427" s="48">
        <v>0</v>
      </c>
      <c r="H427" s="48">
        <v>0</v>
      </c>
      <c r="I427" s="49"/>
      <c r="J427" s="76">
        <f>ABS(D427)+ABS(E427)+ABS(F427)+ABS(G427)+ABS(H427)</f>
        <v>0</v>
      </c>
      <c r="K427" s="34">
        <v>1788916</v>
      </c>
    </row>
    <row r="428" spans="1:11" s="34" customFormat="1" ht="12.75" hidden="1">
      <c r="A428" s="46" t="s">
        <v>6</v>
      </c>
      <c r="B428" s="47" t="s">
        <v>814</v>
      </c>
      <c r="C428" s="47" t="s">
        <v>815</v>
      </c>
      <c r="D428" s="48">
        <v>0</v>
      </c>
      <c r="E428" s="48">
        <v>0</v>
      </c>
      <c r="F428" s="48">
        <v>0</v>
      </c>
      <c r="G428" s="48">
        <v>0</v>
      </c>
      <c r="H428" s="48">
        <v>0</v>
      </c>
      <c r="I428" s="49"/>
      <c r="J428" s="76">
        <f>ABS(D428)+ABS(E428)+ABS(F428)+ABS(G428)+ABS(H428)</f>
        <v>0</v>
      </c>
      <c r="K428" s="34">
        <v>1788917</v>
      </c>
    </row>
    <row r="429" spans="1:11" s="34" customFormat="1" ht="12.75">
      <c r="A429" s="46" t="s">
        <v>6</v>
      </c>
      <c r="B429" s="47" t="s">
        <v>816</v>
      </c>
      <c r="C429" s="47" t="s">
        <v>817</v>
      </c>
      <c r="D429" s="48">
        <v>90974.93</v>
      </c>
      <c r="E429" s="48">
        <v>91126.38</v>
      </c>
      <c r="F429" s="48">
        <v>15360.31</v>
      </c>
      <c r="G429" s="48">
        <v>15333.34</v>
      </c>
      <c r="H429" s="48">
        <v>92000</v>
      </c>
      <c r="I429" s="49"/>
      <c r="J429" s="76">
        <f>ABS(D429)+ABS(E429)+ABS(F429)+ABS(G429)+ABS(H429)</f>
        <v>304794.96</v>
      </c>
      <c r="K429" s="34">
        <v>1788918</v>
      </c>
    </row>
    <row r="430" spans="1:11" s="34" customFormat="1" ht="12.75">
      <c r="A430" s="46" t="s">
        <v>6</v>
      </c>
      <c r="B430" s="47" t="s">
        <v>818</v>
      </c>
      <c r="C430" s="47" t="s">
        <v>819</v>
      </c>
      <c r="D430" s="48">
        <v>1846.7</v>
      </c>
      <c r="E430" s="48">
        <v>2329.8</v>
      </c>
      <c r="F430" s="48">
        <v>846.8</v>
      </c>
      <c r="G430" s="48">
        <v>416.66</v>
      </c>
      <c r="H430" s="48">
        <v>2500</v>
      </c>
      <c r="I430" s="49"/>
      <c r="J430" s="76">
        <f>ABS(D430)+ABS(E430)+ABS(F430)+ABS(G430)+ABS(H430)</f>
        <v>7939.96</v>
      </c>
      <c r="K430" s="34">
        <v>1788919</v>
      </c>
    </row>
    <row r="431" spans="1:11" s="34" customFormat="1" ht="12.75" hidden="1">
      <c r="A431" s="46" t="s">
        <v>6</v>
      </c>
      <c r="B431" s="47" t="s">
        <v>820</v>
      </c>
      <c r="C431" s="47" t="s">
        <v>821</v>
      </c>
      <c r="D431" s="48">
        <v>0</v>
      </c>
      <c r="E431" s="48">
        <v>0</v>
      </c>
      <c r="F431" s="48">
        <v>0</v>
      </c>
      <c r="G431" s="48">
        <v>0</v>
      </c>
      <c r="H431" s="48">
        <v>0</v>
      </c>
      <c r="I431" s="49"/>
      <c r="J431" s="76">
        <f>ABS(D431)+ABS(E431)+ABS(F431)+ABS(G431)+ABS(H431)</f>
        <v>0</v>
      </c>
      <c r="K431" s="34">
        <v>1788920</v>
      </c>
    </row>
    <row r="432" spans="1:11" s="34" customFormat="1" ht="12.75">
      <c r="A432" s="46" t="s">
        <v>6</v>
      </c>
      <c r="B432" s="47" t="s">
        <v>822</v>
      </c>
      <c r="C432" s="47" t="s">
        <v>823</v>
      </c>
      <c r="D432" s="48">
        <v>4072.46</v>
      </c>
      <c r="E432" s="48">
        <v>3761.08</v>
      </c>
      <c r="F432" s="48">
        <v>1132</v>
      </c>
      <c r="G432" s="48">
        <v>1500</v>
      </c>
      <c r="H432" s="48">
        <v>3000</v>
      </c>
      <c r="I432" s="49"/>
      <c r="J432" s="76">
        <f>ABS(D432)+ABS(E432)+ABS(F432)+ABS(G432)+ABS(H432)</f>
        <v>13465.54</v>
      </c>
      <c r="K432" s="34">
        <v>1788921</v>
      </c>
    </row>
    <row r="433" spans="1:11" s="34" customFormat="1" ht="12.75">
      <c r="A433" s="46" t="s">
        <v>6</v>
      </c>
      <c r="B433" s="47" t="s">
        <v>824</v>
      </c>
      <c r="C433" s="47" t="s">
        <v>825</v>
      </c>
      <c r="D433" s="48">
        <v>1200</v>
      </c>
      <c r="E433" s="48">
        <v>1345</v>
      </c>
      <c r="F433" s="48">
        <v>0</v>
      </c>
      <c r="G433" s="48">
        <v>0</v>
      </c>
      <c r="H433" s="48">
        <v>1200</v>
      </c>
      <c r="I433" s="49"/>
      <c r="J433" s="76">
        <f>ABS(D433)+ABS(E433)+ABS(F433)+ABS(G433)+ABS(H433)</f>
        <v>3745</v>
      </c>
      <c r="K433" s="34">
        <v>1788922</v>
      </c>
    </row>
    <row r="434" spans="1:11" s="34" customFormat="1" ht="12.75" hidden="1">
      <c r="A434" s="46" t="s">
        <v>6</v>
      </c>
      <c r="B434" s="47" t="s">
        <v>826</v>
      </c>
      <c r="C434" s="47" t="s">
        <v>827</v>
      </c>
      <c r="D434" s="48">
        <v>0</v>
      </c>
      <c r="E434" s="48">
        <v>0</v>
      </c>
      <c r="F434" s="48">
        <v>0</v>
      </c>
      <c r="G434" s="48">
        <v>0</v>
      </c>
      <c r="H434" s="48">
        <v>0</v>
      </c>
      <c r="I434" s="49"/>
      <c r="J434" s="76">
        <f>ABS(D434)+ABS(E434)+ABS(F434)+ABS(G434)+ABS(H434)</f>
        <v>0</v>
      </c>
      <c r="K434" s="34">
        <v>1788923</v>
      </c>
    </row>
    <row r="435" spans="1:11" s="34" customFormat="1" ht="12.75">
      <c r="A435" s="46" t="s">
        <v>6</v>
      </c>
      <c r="B435" s="47" t="s">
        <v>828</v>
      </c>
      <c r="C435" s="47" t="s">
        <v>829</v>
      </c>
      <c r="D435" s="48">
        <v>6406.5</v>
      </c>
      <c r="E435" s="48">
        <v>5113</v>
      </c>
      <c r="F435" s="48">
        <v>1645</v>
      </c>
      <c r="G435" s="48">
        <v>833.34</v>
      </c>
      <c r="H435" s="48">
        <v>5000</v>
      </c>
      <c r="I435" s="49"/>
      <c r="J435" s="76">
        <f>ABS(D435)+ABS(E435)+ABS(F435)+ABS(G435)+ABS(H435)</f>
        <v>18997.84</v>
      </c>
      <c r="K435" s="34">
        <v>1788924</v>
      </c>
    </row>
    <row r="436" spans="1:11" s="34" customFormat="1" ht="12.75">
      <c r="A436" s="46" t="s">
        <v>6</v>
      </c>
      <c r="B436" s="47" t="s">
        <v>830</v>
      </c>
      <c r="C436" s="47" t="s">
        <v>242</v>
      </c>
      <c r="D436" s="48">
        <v>50</v>
      </c>
      <c r="E436" s="48">
        <v>0</v>
      </c>
      <c r="F436" s="48">
        <v>0</v>
      </c>
      <c r="G436" s="48">
        <v>416.66</v>
      </c>
      <c r="H436" s="48">
        <v>2500</v>
      </c>
      <c r="I436" s="49"/>
      <c r="J436" s="76">
        <f>ABS(D436)+ABS(E436)+ABS(F436)+ABS(G436)+ABS(H436)</f>
        <v>2966.66</v>
      </c>
      <c r="K436" s="34">
        <v>1788925</v>
      </c>
    </row>
    <row r="437" spans="1:11" s="34" customFormat="1" ht="12.75" hidden="1">
      <c r="A437" s="46" t="s">
        <v>6</v>
      </c>
      <c r="B437" s="47" t="s">
        <v>831</v>
      </c>
      <c r="C437" s="47" t="s">
        <v>832</v>
      </c>
      <c r="D437" s="48">
        <v>0</v>
      </c>
      <c r="E437" s="48">
        <v>0</v>
      </c>
      <c r="F437" s="48">
        <v>0</v>
      </c>
      <c r="G437" s="48">
        <v>0</v>
      </c>
      <c r="H437" s="48">
        <v>0</v>
      </c>
      <c r="I437" s="49"/>
      <c r="J437" s="76">
        <f>ABS(D437)+ABS(E437)+ABS(F437)+ABS(G437)+ABS(H437)</f>
        <v>0</v>
      </c>
      <c r="K437" s="34">
        <v>1788926</v>
      </c>
    </row>
    <row r="438" spans="1:11" s="34" customFormat="1" ht="12.75" hidden="1">
      <c r="A438" s="46" t="s">
        <v>6</v>
      </c>
      <c r="B438" s="47" t="s">
        <v>833</v>
      </c>
      <c r="C438" s="47" t="s">
        <v>834</v>
      </c>
      <c r="D438" s="48">
        <v>0</v>
      </c>
      <c r="E438" s="48">
        <v>0</v>
      </c>
      <c r="F438" s="48">
        <v>0</v>
      </c>
      <c r="G438" s="48">
        <v>0</v>
      </c>
      <c r="H438" s="48">
        <v>0</v>
      </c>
      <c r="I438" s="49"/>
      <c r="J438" s="76">
        <f>ABS(D438)+ABS(E438)+ABS(F438)+ABS(G438)+ABS(H438)</f>
        <v>0</v>
      </c>
      <c r="K438" s="34">
        <v>1788927</v>
      </c>
    </row>
    <row r="439" spans="1:11" s="34" customFormat="1" ht="12.75">
      <c r="A439" s="46" t="s">
        <v>6</v>
      </c>
      <c r="B439" s="47" t="s">
        <v>835</v>
      </c>
      <c r="C439" s="47" t="s">
        <v>836</v>
      </c>
      <c r="D439" s="48">
        <v>536.85</v>
      </c>
      <c r="E439" s="48">
        <v>2200</v>
      </c>
      <c r="F439" s="48">
        <v>600</v>
      </c>
      <c r="G439" s="48">
        <v>2000</v>
      </c>
      <c r="H439" s="48">
        <v>2000</v>
      </c>
      <c r="I439" s="49"/>
      <c r="J439" s="76">
        <f>ABS(D439)+ABS(E439)+ABS(F439)+ABS(G439)+ABS(H439)</f>
        <v>7336.85</v>
      </c>
      <c r="K439" s="34">
        <v>1788928</v>
      </c>
    </row>
    <row r="440" spans="1:11" s="34" customFormat="1" ht="12.75">
      <c r="A440" s="46" t="s">
        <v>6</v>
      </c>
      <c r="B440" s="47" t="s">
        <v>837</v>
      </c>
      <c r="C440" s="47" t="s">
        <v>838</v>
      </c>
      <c r="D440" s="48">
        <v>359</v>
      </c>
      <c r="E440" s="48">
        <v>180</v>
      </c>
      <c r="F440" s="48">
        <v>0</v>
      </c>
      <c r="G440" s="48">
        <v>0</v>
      </c>
      <c r="H440" s="48">
        <v>0</v>
      </c>
      <c r="I440" s="49"/>
      <c r="J440" s="76">
        <f>ABS(D440)+ABS(E440)+ABS(F440)+ABS(G440)+ABS(H440)</f>
        <v>539</v>
      </c>
      <c r="K440" s="34">
        <v>1788929</v>
      </c>
    </row>
    <row r="441" spans="1:11" s="34" customFormat="1" ht="12.75">
      <c r="A441" s="46" t="s">
        <v>6</v>
      </c>
      <c r="B441" s="47" t="s">
        <v>839</v>
      </c>
      <c r="C441" s="47" t="s">
        <v>840</v>
      </c>
      <c r="D441" s="48">
        <v>1463.19</v>
      </c>
      <c r="E441" s="48">
        <v>486.02</v>
      </c>
      <c r="F441" s="48">
        <v>0</v>
      </c>
      <c r="G441" s="48">
        <v>0</v>
      </c>
      <c r="H441" s="48">
        <v>0</v>
      </c>
      <c r="I441" s="49"/>
      <c r="J441" s="76">
        <f>ABS(D441)+ABS(E441)+ABS(F441)+ABS(G441)+ABS(H441)</f>
        <v>1949.21</v>
      </c>
      <c r="K441" s="34">
        <v>1788930</v>
      </c>
    </row>
    <row r="442" spans="1:11" s="34" customFormat="1" ht="12.75" hidden="1">
      <c r="A442" s="46" t="s">
        <v>6</v>
      </c>
      <c r="B442" s="47" t="s">
        <v>841</v>
      </c>
      <c r="C442" s="47" t="s">
        <v>842</v>
      </c>
      <c r="D442" s="48">
        <v>0</v>
      </c>
      <c r="E442" s="48">
        <v>0</v>
      </c>
      <c r="F442" s="48">
        <v>0</v>
      </c>
      <c r="G442" s="48">
        <v>0</v>
      </c>
      <c r="H442" s="48">
        <v>0</v>
      </c>
      <c r="I442" s="49"/>
      <c r="J442" s="76">
        <f>ABS(D442)+ABS(E442)+ABS(F442)+ABS(G442)+ABS(H442)</f>
        <v>0</v>
      </c>
      <c r="K442" s="34">
        <v>1788931</v>
      </c>
    </row>
    <row r="443" spans="1:11" s="34" customFormat="1" ht="12.75" hidden="1">
      <c r="A443" s="46" t="s">
        <v>6</v>
      </c>
      <c r="B443" s="47" t="s">
        <v>843</v>
      </c>
      <c r="C443" s="47" t="s">
        <v>844</v>
      </c>
      <c r="D443" s="48">
        <v>0</v>
      </c>
      <c r="E443" s="48">
        <v>0</v>
      </c>
      <c r="F443" s="48">
        <v>0</v>
      </c>
      <c r="G443" s="48">
        <v>0</v>
      </c>
      <c r="H443" s="48">
        <v>0</v>
      </c>
      <c r="I443" s="49"/>
      <c r="J443" s="76">
        <f>ABS(D443)+ABS(E443)+ABS(F443)+ABS(G443)+ABS(H443)</f>
        <v>0</v>
      </c>
      <c r="K443" s="34">
        <v>1788932</v>
      </c>
    </row>
    <row r="444" spans="1:11" s="34" customFormat="1" ht="12.75" hidden="1">
      <c r="A444" s="46" t="s">
        <v>6</v>
      </c>
      <c r="B444" s="47" t="s">
        <v>845</v>
      </c>
      <c r="C444" s="47" t="s">
        <v>846</v>
      </c>
      <c r="D444" s="48">
        <v>0</v>
      </c>
      <c r="E444" s="48">
        <v>0</v>
      </c>
      <c r="F444" s="48">
        <v>0</v>
      </c>
      <c r="G444" s="48">
        <v>0</v>
      </c>
      <c r="H444" s="48">
        <v>0</v>
      </c>
      <c r="I444" s="49"/>
      <c r="J444" s="76">
        <f>ABS(D444)+ABS(E444)+ABS(F444)+ABS(G444)+ABS(H444)</f>
        <v>0</v>
      </c>
      <c r="K444" s="34">
        <v>1788933</v>
      </c>
    </row>
    <row r="445" spans="1:11" s="34" customFormat="1" ht="12.75" hidden="1">
      <c r="A445" s="46" t="s">
        <v>6</v>
      </c>
      <c r="B445" s="47" t="s">
        <v>847</v>
      </c>
      <c r="C445" s="47" t="s">
        <v>848</v>
      </c>
      <c r="D445" s="48">
        <v>0</v>
      </c>
      <c r="E445" s="48">
        <v>0</v>
      </c>
      <c r="F445" s="48">
        <v>0</v>
      </c>
      <c r="G445" s="48">
        <v>0</v>
      </c>
      <c r="H445" s="48">
        <v>0</v>
      </c>
      <c r="I445" s="49"/>
      <c r="J445" s="76">
        <f>ABS(D445)+ABS(E445)+ABS(F445)+ABS(G445)+ABS(H445)</f>
        <v>0</v>
      </c>
      <c r="K445" s="34">
        <v>1788934</v>
      </c>
    </row>
    <row r="446" spans="1:11" s="34" customFormat="1" ht="12.75" hidden="1">
      <c r="A446" s="46" t="s">
        <v>6</v>
      </c>
      <c r="B446" s="47" t="s">
        <v>849</v>
      </c>
      <c r="C446" s="47" t="s">
        <v>850</v>
      </c>
      <c r="D446" s="48">
        <v>0</v>
      </c>
      <c r="E446" s="48">
        <v>0</v>
      </c>
      <c r="F446" s="48">
        <v>0</v>
      </c>
      <c r="G446" s="48">
        <v>0</v>
      </c>
      <c r="H446" s="48">
        <v>0</v>
      </c>
      <c r="I446" s="49"/>
      <c r="J446" s="76">
        <f>ABS(D446)+ABS(E446)+ABS(F446)+ABS(G446)+ABS(H446)</f>
        <v>0</v>
      </c>
      <c r="K446" s="34">
        <v>1788935</v>
      </c>
    </row>
    <row r="447" spans="1:11" s="34" customFormat="1" ht="12.75" hidden="1">
      <c r="A447" s="46" t="s">
        <v>6</v>
      </c>
      <c r="B447" s="47" t="s">
        <v>851</v>
      </c>
      <c r="C447" s="47" t="s">
        <v>852</v>
      </c>
      <c r="D447" s="48">
        <v>0</v>
      </c>
      <c r="E447" s="48">
        <v>0</v>
      </c>
      <c r="F447" s="48">
        <v>0</v>
      </c>
      <c r="G447" s="48">
        <v>0</v>
      </c>
      <c r="H447" s="48">
        <v>0</v>
      </c>
      <c r="I447" s="49"/>
      <c r="J447" s="76">
        <f>ABS(D447)+ABS(E447)+ABS(F447)+ABS(G447)+ABS(H447)</f>
        <v>0</v>
      </c>
      <c r="K447" s="34">
        <v>1788936</v>
      </c>
    </row>
    <row r="448" spans="1:11" s="34" customFormat="1" ht="12.75" hidden="1">
      <c r="A448" s="46" t="s">
        <v>6</v>
      </c>
      <c r="B448" s="47" t="s">
        <v>853</v>
      </c>
      <c r="C448" s="47" t="s">
        <v>854</v>
      </c>
      <c r="D448" s="48">
        <v>0</v>
      </c>
      <c r="E448" s="48">
        <v>0</v>
      </c>
      <c r="F448" s="48">
        <v>0</v>
      </c>
      <c r="G448" s="48">
        <v>0</v>
      </c>
      <c r="H448" s="48">
        <v>0</v>
      </c>
      <c r="I448" s="49"/>
      <c r="J448" s="76">
        <f>ABS(D448)+ABS(E448)+ABS(F448)+ABS(G448)+ABS(H448)</f>
        <v>0</v>
      </c>
      <c r="K448" s="34">
        <v>1788937</v>
      </c>
    </row>
    <row r="449" spans="1:11" s="34" customFormat="1" ht="12.75" hidden="1">
      <c r="A449" s="46" t="s">
        <v>6</v>
      </c>
      <c r="B449" s="47" t="s">
        <v>855</v>
      </c>
      <c r="C449" s="47" t="s">
        <v>856</v>
      </c>
      <c r="D449" s="48">
        <v>0</v>
      </c>
      <c r="E449" s="48">
        <v>0</v>
      </c>
      <c r="F449" s="48">
        <v>0</v>
      </c>
      <c r="G449" s="48">
        <v>0</v>
      </c>
      <c r="H449" s="48">
        <v>0</v>
      </c>
      <c r="I449" s="49"/>
      <c r="J449" s="76">
        <f>ABS(D449)+ABS(E449)+ABS(F449)+ABS(G449)+ABS(H449)</f>
        <v>0</v>
      </c>
      <c r="K449" s="34">
        <v>1788938</v>
      </c>
    </row>
    <row r="450" spans="1:11" s="34" customFormat="1" ht="12.75">
      <c r="A450" s="46" t="s">
        <v>6</v>
      </c>
      <c r="B450" s="47" t="s">
        <v>857</v>
      </c>
      <c r="C450" s="47" t="s">
        <v>858</v>
      </c>
      <c r="D450" s="48">
        <v>5590.86</v>
      </c>
      <c r="E450" s="48">
        <v>6287.6</v>
      </c>
      <c r="F450" s="48">
        <v>1499.74</v>
      </c>
      <c r="G450" s="48">
        <v>1083.34</v>
      </c>
      <c r="H450" s="48">
        <v>6500</v>
      </c>
      <c r="I450" s="49"/>
      <c r="J450" s="76">
        <f>ABS(D450)+ABS(E450)+ABS(F450)+ABS(G450)+ABS(H450)</f>
        <v>20961.54</v>
      </c>
      <c r="K450" s="34">
        <v>1788939</v>
      </c>
    </row>
    <row r="451" spans="1:11" s="34" customFormat="1" ht="12.75" hidden="1">
      <c r="A451" s="46" t="s">
        <v>6</v>
      </c>
      <c r="B451" s="47" t="s">
        <v>859</v>
      </c>
      <c r="C451" s="47" t="s">
        <v>860</v>
      </c>
      <c r="D451" s="48">
        <v>0</v>
      </c>
      <c r="E451" s="48">
        <v>0</v>
      </c>
      <c r="F451" s="48">
        <v>0</v>
      </c>
      <c r="G451" s="48">
        <v>0</v>
      </c>
      <c r="H451" s="48">
        <v>0</v>
      </c>
      <c r="I451" s="49"/>
      <c r="J451" s="76">
        <f>ABS(D451)+ABS(E451)+ABS(F451)+ABS(G451)+ABS(H451)</f>
        <v>0</v>
      </c>
      <c r="K451" s="34">
        <v>1788940</v>
      </c>
    </row>
    <row r="452" spans="1:11" s="34" customFormat="1" ht="12.75" hidden="1">
      <c r="A452" s="46" t="s">
        <v>6</v>
      </c>
      <c r="B452" s="47" t="s">
        <v>861</v>
      </c>
      <c r="C452" s="47" t="s">
        <v>862</v>
      </c>
      <c r="D452" s="48">
        <v>0</v>
      </c>
      <c r="E452" s="48">
        <v>0</v>
      </c>
      <c r="F452" s="48">
        <v>0</v>
      </c>
      <c r="G452" s="48">
        <v>0</v>
      </c>
      <c r="H452" s="48">
        <v>0</v>
      </c>
      <c r="I452" s="49"/>
      <c r="J452" s="76">
        <f>ABS(D452)+ABS(E452)+ABS(F452)+ABS(G452)+ABS(H452)</f>
        <v>0</v>
      </c>
      <c r="K452" s="34">
        <v>1788941</v>
      </c>
    </row>
    <row r="453" spans="1:11" s="34" customFormat="1" ht="12.75" hidden="1">
      <c r="A453" s="46" t="s">
        <v>6</v>
      </c>
      <c r="B453" s="47" t="s">
        <v>863</v>
      </c>
      <c r="C453" s="47" t="s">
        <v>864</v>
      </c>
      <c r="D453" s="48">
        <v>0</v>
      </c>
      <c r="E453" s="48">
        <v>0</v>
      </c>
      <c r="F453" s="48">
        <v>0</v>
      </c>
      <c r="G453" s="48">
        <v>0</v>
      </c>
      <c r="H453" s="48">
        <v>0</v>
      </c>
      <c r="I453" s="49"/>
      <c r="J453" s="76">
        <f>ABS(D453)+ABS(E453)+ABS(F453)+ABS(G453)+ABS(H453)</f>
        <v>0</v>
      </c>
      <c r="K453" s="34">
        <v>1788942</v>
      </c>
    </row>
    <row r="454" spans="1:11" s="34" customFormat="1" ht="12.75" hidden="1">
      <c r="A454" s="46" t="s">
        <v>6</v>
      </c>
      <c r="B454" s="47" t="s">
        <v>865</v>
      </c>
      <c r="C454" s="47" t="s">
        <v>866</v>
      </c>
      <c r="D454" s="48">
        <v>0</v>
      </c>
      <c r="E454" s="48">
        <v>0</v>
      </c>
      <c r="F454" s="48">
        <v>0</v>
      </c>
      <c r="G454" s="48">
        <v>0</v>
      </c>
      <c r="H454" s="48">
        <v>0</v>
      </c>
      <c r="I454" s="49"/>
      <c r="J454" s="76">
        <f>ABS(D454)+ABS(E454)+ABS(F454)+ABS(G454)+ABS(H454)</f>
        <v>0</v>
      </c>
      <c r="K454" s="34">
        <v>1788943</v>
      </c>
    </row>
    <row r="455" spans="1:11" s="34" customFormat="1" ht="12.75" hidden="1">
      <c r="A455" s="46" t="s">
        <v>6</v>
      </c>
      <c r="B455" s="47" t="s">
        <v>867</v>
      </c>
      <c r="C455" s="47" t="s">
        <v>868</v>
      </c>
      <c r="D455" s="48">
        <v>0</v>
      </c>
      <c r="E455" s="48">
        <v>0</v>
      </c>
      <c r="F455" s="48">
        <v>0</v>
      </c>
      <c r="G455" s="48">
        <v>0</v>
      </c>
      <c r="H455" s="48">
        <v>0</v>
      </c>
      <c r="I455" s="49"/>
      <c r="J455" s="76">
        <f>ABS(D455)+ABS(E455)+ABS(F455)+ABS(G455)+ABS(H455)</f>
        <v>0</v>
      </c>
      <c r="K455" s="34">
        <v>1788944</v>
      </c>
    </row>
    <row r="456" spans="1:11" s="34" customFormat="1" ht="12.75">
      <c r="A456" s="46" t="s">
        <v>6</v>
      </c>
      <c r="B456" s="47" t="s">
        <v>869</v>
      </c>
      <c r="C456" s="47" t="s">
        <v>870</v>
      </c>
      <c r="D456" s="48">
        <v>810.57</v>
      </c>
      <c r="E456" s="48">
        <v>1912</v>
      </c>
      <c r="F456" s="48">
        <v>68.7</v>
      </c>
      <c r="G456" s="48">
        <v>166.66</v>
      </c>
      <c r="H456" s="48">
        <v>1000</v>
      </c>
      <c r="I456" s="49"/>
      <c r="J456" s="76">
        <f>ABS(D456)+ABS(E456)+ABS(F456)+ABS(G456)+ABS(H456)</f>
        <v>3957.93</v>
      </c>
      <c r="K456" s="34">
        <v>1788945</v>
      </c>
    </row>
    <row r="457" spans="1:11" s="34" customFormat="1" ht="12.75" hidden="1">
      <c r="A457" s="46" t="s">
        <v>6</v>
      </c>
      <c r="B457" s="47" t="s">
        <v>871</v>
      </c>
      <c r="C457" s="47" t="s">
        <v>326</v>
      </c>
      <c r="D457" s="48">
        <v>0</v>
      </c>
      <c r="E457" s="48">
        <v>0</v>
      </c>
      <c r="F457" s="48">
        <v>0</v>
      </c>
      <c r="G457" s="48">
        <v>0</v>
      </c>
      <c r="H457" s="48">
        <v>0</v>
      </c>
      <c r="I457" s="49"/>
      <c r="J457" s="76">
        <f>ABS(D457)+ABS(E457)+ABS(F457)+ABS(G457)+ABS(H457)</f>
        <v>0</v>
      </c>
      <c r="K457" s="34">
        <v>1788946</v>
      </c>
    </row>
    <row r="458" spans="1:11" s="34" customFormat="1" ht="12.75" hidden="1">
      <c r="A458" s="46" t="s">
        <v>6</v>
      </c>
      <c r="B458" s="47" t="s">
        <v>872</v>
      </c>
      <c r="C458" s="47" t="s">
        <v>330</v>
      </c>
      <c r="D458" s="48">
        <v>0</v>
      </c>
      <c r="E458" s="48">
        <v>0</v>
      </c>
      <c r="F458" s="48">
        <v>0</v>
      </c>
      <c r="G458" s="48">
        <v>0</v>
      </c>
      <c r="H458" s="48">
        <v>0</v>
      </c>
      <c r="I458" s="49"/>
      <c r="J458" s="76">
        <f>ABS(D458)+ABS(E458)+ABS(F458)+ABS(G458)+ABS(H458)</f>
        <v>0</v>
      </c>
      <c r="K458" s="34">
        <v>1788947</v>
      </c>
    </row>
    <row r="459" spans="1:11" s="34" customFormat="1" ht="12.75" hidden="1">
      <c r="A459" s="46" t="s">
        <v>6</v>
      </c>
      <c r="B459" s="47" t="s">
        <v>873</v>
      </c>
      <c r="C459" s="47" t="s">
        <v>332</v>
      </c>
      <c r="D459" s="48">
        <v>0</v>
      </c>
      <c r="E459" s="48">
        <v>0</v>
      </c>
      <c r="F459" s="48">
        <v>0</v>
      </c>
      <c r="G459" s="48">
        <v>0</v>
      </c>
      <c r="H459" s="48">
        <v>0</v>
      </c>
      <c r="I459" s="49"/>
      <c r="J459" s="76">
        <f>ABS(D459)+ABS(E459)+ABS(F459)+ABS(G459)+ABS(H459)</f>
        <v>0</v>
      </c>
      <c r="K459" s="34">
        <v>1788948</v>
      </c>
    </row>
    <row r="460" spans="1:11" s="34" customFormat="1" ht="12.75" hidden="1">
      <c r="A460" s="46" t="s">
        <v>6</v>
      </c>
      <c r="B460" s="47" t="s">
        <v>874</v>
      </c>
      <c r="C460" s="47" t="s">
        <v>875</v>
      </c>
      <c r="D460" s="48">
        <v>0</v>
      </c>
      <c r="E460" s="48">
        <v>0</v>
      </c>
      <c r="F460" s="48">
        <v>0</v>
      </c>
      <c r="G460" s="48">
        <v>0</v>
      </c>
      <c r="H460" s="48">
        <v>0</v>
      </c>
      <c r="I460" s="49"/>
      <c r="J460" s="76">
        <f>ABS(D460)+ABS(E460)+ABS(F460)+ABS(G460)+ABS(H460)</f>
        <v>0</v>
      </c>
      <c r="K460" s="34">
        <v>1788949</v>
      </c>
    </row>
    <row r="461" spans="1:11" s="34" customFormat="1" ht="12.75">
      <c r="A461" s="46" t="s">
        <v>6</v>
      </c>
      <c r="B461" s="47" t="s">
        <v>876</v>
      </c>
      <c r="C461" s="47" t="s">
        <v>877</v>
      </c>
      <c r="D461" s="48">
        <v>2354.5</v>
      </c>
      <c r="E461" s="48">
        <v>3185.5</v>
      </c>
      <c r="F461" s="48">
        <v>3231.5</v>
      </c>
      <c r="G461" s="48">
        <v>3200</v>
      </c>
      <c r="H461" s="48">
        <v>3200</v>
      </c>
      <c r="I461" s="49"/>
      <c r="J461" s="76">
        <f>ABS(D461)+ABS(E461)+ABS(F461)+ABS(G461)+ABS(H461)</f>
        <v>15171.5</v>
      </c>
      <c r="K461" s="34">
        <v>1788950</v>
      </c>
    </row>
    <row r="462" spans="1:11" s="34" customFormat="1" ht="12.75">
      <c r="A462" s="46" t="s">
        <v>6</v>
      </c>
      <c r="B462" s="47" t="s">
        <v>878</v>
      </c>
      <c r="C462" s="47" t="s">
        <v>328</v>
      </c>
      <c r="D462" s="48">
        <v>6408</v>
      </c>
      <c r="E462" s="48">
        <v>6408</v>
      </c>
      <c r="F462" s="48">
        <v>6408</v>
      </c>
      <c r="G462" s="48">
        <v>6500</v>
      </c>
      <c r="H462" s="48">
        <v>6500</v>
      </c>
      <c r="I462" s="49"/>
      <c r="J462" s="76">
        <f>ABS(D462)+ABS(E462)+ABS(F462)+ABS(G462)+ABS(H462)</f>
        <v>32224</v>
      </c>
      <c r="K462" s="34">
        <v>1788951</v>
      </c>
    </row>
    <row r="463" spans="1:11" s="34" customFormat="1" ht="12.75" hidden="1">
      <c r="A463" s="46" t="s">
        <v>6</v>
      </c>
      <c r="B463" s="47" t="s">
        <v>879</v>
      </c>
      <c r="C463" s="47" t="s">
        <v>880</v>
      </c>
      <c r="D463" s="48">
        <v>0</v>
      </c>
      <c r="E463" s="48">
        <v>0</v>
      </c>
      <c r="F463" s="48">
        <v>0</v>
      </c>
      <c r="G463" s="48">
        <v>0</v>
      </c>
      <c r="H463" s="48">
        <v>0</v>
      </c>
      <c r="I463" s="49"/>
      <c r="J463" s="76">
        <f>ABS(D463)+ABS(E463)+ABS(F463)+ABS(G463)+ABS(H463)</f>
        <v>0</v>
      </c>
      <c r="K463" s="34">
        <v>1788952</v>
      </c>
    </row>
    <row r="464" spans="1:11" s="34" customFormat="1" ht="12.75" hidden="1">
      <c r="A464" s="46" t="s">
        <v>6</v>
      </c>
      <c r="B464" s="47" t="s">
        <v>881</v>
      </c>
      <c r="C464" s="47" t="s">
        <v>340</v>
      </c>
      <c r="D464" s="48">
        <v>0</v>
      </c>
      <c r="E464" s="48">
        <v>0</v>
      </c>
      <c r="F464" s="48">
        <v>0</v>
      </c>
      <c r="G464" s="48">
        <v>0</v>
      </c>
      <c r="H464" s="48">
        <v>0</v>
      </c>
      <c r="I464" s="49"/>
      <c r="J464" s="76">
        <f>ABS(D464)+ABS(E464)+ABS(F464)+ABS(G464)+ABS(H464)</f>
        <v>0</v>
      </c>
      <c r="K464" s="34">
        <v>1788953</v>
      </c>
    </row>
    <row r="465" spans="1:11" s="34" customFormat="1" ht="12.75">
      <c r="A465" s="46" t="s">
        <v>6</v>
      </c>
      <c r="B465" s="47" t="s">
        <v>882</v>
      </c>
      <c r="C465" s="47" t="s">
        <v>316</v>
      </c>
      <c r="D465" s="48">
        <v>0</v>
      </c>
      <c r="E465" s="48">
        <v>625</v>
      </c>
      <c r="F465" s="48">
        <v>0</v>
      </c>
      <c r="G465" s="48">
        <v>0</v>
      </c>
      <c r="H465" s="48">
        <v>1500</v>
      </c>
      <c r="I465" s="49"/>
      <c r="J465" s="76">
        <f>ABS(D465)+ABS(E465)+ABS(F465)+ABS(G465)+ABS(H465)</f>
        <v>2125</v>
      </c>
      <c r="K465" s="34">
        <v>1788954</v>
      </c>
    </row>
    <row r="466" spans="1:11" s="34" customFormat="1" ht="12.75" hidden="1">
      <c r="A466" s="46" t="s">
        <v>6</v>
      </c>
      <c r="B466" s="47" t="s">
        <v>883</v>
      </c>
      <c r="C466" s="47" t="s">
        <v>884</v>
      </c>
      <c r="D466" s="48">
        <v>0</v>
      </c>
      <c r="E466" s="48">
        <v>0</v>
      </c>
      <c r="F466" s="48">
        <v>0</v>
      </c>
      <c r="G466" s="48">
        <v>0</v>
      </c>
      <c r="H466" s="48">
        <v>0</v>
      </c>
      <c r="I466" s="49"/>
      <c r="J466" s="76">
        <f>ABS(D466)+ABS(E466)+ABS(F466)+ABS(G466)+ABS(H466)</f>
        <v>0</v>
      </c>
      <c r="K466" s="34">
        <v>1788955</v>
      </c>
    </row>
    <row r="467" spans="1:11" s="34" customFormat="1" ht="12.75" hidden="1">
      <c r="A467" s="46" t="s">
        <v>6</v>
      </c>
      <c r="B467" s="47" t="s">
        <v>885</v>
      </c>
      <c r="C467" s="47" t="s">
        <v>886</v>
      </c>
      <c r="D467" s="48">
        <v>0</v>
      </c>
      <c r="E467" s="48">
        <v>0</v>
      </c>
      <c r="F467" s="48">
        <v>0</v>
      </c>
      <c r="G467" s="48">
        <v>0</v>
      </c>
      <c r="H467" s="48">
        <v>0</v>
      </c>
      <c r="I467" s="49"/>
      <c r="J467" s="76">
        <f>ABS(D467)+ABS(E467)+ABS(F467)+ABS(G467)+ABS(H467)</f>
        <v>0</v>
      </c>
      <c r="K467" s="34">
        <v>1788956</v>
      </c>
    </row>
    <row r="468" spans="1:11" s="34" customFormat="1" ht="12.75">
      <c r="A468" s="46" t="s">
        <v>6</v>
      </c>
      <c r="B468" s="47" t="s">
        <v>887</v>
      </c>
      <c r="C468" s="47" t="s">
        <v>888</v>
      </c>
      <c r="D468" s="48">
        <v>1350.69</v>
      </c>
      <c r="E468" s="48">
        <v>1275.43</v>
      </c>
      <c r="F468" s="48">
        <v>229.87</v>
      </c>
      <c r="G468" s="48">
        <v>250</v>
      </c>
      <c r="H468" s="48">
        <v>1500</v>
      </c>
      <c r="I468" s="49"/>
      <c r="J468" s="76">
        <f>ABS(D468)+ABS(E468)+ABS(F468)+ABS(G468)+ABS(H468)</f>
        <v>4605.99</v>
      </c>
      <c r="K468" s="34">
        <v>1788957</v>
      </c>
    </row>
    <row r="469" spans="1:11" s="34" customFormat="1" ht="12.75" hidden="1">
      <c r="A469" s="46" t="s">
        <v>6</v>
      </c>
      <c r="B469" s="47" t="s">
        <v>889</v>
      </c>
      <c r="C469" s="47" t="s">
        <v>199</v>
      </c>
      <c r="D469" s="48">
        <v>0</v>
      </c>
      <c r="E469" s="48">
        <v>0</v>
      </c>
      <c r="F469" s="48">
        <v>0</v>
      </c>
      <c r="G469" s="48">
        <v>0</v>
      </c>
      <c r="H469" s="48">
        <v>0</v>
      </c>
      <c r="I469" s="49"/>
      <c r="J469" s="76">
        <f>ABS(D469)+ABS(E469)+ABS(F469)+ABS(G469)+ABS(H469)</f>
        <v>0</v>
      </c>
      <c r="K469" s="34">
        <v>1788958</v>
      </c>
    </row>
    <row r="470" spans="1:11" s="34" customFormat="1" ht="12.75" hidden="1">
      <c r="A470" s="46" t="s">
        <v>6</v>
      </c>
      <c r="B470" s="47" t="s">
        <v>890</v>
      </c>
      <c r="C470" s="47" t="s">
        <v>891</v>
      </c>
      <c r="D470" s="48">
        <v>0</v>
      </c>
      <c r="E470" s="48">
        <v>0</v>
      </c>
      <c r="F470" s="48">
        <v>0</v>
      </c>
      <c r="G470" s="48">
        <v>0</v>
      </c>
      <c r="H470" s="48">
        <v>0</v>
      </c>
      <c r="I470" s="49"/>
      <c r="J470" s="76">
        <f>ABS(D470)+ABS(E470)+ABS(F470)+ABS(G470)+ABS(H470)</f>
        <v>0</v>
      </c>
      <c r="K470" s="34">
        <v>1788959</v>
      </c>
    </row>
    <row r="471" spans="1:11" s="34" customFormat="1" ht="12.75" hidden="1">
      <c r="A471" s="46" t="s">
        <v>6</v>
      </c>
      <c r="B471" s="47" t="s">
        <v>892</v>
      </c>
      <c r="C471" s="47" t="s">
        <v>893</v>
      </c>
      <c r="D471" s="48">
        <v>0</v>
      </c>
      <c r="E471" s="48">
        <v>0</v>
      </c>
      <c r="F471" s="48">
        <v>0</v>
      </c>
      <c r="G471" s="48">
        <v>0</v>
      </c>
      <c r="H471" s="48">
        <v>0</v>
      </c>
      <c r="I471" s="49"/>
      <c r="J471" s="76">
        <f>ABS(D471)+ABS(E471)+ABS(F471)+ABS(G471)+ABS(H471)</f>
        <v>0</v>
      </c>
      <c r="K471" s="34">
        <v>1788960</v>
      </c>
    </row>
    <row r="472" spans="1:11" s="34" customFormat="1" ht="12.75" hidden="1">
      <c r="A472" s="46" t="s">
        <v>6</v>
      </c>
      <c r="B472" s="47" t="s">
        <v>894</v>
      </c>
      <c r="C472" s="47" t="s">
        <v>895</v>
      </c>
      <c r="D472" s="48">
        <v>0</v>
      </c>
      <c r="E472" s="48">
        <v>0</v>
      </c>
      <c r="F472" s="48">
        <v>0</v>
      </c>
      <c r="G472" s="48">
        <v>0</v>
      </c>
      <c r="H472" s="48">
        <v>0</v>
      </c>
      <c r="I472" s="49"/>
      <c r="J472" s="76">
        <f>ABS(D472)+ABS(E472)+ABS(F472)+ABS(G472)+ABS(H472)</f>
        <v>0</v>
      </c>
      <c r="K472" s="34">
        <v>1788961</v>
      </c>
    </row>
    <row r="473" spans="1:11" s="34" customFormat="1" ht="12.75" hidden="1">
      <c r="A473" s="46" t="s">
        <v>6</v>
      </c>
      <c r="B473" s="47" t="s">
        <v>896</v>
      </c>
      <c r="C473" s="47" t="s">
        <v>897</v>
      </c>
      <c r="D473" s="48">
        <v>0</v>
      </c>
      <c r="E473" s="48">
        <v>0</v>
      </c>
      <c r="F473" s="48">
        <v>0</v>
      </c>
      <c r="G473" s="48">
        <v>0</v>
      </c>
      <c r="H473" s="48">
        <v>0</v>
      </c>
      <c r="I473" s="49"/>
      <c r="J473" s="76">
        <f>ABS(D473)+ABS(E473)+ABS(F473)+ABS(G473)+ABS(H473)</f>
        <v>0</v>
      </c>
      <c r="K473" s="34">
        <v>1788962</v>
      </c>
    </row>
    <row r="474" spans="1:11" s="34" customFormat="1" ht="12.75" hidden="1">
      <c r="A474" s="46" t="s">
        <v>6</v>
      </c>
      <c r="B474" s="47" t="s">
        <v>898</v>
      </c>
      <c r="C474" s="47" t="s">
        <v>899</v>
      </c>
      <c r="D474" s="48">
        <v>0</v>
      </c>
      <c r="E474" s="48">
        <v>0</v>
      </c>
      <c r="F474" s="48">
        <v>0</v>
      </c>
      <c r="G474" s="48">
        <v>0</v>
      </c>
      <c r="H474" s="48">
        <v>0</v>
      </c>
      <c r="I474" s="49"/>
      <c r="J474" s="76">
        <f>ABS(D474)+ABS(E474)+ABS(F474)+ABS(G474)+ABS(H474)</f>
        <v>0</v>
      </c>
      <c r="K474" s="34">
        <v>1788963</v>
      </c>
    </row>
    <row r="475" spans="1:11" s="34" customFormat="1" ht="12.75" hidden="1">
      <c r="A475" s="46" t="s">
        <v>6</v>
      </c>
      <c r="B475" s="47" t="s">
        <v>900</v>
      </c>
      <c r="C475" s="47" t="s">
        <v>177</v>
      </c>
      <c r="D475" s="48">
        <v>0</v>
      </c>
      <c r="E475" s="48">
        <v>0</v>
      </c>
      <c r="F475" s="48">
        <v>0</v>
      </c>
      <c r="G475" s="48">
        <v>0</v>
      </c>
      <c r="H475" s="48">
        <v>0</v>
      </c>
      <c r="I475" s="49"/>
      <c r="J475" s="76">
        <f>ABS(D475)+ABS(E475)+ABS(F475)+ABS(G475)+ABS(H475)</f>
        <v>0</v>
      </c>
      <c r="K475" s="34">
        <v>1788964</v>
      </c>
    </row>
    <row r="476" spans="1:11" s="34" customFormat="1" ht="12.75" hidden="1">
      <c r="A476" s="46" t="s">
        <v>6</v>
      </c>
      <c r="B476" s="47" t="s">
        <v>901</v>
      </c>
      <c r="C476" s="47" t="s">
        <v>902</v>
      </c>
      <c r="D476" s="48">
        <v>0</v>
      </c>
      <c r="E476" s="48">
        <v>0</v>
      </c>
      <c r="F476" s="48">
        <v>0</v>
      </c>
      <c r="G476" s="48">
        <v>0</v>
      </c>
      <c r="H476" s="48">
        <v>0</v>
      </c>
      <c r="I476" s="49"/>
      <c r="J476" s="76">
        <f>ABS(D476)+ABS(E476)+ABS(F476)+ABS(G476)+ABS(H476)</f>
        <v>0</v>
      </c>
      <c r="K476" s="34">
        <v>1788965</v>
      </c>
    </row>
    <row r="477" spans="1:11" s="34" customFormat="1" ht="12.75" hidden="1">
      <c r="A477" s="46" t="s">
        <v>6</v>
      </c>
      <c r="B477" s="47" t="s">
        <v>903</v>
      </c>
      <c r="C477" s="47" t="s">
        <v>904</v>
      </c>
      <c r="D477" s="48">
        <v>0</v>
      </c>
      <c r="E477" s="48">
        <v>0</v>
      </c>
      <c r="F477" s="48">
        <v>0</v>
      </c>
      <c r="G477" s="48">
        <v>0</v>
      </c>
      <c r="H477" s="48">
        <v>0</v>
      </c>
      <c r="I477" s="49"/>
      <c r="J477" s="76">
        <f>ABS(D477)+ABS(E477)+ABS(F477)+ABS(G477)+ABS(H477)</f>
        <v>0</v>
      </c>
      <c r="K477" s="34">
        <v>1788966</v>
      </c>
    </row>
    <row r="478" spans="1:11" s="34" customFormat="1" ht="12.75" hidden="1">
      <c r="A478" s="46" t="s">
        <v>6</v>
      </c>
      <c r="B478" s="47" t="s">
        <v>905</v>
      </c>
      <c r="C478" s="47" t="s">
        <v>906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9"/>
      <c r="J478" s="76">
        <f>ABS(D478)+ABS(E478)+ABS(F478)+ABS(G478)+ABS(H478)</f>
        <v>0</v>
      </c>
      <c r="K478" s="34">
        <v>1788967</v>
      </c>
    </row>
    <row r="479" spans="1:11" s="34" customFormat="1" ht="12.75" hidden="1">
      <c r="A479" s="46" t="s">
        <v>6</v>
      </c>
      <c r="B479" s="47" t="s">
        <v>907</v>
      </c>
      <c r="C479" s="47" t="s">
        <v>908</v>
      </c>
      <c r="D479" s="48">
        <v>0</v>
      </c>
      <c r="E479" s="48">
        <v>0</v>
      </c>
      <c r="F479" s="48">
        <v>0</v>
      </c>
      <c r="G479" s="48">
        <v>0</v>
      </c>
      <c r="H479" s="48">
        <v>0</v>
      </c>
      <c r="I479" s="49"/>
      <c r="J479" s="76">
        <f>ABS(D479)+ABS(E479)+ABS(F479)+ABS(G479)+ABS(H479)</f>
        <v>0</v>
      </c>
      <c r="K479" s="34">
        <v>1788968</v>
      </c>
    </row>
    <row r="480" spans="1:11" s="34" customFormat="1" ht="12.75" hidden="1">
      <c r="A480" s="46" t="s">
        <v>6</v>
      </c>
      <c r="B480" s="47" t="s">
        <v>909</v>
      </c>
      <c r="C480" s="47" t="s">
        <v>910</v>
      </c>
      <c r="D480" s="48">
        <v>0</v>
      </c>
      <c r="E480" s="48">
        <v>0</v>
      </c>
      <c r="F480" s="48">
        <v>0</v>
      </c>
      <c r="G480" s="48">
        <v>0</v>
      </c>
      <c r="H480" s="48">
        <v>0</v>
      </c>
      <c r="I480" s="49"/>
      <c r="J480" s="76">
        <f>ABS(D480)+ABS(E480)+ABS(F480)+ABS(G480)+ABS(H480)</f>
        <v>0</v>
      </c>
      <c r="K480" s="34">
        <v>1788969</v>
      </c>
    </row>
    <row r="481" spans="1:11" s="34" customFormat="1" ht="12.75">
      <c r="A481" s="46" t="s">
        <v>6</v>
      </c>
      <c r="B481" s="47" t="s">
        <v>911</v>
      </c>
      <c r="C481" s="47" t="s">
        <v>912</v>
      </c>
      <c r="D481" s="48">
        <v>12955.82</v>
      </c>
      <c r="E481" s="48">
        <v>12166.02</v>
      </c>
      <c r="F481" s="48">
        <v>2072.45</v>
      </c>
      <c r="G481" s="48">
        <v>3866.66</v>
      </c>
      <c r="H481" s="48">
        <v>23200</v>
      </c>
      <c r="I481" s="49"/>
      <c r="J481" s="76">
        <f>ABS(D481)+ABS(E481)+ABS(F481)+ABS(G481)+ABS(H481)</f>
        <v>54260.95</v>
      </c>
      <c r="K481" s="34">
        <v>1788970</v>
      </c>
    </row>
    <row r="482" spans="1:11" s="34" customFormat="1" ht="12.75">
      <c r="A482" s="46" t="s">
        <v>26</v>
      </c>
      <c r="B482" s="55" t="s">
        <v>913</v>
      </c>
      <c r="C482" s="55" t="s">
        <v>914</v>
      </c>
      <c r="D482" s="56">
        <v>151915.25</v>
      </c>
      <c r="E482" s="56">
        <v>154545.51</v>
      </c>
      <c r="F482" s="56">
        <v>34510.59</v>
      </c>
      <c r="G482" s="56">
        <v>36816.66</v>
      </c>
      <c r="H482" s="56">
        <v>169100</v>
      </c>
      <c r="I482" s="57"/>
      <c r="J482" s="77">
        <f>ABS(D482)+ABS(E482)+ABS(F482)+ABS(G482)+ABS(H482)</f>
        <v>546888.01</v>
      </c>
      <c r="K482" s="34">
        <v>1788971</v>
      </c>
    </row>
    <row r="483" spans="1:10" s="34" customFormat="1" ht="12.75">
      <c r="A483" s="46"/>
      <c r="B483" s="47"/>
      <c r="C483" s="47"/>
      <c r="D483" s="48"/>
      <c r="E483" s="48"/>
      <c r="F483" s="48"/>
      <c r="G483" s="48"/>
      <c r="H483" s="48"/>
      <c r="I483" s="49"/>
      <c r="J483" s="76"/>
    </row>
    <row r="484" spans="1:11" s="34" customFormat="1" ht="12.75">
      <c r="A484" s="46" t="s">
        <v>25</v>
      </c>
      <c r="B484" s="59" t="s">
        <v>915</v>
      </c>
      <c r="C484" s="59" t="s">
        <v>916</v>
      </c>
      <c r="D484" s="60" t="s">
        <v>1</v>
      </c>
      <c r="E484" s="60" t="s">
        <v>1</v>
      </c>
      <c r="F484" s="60" t="s">
        <v>1</v>
      </c>
      <c r="G484" s="60" t="s">
        <v>1</v>
      </c>
      <c r="H484" s="60" t="s">
        <v>1</v>
      </c>
      <c r="I484" s="61"/>
      <c r="J484" s="78">
        <v>1</v>
      </c>
      <c r="K484" s="34">
        <v>1788972</v>
      </c>
    </row>
    <row r="485" spans="1:11" s="34" customFormat="1" ht="12.75">
      <c r="A485" s="46" t="s">
        <v>6</v>
      </c>
      <c r="B485" s="47" t="s">
        <v>917</v>
      </c>
      <c r="C485" s="47" t="s">
        <v>918</v>
      </c>
      <c r="D485" s="48">
        <v>309699.92</v>
      </c>
      <c r="E485" s="48">
        <v>304606.21</v>
      </c>
      <c r="F485" s="48">
        <v>51313.05</v>
      </c>
      <c r="G485" s="48">
        <v>51313.05</v>
      </c>
      <c r="H485" s="48">
        <v>300217.57</v>
      </c>
      <c r="I485" s="49"/>
      <c r="J485" s="76">
        <f>ABS(D485)+ABS(E485)+ABS(F485)+ABS(G485)+ABS(H485)</f>
        <v>1017149.8</v>
      </c>
      <c r="K485" s="34">
        <v>1788973</v>
      </c>
    </row>
    <row r="486" spans="1:11" s="34" customFormat="1" ht="12.75">
      <c r="A486" s="46" t="s">
        <v>6</v>
      </c>
      <c r="B486" s="47" t="s">
        <v>919</v>
      </c>
      <c r="C486" s="47" t="s">
        <v>920</v>
      </c>
      <c r="D486" s="48">
        <v>130319.56</v>
      </c>
      <c r="E486" s="48">
        <v>135413.27</v>
      </c>
      <c r="F486" s="48">
        <v>22023.53</v>
      </c>
      <c r="G486" s="48">
        <v>22023.53</v>
      </c>
      <c r="H486" s="48">
        <v>139801.91</v>
      </c>
      <c r="I486" s="49"/>
      <c r="J486" s="76">
        <f>ABS(D486)+ABS(E486)+ABS(F486)+ABS(G486)+ABS(H486)</f>
        <v>449581.8</v>
      </c>
      <c r="K486" s="34">
        <v>1788974</v>
      </c>
    </row>
    <row r="487" spans="1:11" s="34" customFormat="1" ht="12.75" hidden="1">
      <c r="A487" s="46" t="s">
        <v>6</v>
      </c>
      <c r="B487" s="47" t="s">
        <v>921</v>
      </c>
      <c r="C487" s="47" t="s">
        <v>922</v>
      </c>
      <c r="D487" s="48">
        <v>0</v>
      </c>
      <c r="E487" s="48">
        <v>0</v>
      </c>
      <c r="F487" s="48">
        <v>0</v>
      </c>
      <c r="G487" s="48">
        <v>0</v>
      </c>
      <c r="H487" s="48">
        <v>0</v>
      </c>
      <c r="I487" s="49"/>
      <c r="J487" s="76">
        <f>ABS(D487)+ABS(E487)+ABS(F487)+ABS(G487)+ABS(H487)</f>
        <v>0</v>
      </c>
      <c r="K487" s="34">
        <v>1788975</v>
      </c>
    </row>
    <row r="488" spans="1:11" s="34" customFormat="1" ht="12.75" hidden="1">
      <c r="A488" s="46" t="s">
        <v>6</v>
      </c>
      <c r="B488" s="47" t="s">
        <v>923</v>
      </c>
      <c r="C488" s="47" t="s">
        <v>924</v>
      </c>
      <c r="D488" s="48">
        <v>0</v>
      </c>
      <c r="E488" s="48">
        <v>0</v>
      </c>
      <c r="F488" s="48">
        <v>0</v>
      </c>
      <c r="G488" s="48">
        <v>0</v>
      </c>
      <c r="H488" s="48">
        <v>0</v>
      </c>
      <c r="I488" s="49"/>
      <c r="J488" s="76">
        <f>ABS(D488)+ABS(E488)+ABS(F488)+ABS(G488)+ABS(H488)</f>
        <v>0</v>
      </c>
      <c r="K488" s="34">
        <v>1788976</v>
      </c>
    </row>
    <row r="489" spans="1:11" s="34" customFormat="1" ht="12.75" hidden="1">
      <c r="A489" s="46" t="s">
        <v>6</v>
      </c>
      <c r="B489" s="47" t="s">
        <v>925</v>
      </c>
      <c r="C489" s="47" t="s">
        <v>926</v>
      </c>
      <c r="D489" s="48">
        <v>0</v>
      </c>
      <c r="E489" s="48">
        <v>0</v>
      </c>
      <c r="F489" s="48">
        <v>0</v>
      </c>
      <c r="G489" s="48">
        <v>0</v>
      </c>
      <c r="H489" s="48">
        <v>0</v>
      </c>
      <c r="I489" s="49"/>
      <c r="J489" s="76">
        <f>ABS(D489)+ABS(E489)+ABS(F489)+ABS(G489)+ABS(H489)</f>
        <v>0</v>
      </c>
      <c r="K489" s="34">
        <v>1788977</v>
      </c>
    </row>
    <row r="490" spans="1:11" s="34" customFormat="1" ht="12.75">
      <c r="A490" s="46" t="s">
        <v>6</v>
      </c>
      <c r="B490" s="47" t="s">
        <v>927</v>
      </c>
      <c r="C490" s="47" t="s">
        <v>928</v>
      </c>
      <c r="D490" s="48">
        <v>2500</v>
      </c>
      <c r="E490" s="48">
        <v>0</v>
      </c>
      <c r="F490" s="48">
        <v>0</v>
      </c>
      <c r="G490" s="48">
        <v>0</v>
      </c>
      <c r="H490" s="48">
        <v>0</v>
      </c>
      <c r="I490" s="49"/>
      <c r="J490" s="76">
        <f>ABS(D490)+ABS(E490)+ABS(F490)+ABS(G490)+ABS(H490)</f>
        <v>2500</v>
      </c>
      <c r="K490" s="34">
        <v>1788978</v>
      </c>
    </row>
    <row r="491" spans="1:11" s="34" customFormat="1" ht="12.75" hidden="1">
      <c r="A491" s="46" t="s">
        <v>6</v>
      </c>
      <c r="B491" s="47" t="s">
        <v>929</v>
      </c>
      <c r="C491" s="47" t="s">
        <v>930</v>
      </c>
      <c r="D491" s="48">
        <v>0</v>
      </c>
      <c r="E491" s="48">
        <v>0</v>
      </c>
      <c r="F491" s="48">
        <v>0</v>
      </c>
      <c r="G491" s="48">
        <v>0</v>
      </c>
      <c r="H491" s="48">
        <v>0</v>
      </c>
      <c r="I491" s="49"/>
      <c r="J491" s="76">
        <f>ABS(D491)+ABS(E491)+ABS(F491)+ABS(G491)+ABS(H491)</f>
        <v>0</v>
      </c>
      <c r="K491" s="34">
        <v>1788979</v>
      </c>
    </row>
    <row r="492" spans="1:11" s="34" customFormat="1" ht="12.75" hidden="1">
      <c r="A492" s="46" t="s">
        <v>6</v>
      </c>
      <c r="B492" s="47" t="s">
        <v>931</v>
      </c>
      <c r="C492" s="47" t="s">
        <v>932</v>
      </c>
      <c r="D492" s="48">
        <v>0</v>
      </c>
      <c r="E492" s="48">
        <v>0</v>
      </c>
      <c r="F492" s="48">
        <v>0</v>
      </c>
      <c r="G492" s="48">
        <v>0</v>
      </c>
      <c r="H492" s="48">
        <v>0</v>
      </c>
      <c r="I492" s="49"/>
      <c r="J492" s="76">
        <f>ABS(D492)+ABS(E492)+ABS(F492)+ABS(G492)+ABS(H492)</f>
        <v>0</v>
      </c>
      <c r="K492" s="34">
        <v>1788980</v>
      </c>
    </row>
    <row r="493" spans="1:11" s="34" customFormat="1" ht="12.75" hidden="1">
      <c r="A493" s="46" t="s">
        <v>6</v>
      </c>
      <c r="B493" s="47" t="s">
        <v>933</v>
      </c>
      <c r="C493" s="47" t="s">
        <v>934</v>
      </c>
      <c r="D493" s="48">
        <v>0</v>
      </c>
      <c r="E493" s="48">
        <v>0</v>
      </c>
      <c r="F493" s="48">
        <v>0</v>
      </c>
      <c r="G493" s="48">
        <v>0</v>
      </c>
      <c r="H493" s="48">
        <v>0</v>
      </c>
      <c r="I493" s="49"/>
      <c r="J493" s="76">
        <f>ABS(D493)+ABS(E493)+ABS(F493)+ABS(G493)+ABS(H493)</f>
        <v>0</v>
      </c>
      <c r="K493" s="34">
        <v>1788981</v>
      </c>
    </row>
    <row r="494" spans="1:11" s="34" customFormat="1" ht="12.75" hidden="1">
      <c r="A494" s="46" t="s">
        <v>6</v>
      </c>
      <c r="B494" s="47" t="s">
        <v>935</v>
      </c>
      <c r="C494" s="47" t="s">
        <v>936</v>
      </c>
      <c r="D494" s="48">
        <v>0</v>
      </c>
      <c r="E494" s="48">
        <v>0</v>
      </c>
      <c r="F494" s="48">
        <v>0</v>
      </c>
      <c r="G494" s="48">
        <v>0</v>
      </c>
      <c r="H494" s="48">
        <v>0</v>
      </c>
      <c r="I494" s="49"/>
      <c r="J494" s="76">
        <f>ABS(D494)+ABS(E494)+ABS(F494)+ABS(G494)+ABS(H494)</f>
        <v>0</v>
      </c>
      <c r="K494" s="34">
        <v>1788982</v>
      </c>
    </row>
    <row r="495" spans="1:11" s="34" customFormat="1" ht="12.75" hidden="1">
      <c r="A495" s="46" t="s">
        <v>6</v>
      </c>
      <c r="B495" s="47" t="s">
        <v>937</v>
      </c>
      <c r="C495" s="47" t="s">
        <v>938</v>
      </c>
      <c r="D495" s="48">
        <v>0</v>
      </c>
      <c r="E495" s="48">
        <v>0</v>
      </c>
      <c r="F495" s="48">
        <v>0</v>
      </c>
      <c r="G495" s="48">
        <v>0</v>
      </c>
      <c r="H495" s="48">
        <v>0</v>
      </c>
      <c r="I495" s="49"/>
      <c r="J495" s="76">
        <f>ABS(D495)+ABS(E495)+ABS(F495)+ABS(G495)+ABS(H495)</f>
        <v>0</v>
      </c>
      <c r="K495" s="34">
        <v>1788983</v>
      </c>
    </row>
    <row r="496" spans="1:11" s="34" customFormat="1" ht="12.75" hidden="1">
      <c r="A496" s="46" t="s">
        <v>6</v>
      </c>
      <c r="B496" s="47" t="s">
        <v>939</v>
      </c>
      <c r="C496" s="47" t="s">
        <v>940</v>
      </c>
      <c r="D496" s="48">
        <v>0</v>
      </c>
      <c r="E496" s="48">
        <v>0</v>
      </c>
      <c r="F496" s="48">
        <v>0</v>
      </c>
      <c r="G496" s="48">
        <v>0</v>
      </c>
      <c r="H496" s="48">
        <v>0</v>
      </c>
      <c r="I496" s="49"/>
      <c r="J496" s="76">
        <f>ABS(D496)+ABS(E496)+ABS(F496)+ABS(G496)+ABS(H496)</f>
        <v>0</v>
      </c>
      <c r="K496" s="34">
        <v>1788984</v>
      </c>
    </row>
    <row r="497" spans="1:11" s="34" customFormat="1" ht="12.75" hidden="1">
      <c r="A497" s="46" t="s">
        <v>6</v>
      </c>
      <c r="B497" s="47" t="s">
        <v>941</v>
      </c>
      <c r="C497" s="47" t="s">
        <v>942</v>
      </c>
      <c r="D497" s="48">
        <v>0</v>
      </c>
      <c r="E497" s="48">
        <v>0</v>
      </c>
      <c r="F497" s="48">
        <v>0</v>
      </c>
      <c r="G497" s="48">
        <v>0</v>
      </c>
      <c r="H497" s="48">
        <v>0</v>
      </c>
      <c r="I497" s="49"/>
      <c r="J497" s="76">
        <f>ABS(D497)+ABS(E497)+ABS(F497)+ABS(G497)+ABS(H497)</f>
        <v>0</v>
      </c>
      <c r="K497" s="34">
        <v>1788985</v>
      </c>
    </row>
    <row r="498" spans="1:11" s="34" customFormat="1" ht="12.75" hidden="1">
      <c r="A498" s="46" t="s">
        <v>6</v>
      </c>
      <c r="B498" s="47" t="s">
        <v>943</v>
      </c>
      <c r="C498" s="47" t="s">
        <v>944</v>
      </c>
      <c r="D498" s="48">
        <v>0</v>
      </c>
      <c r="E498" s="48">
        <v>0</v>
      </c>
      <c r="F498" s="48">
        <v>0</v>
      </c>
      <c r="G498" s="48">
        <v>0</v>
      </c>
      <c r="H498" s="48">
        <v>0</v>
      </c>
      <c r="I498" s="49"/>
      <c r="J498" s="76">
        <f>ABS(D498)+ABS(E498)+ABS(F498)+ABS(G498)+ABS(H498)</f>
        <v>0</v>
      </c>
      <c r="K498" s="34">
        <v>1788986</v>
      </c>
    </row>
    <row r="499" spans="1:11" s="34" customFormat="1" ht="12.75" hidden="1">
      <c r="A499" s="46" t="s">
        <v>6</v>
      </c>
      <c r="B499" s="47" t="s">
        <v>945</v>
      </c>
      <c r="C499" s="47" t="s">
        <v>946</v>
      </c>
      <c r="D499" s="48">
        <v>0</v>
      </c>
      <c r="E499" s="48">
        <v>0</v>
      </c>
      <c r="F499" s="48">
        <v>0</v>
      </c>
      <c r="G499" s="48">
        <v>0</v>
      </c>
      <c r="H499" s="48">
        <v>0</v>
      </c>
      <c r="I499" s="49"/>
      <c r="J499" s="76">
        <f>ABS(D499)+ABS(E499)+ABS(F499)+ABS(G499)+ABS(H499)</f>
        <v>0</v>
      </c>
      <c r="K499" s="34">
        <v>1788987</v>
      </c>
    </row>
    <row r="500" spans="1:11" s="34" customFormat="1" ht="12.75">
      <c r="A500" s="46" t="s">
        <v>6</v>
      </c>
      <c r="B500" s="47" t="s">
        <v>947</v>
      </c>
      <c r="C500" s="47" t="s">
        <v>948</v>
      </c>
      <c r="D500" s="48">
        <v>0</v>
      </c>
      <c r="E500" s="48">
        <v>2500</v>
      </c>
      <c r="F500" s="48">
        <v>2500</v>
      </c>
      <c r="G500" s="48">
        <v>2500</v>
      </c>
      <c r="H500" s="48">
        <v>2500</v>
      </c>
      <c r="I500" s="49"/>
      <c r="J500" s="76">
        <f>ABS(D500)+ABS(E500)+ABS(F500)+ABS(G500)+ABS(H500)</f>
        <v>10000</v>
      </c>
      <c r="K500" s="34">
        <v>1788988</v>
      </c>
    </row>
    <row r="501" spans="1:11" s="34" customFormat="1" ht="12.75" hidden="1">
      <c r="A501" s="46" t="s">
        <v>6</v>
      </c>
      <c r="B501" s="47" t="s">
        <v>949</v>
      </c>
      <c r="C501" s="47" t="s">
        <v>950</v>
      </c>
      <c r="D501" s="48">
        <v>0</v>
      </c>
      <c r="E501" s="48">
        <v>0</v>
      </c>
      <c r="F501" s="48">
        <v>0</v>
      </c>
      <c r="G501" s="48">
        <v>0</v>
      </c>
      <c r="H501" s="48">
        <v>0</v>
      </c>
      <c r="I501" s="49"/>
      <c r="J501" s="76">
        <f>ABS(D501)+ABS(E501)+ABS(F501)+ABS(G501)+ABS(H501)</f>
        <v>0</v>
      </c>
      <c r="K501" s="34">
        <v>1788989</v>
      </c>
    </row>
    <row r="502" spans="1:11" s="34" customFormat="1" ht="12.75" hidden="1">
      <c r="A502" s="46" t="s">
        <v>6</v>
      </c>
      <c r="B502" s="47" t="s">
        <v>951</v>
      </c>
      <c r="C502" s="47" t="s">
        <v>952</v>
      </c>
      <c r="D502" s="48">
        <v>0</v>
      </c>
      <c r="E502" s="48">
        <v>0</v>
      </c>
      <c r="F502" s="48">
        <v>0</v>
      </c>
      <c r="G502" s="48">
        <v>0</v>
      </c>
      <c r="H502" s="48">
        <v>0</v>
      </c>
      <c r="I502" s="49"/>
      <c r="J502" s="76">
        <f>ABS(D502)+ABS(E502)+ABS(F502)+ABS(G502)+ABS(H502)</f>
        <v>0</v>
      </c>
      <c r="K502" s="34">
        <v>1788990</v>
      </c>
    </row>
    <row r="503" spans="1:11" s="34" customFormat="1" ht="12.75">
      <c r="A503" s="46" t="s">
        <v>26</v>
      </c>
      <c r="B503" s="55" t="s">
        <v>953</v>
      </c>
      <c r="C503" s="55" t="s">
        <v>954</v>
      </c>
      <c r="D503" s="56">
        <v>442519.48</v>
      </c>
      <c r="E503" s="56">
        <v>442519.48</v>
      </c>
      <c r="F503" s="56">
        <v>75836.58</v>
      </c>
      <c r="G503" s="56">
        <v>75836.58</v>
      </c>
      <c r="H503" s="56">
        <v>442519.48</v>
      </c>
      <c r="I503" s="57"/>
      <c r="J503" s="77">
        <f>ABS(D503)+ABS(E503)+ABS(F503)+ABS(G503)+ABS(H503)</f>
        <v>1479231.6</v>
      </c>
      <c r="K503" s="34">
        <v>1788991</v>
      </c>
    </row>
    <row r="504" spans="1:11" s="34" customFormat="1" ht="12.75">
      <c r="A504" s="46" t="s">
        <v>26</v>
      </c>
      <c r="B504" s="55" t="s">
        <v>955</v>
      </c>
      <c r="C504" s="55" t="s">
        <v>956</v>
      </c>
      <c r="D504" s="56">
        <v>3382641.6</v>
      </c>
      <c r="E504" s="56">
        <v>3439967.88</v>
      </c>
      <c r="F504" s="56">
        <v>972367.18</v>
      </c>
      <c r="G504" s="56">
        <v>958975.06</v>
      </c>
      <c r="H504" s="56">
        <v>3523680.48</v>
      </c>
      <c r="I504" s="57"/>
      <c r="J504" s="77">
        <f>ABS(D504)+ABS(E504)+ABS(F504)+ABS(G504)+ABS(H504)</f>
        <v>12277632.2</v>
      </c>
      <c r="K504" s="34">
        <v>1788992</v>
      </c>
    </row>
    <row r="505" spans="1:11" s="34" customFormat="1" ht="12.75" hidden="1">
      <c r="A505" s="46" t="s">
        <v>28</v>
      </c>
      <c r="B505" s="55" t="s">
        <v>957</v>
      </c>
      <c r="C505" s="55" t="s">
        <v>695</v>
      </c>
      <c r="D505" s="56">
        <v>7606818.14</v>
      </c>
      <c r="E505" s="56">
        <v>7892203.46</v>
      </c>
      <c r="F505" s="56">
        <v>1689385.06</v>
      </c>
      <c r="G505" s="56">
        <v>1780989.38</v>
      </c>
      <c r="H505" s="56">
        <v>8123097.88</v>
      </c>
      <c r="I505" s="57"/>
      <c r="J505" s="77">
        <f>ABS(D505)+ABS(E505)+ABS(F505)+ABS(G505)+ABS(H505)</f>
        <v>27092493.92</v>
      </c>
      <c r="K505" s="34">
        <v>1788993</v>
      </c>
    </row>
    <row r="506" spans="1:11" s="34" customFormat="1" ht="12.75" hidden="1">
      <c r="A506" s="46" t="s">
        <v>28</v>
      </c>
      <c r="B506" s="55" t="s">
        <v>958</v>
      </c>
      <c r="C506" s="55" t="s">
        <v>959</v>
      </c>
      <c r="D506" s="56">
        <v>7606818.14</v>
      </c>
      <c r="E506" s="56">
        <v>7892203.46</v>
      </c>
      <c r="F506" s="56">
        <v>1689385.06</v>
      </c>
      <c r="G506" s="56">
        <v>1780989.38</v>
      </c>
      <c r="H506" s="56">
        <v>8123097.88</v>
      </c>
      <c r="I506" s="57"/>
      <c r="J506" s="77">
        <f>ABS(D506)+ABS(E506)+ABS(F506)+ABS(G506)+ABS(H506)</f>
        <v>27092493.92</v>
      </c>
      <c r="K506" s="34">
        <v>1788994</v>
      </c>
    </row>
    <row r="507" spans="1:11" s="34" customFormat="1" ht="12.75">
      <c r="A507" s="46" t="s">
        <v>27</v>
      </c>
      <c r="B507" s="55" t="s">
        <v>37</v>
      </c>
      <c r="C507" s="55" t="s">
        <v>959</v>
      </c>
      <c r="D507" s="56">
        <v>5494729.87</v>
      </c>
      <c r="E507" s="56">
        <v>5666085.67</v>
      </c>
      <c r="F507" s="56">
        <v>1330876.12</v>
      </c>
      <c r="G507" s="56">
        <v>1369982.22</v>
      </c>
      <c r="H507" s="56">
        <v>5823389.18</v>
      </c>
      <c r="I507" s="57"/>
      <c r="J507" s="77">
        <f>ABS(D507)+ABS(E507)+ABS(F507)+ABS(G507)+ABS(H507)</f>
        <v>19685063.06</v>
      </c>
      <c r="K507" s="34">
        <v>1788995</v>
      </c>
    </row>
    <row r="508" spans="1:11" s="34" customFormat="1" ht="12.75">
      <c r="A508" s="46" t="s">
        <v>29</v>
      </c>
      <c r="B508" s="55" t="s">
        <v>37</v>
      </c>
      <c r="C508" s="55" t="s">
        <v>960</v>
      </c>
      <c r="D508" s="56">
        <v>-11059.4</v>
      </c>
      <c r="E508" s="56">
        <v>-40035.99</v>
      </c>
      <c r="F508" s="56">
        <v>-358504.2</v>
      </c>
      <c r="G508" s="56">
        <v>-417993.74</v>
      </c>
      <c r="H508" s="56">
        <v>-60000.18</v>
      </c>
      <c r="I508" s="57"/>
      <c r="J508" s="77">
        <f>ABS(D508)+ABS(E508)+ABS(F508)+ABS(G508)+ABS(H508)</f>
        <v>887593.51</v>
      </c>
      <c r="K508" s="34">
        <v>1788996</v>
      </c>
    </row>
    <row r="509" spans="1:10" s="34" customFormat="1" ht="12.75">
      <c r="A509" s="46"/>
      <c r="B509" s="47"/>
      <c r="C509" s="47"/>
      <c r="D509" s="48"/>
      <c r="E509" s="48"/>
      <c r="F509" s="48"/>
      <c r="G509" s="48"/>
      <c r="H509" s="48"/>
      <c r="I509" s="49"/>
      <c r="J509" s="76"/>
    </row>
    <row r="510" spans="1:11" s="34" customFormat="1" ht="12.75">
      <c r="A510" s="46" t="s">
        <v>25</v>
      </c>
      <c r="B510" s="59" t="s">
        <v>961</v>
      </c>
      <c r="C510" s="59" t="s">
        <v>962</v>
      </c>
      <c r="D510" s="60" t="s">
        <v>1</v>
      </c>
      <c r="E510" s="60" t="s">
        <v>1</v>
      </c>
      <c r="F510" s="60" t="s">
        <v>1</v>
      </c>
      <c r="G510" s="60" t="s">
        <v>1</v>
      </c>
      <c r="H510" s="60" t="s">
        <v>1</v>
      </c>
      <c r="I510" s="61"/>
      <c r="J510" s="78">
        <v>1</v>
      </c>
      <c r="K510" s="34">
        <v>1788997</v>
      </c>
    </row>
    <row r="511" spans="1:10" s="34" customFormat="1" ht="12.75">
      <c r="A511" s="46"/>
      <c r="B511" s="47"/>
      <c r="C511" s="47"/>
      <c r="D511" s="48"/>
      <c r="E511" s="48"/>
      <c r="F511" s="48"/>
      <c r="G511" s="48"/>
      <c r="H511" s="48"/>
      <c r="I511" s="49"/>
      <c r="J511" s="76"/>
    </row>
    <row r="512" spans="1:11" s="34" customFormat="1" ht="12.75">
      <c r="A512" s="46" t="s">
        <v>10</v>
      </c>
      <c r="B512" s="59" t="s">
        <v>963</v>
      </c>
      <c r="C512" s="59" t="s">
        <v>964</v>
      </c>
      <c r="D512" s="60" t="s">
        <v>1</v>
      </c>
      <c r="E512" s="60" t="s">
        <v>1</v>
      </c>
      <c r="F512" s="60" t="s">
        <v>1</v>
      </c>
      <c r="G512" s="60" t="s">
        <v>1</v>
      </c>
      <c r="H512" s="60" t="s">
        <v>1</v>
      </c>
      <c r="I512" s="61"/>
      <c r="J512" s="78">
        <v>1</v>
      </c>
      <c r="K512" s="34">
        <v>1788998</v>
      </c>
    </row>
    <row r="513" spans="1:11" s="34" customFormat="1" ht="12.75">
      <c r="A513" s="46" t="s">
        <v>9</v>
      </c>
      <c r="B513" s="47" t="s">
        <v>965</v>
      </c>
      <c r="C513" s="47" t="s">
        <v>966</v>
      </c>
      <c r="D513" s="48">
        <v>6250</v>
      </c>
      <c r="E513" s="48">
        <v>13750</v>
      </c>
      <c r="F513" s="48">
        <v>1250</v>
      </c>
      <c r="G513" s="48">
        <v>2000</v>
      </c>
      <c r="H513" s="48">
        <v>12000</v>
      </c>
      <c r="I513" s="49"/>
      <c r="J513" s="76">
        <f>ABS(D513)+ABS(E513)+ABS(F513)+ABS(G513)+ABS(H513)</f>
        <v>35250</v>
      </c>
      <c r="K513" s="34">
        <v>1788999</v>
      </c>
    </row>
    <row r="514" spans="1:11" s="34" customFormat="1" ht="12.75" hidden="1">
      <c r="A514" s="46" t="s">
        <v>9</v>
      </c>
      <c r="B514" s="47" t="s">
        <v>967</v>
      </c>
      <c r="C514" s="47" t="s">
        <v>968</v>
      </c>
      <c r="D514" s="48">
        <v>0</v>
      </c>
      <c r="E514" s="48">
        <v>0</v>
      </c>
      <c r="F514" s="48">
        <v>0</v>
      </c>
      <c r="G514" s="48">
        <v>0</v>
      </c>
      <c r="H514" s="48">
        <v>0</v>
      </c>
      <c r="I514" s="49"/>
      <c r="J514" s="76">
        <f>ABS(D514)+ABS(E514)+ABS(F514)+ABS(G514)+ABS(H514)</f>
        <v>0</v>
      </c>
      <c r="K514" s="34">
        <v>1789000</v>
      </c>
    </row>
    <row r="515" spans="1:11" s="34" customFormat="1" ht="12.75" hidden="1">
      <c r="A515" s="46" t="s">
        <v>9</v>
      </c>
      <c r="B515" s="47" t="s">
        <v>969</v>
      </c>
      <c r="C515" s="47" t="s">
        <v>970</v>
      </c>
      <c r="D515" s="48">
        <v>0</v>
      </c>
      <c r="E515" s="48">
        <v>0</v>
      </c>
      <c r="F515" s="48">
        <v>0</v>
      </c>
      <c r="G515" s="48">
        <v>0</v>
      </c>
      <c r="H515" s="48">
        <v>0</v>
      </c>
      <c r="I515" s="49"/>
      <c r="J515" s="76">
        <f>ABS(D515)+ABS(E515)+ABS(F515)+ABS(G515)+ABS(H515)</f>
        <v>0</v>
      </c>
      <c r="K515" s="34">
        <v>1789001</v>
      </c>
    </row>
    <row r="516" spans="1:11" s="34" customFormat="1" ht="12.75">
      <c r="A516" s="46" t="s">
        <v>9</v>
      </c>
      <c r="B516" s="47" t="s">
        <v>971</v>
      </c>
      <c r="C516" s="47" t="s">
        <v>972</v>
      </c>
      <c r="D516" s="48">
        <v>327205.63</v>
      </c>
      <c r="E516" s="48">
        <v>176467.68</v>
      </c>
      <c r="F516" s="48">
        <v>2993.37</v>
      </c>
      <c r="G516" s="48">
        <v>0</v>
      </c>
      <c r="H516" s="48">
        <v>0</v>
      </c>
      <c r="I516" s="49"/>
      <c r="J516" s="76">
        <f>ABS(D516)+ABS(E516)+ABS(F516)+ABS(G516)+ABS(H516)</f>
        <v>506666.68</v>
      </c>
      <c r="K516" s="34">
        <v>1789002</v>
      </c>
    </row>
    <row r="517" spans="1:11" s="34" customFormat="1" ht="12.75" hidden="1">
      <c r="A517" s="46" t="s">
        <v>9</v>
      </c>
      <c r="B517" s="47" t="s">
        <v>973</v>
      </c>
      <c r="C517" s="47" t="s">
        <v>974</v>
      </c>
      <c r="D517" s="48">
        <v>0</v>
      </c>
      <c r="E517" s="48">
        <v>0</v>
      </c>
      <c r="F517" s="48">
        <v>0</v>
      </c>
      <c r="G517" s="48">
        <v>0</v>
      </c>
      <c r="H517" s="48">
        <v>0</v>
      </c>
      <c r="I517" s="49"/>
      <c r="J517" s="76">
        <f>ABS(D517)+ABS(E517)+ABS(F517)+ABS(G517)+ABS(H517)</f>
        <v>0</v>
      </c>
      <c r="K517" s="34">
        <v>1789003</v>
      </c>
    </row>
    <row r="518" spans="1:11" s="34" customFormat="1" ht="12.75" hidden="1">
      <c r="A518" s="46" t="s">
        <v>6</v>
      </c>
      <c r="B518" s="47" t="s">
        <v>975</v>
      </c>
      <c r="C518" s="47" t="s">
        <v>976</v>
      </c>
      <c r="D518" s="48">
        <v>0</v>
      </c>
      <c r="E518" s="48">
        <v>0</v>
      </c>
      <c r="F518" s="48">
        <v>0</v>
      </c>
      <c r="G518" s="48">
        <v>0</v>
      </c>
      <c r="H518" s="48">
        <v>0</v>
      </c>
      <c r="I518" s="49"/>
      <c r="J518" s="76">
        <f>ABS(D518)+ABS(E518)+ABS(F518)+ABS(G518)+ABS(H518)</f>
        <v>0</v>
      </c>
      <c r="K518" s="34">
        <v>1789004</v>
      </c>
    </row>
    <row r="519" spans="1:11" s="34" customFormat="1" ht="12.75" hidden="1">
      <c r="A519" s="46" t="s">
        <v>9</v>
      </c>
      <c r="B519" s="47" t="s">
        <v>977</v>
      </c>
      <c r="C519" s="47" t="s">
        <v>978</v>
      </c>
      <c r="D519" s="48">
        <v>0</v>
      </c>
      <c r="E519" s="48">
        <v>0</v>
      </c>
      <c r="F519" s="48">
        <v>0</v>
      </c>
      <c r="G519" s="48">
        <v>0</v>
      </c>
      <c r="H519" s="48">
        <v>0</v>
      </c>
      <c r="I519" s="49"/>
      <c r="J519" s="76">
        <f>ABS(D519)+ABS(E519)+ABS(F519)+ABS(G519)+ABS(H519)</f>
        <v>0</v>
      </c>
      <c r="K519" s="34">
        <v>1789005</v>
      </c>
    </row>
    <row r="520" spans="1:11" s="34" customFormat="1" ht="12.75" hidden="1">
      <c r="A520" s="46" t="s">
        <v>9</v>
      </c>
      <c r="B520" s="47" t="s">
        <v>979</v>
      </c>
      <c r="C520" s="47" t="s">
        <v>980</v>
      </c>
      <c r="D520" s="48">
        <v>0</v>
      </c>
      <c r="E520" s="48">
        <v>0</v>
      </c>
      <c r="F520" s="48">
        <v>0</v>
      </c>
      <c r="G520" s="48">
        <v>0</v>
      </c>
      <c r="H520" s="48">
        <v>0</v>
      </c>
      <c r="I520" s="49"/>
      <c r="J520" s="76">
        <f>ABS(D520)+ABS(E520)+ABS(F520)+ABS(G520)+ABS(H520)</f>
        <v>0</v>
      </c>
      <c r="K520" s="34">
        <v>1789006</v>
      </c>
    </row>
    <row r="521" spans="1:11" s="34" customFormat="1" ht="12.75" hidden="1">
      <c r="A521" s="46" t="s">
        <v>9</v>
      </c>
      <c r="B521" s="47" t="s">
        <v>981</v>
      </c>
      <c r="C521" s="47" t="s">
        <v>982</v>
      </c>
      <c r="D521" s="48">
        <v>0</v>
      </c>
      <c r="E521" s="48">
        <v>0</v>
      </c>
      <c r="F521" s="48">
        <v>0</v>
      </c>
      <c r="G521" s="48">
        <v>0</v>
      </c>
      <c r="H521" s="48">
        <v>0</v>
      </c>
      <c r="I521" s="49"/>
      <c r="J521" s="76">
        <f>ABS(D521)+ABS(E521)+ABS(F521)+ABS(G521)+ABS(H521)</f>
        <v>0</v>
      </c>
      <c r="K521" s="34">
        <v>1789007</v>
      </c>
    </row>
    <row r="522" spans="1:11" s="34" customFormat="1" ht="12.75">
      <c r="A522" s="46" t="s">
        <v>9</v>
      </c>
      <c r="B522" s="47" t="s">
        <v>983</v>
      </c>
      <c r="C522" s="47" t="s">
        <v>984</v>
      </c>
      <c r="D522" s="48">
        <v>38475</v>
      </c>
      <c r="E522" s="48">
        <v>0</v>
      </c>
      <c r="F522" s="48">
        <v>0</v>
      </c>
      <c r="G522" s="48">
        <v>0</v>
      </c>
      <c r="H522" s="48">
        <v>0</v>
      </c>
      <c r="I522" s="49"/>
      <c r="J522" s="76">
        <f>ABS(D522)+ABS(E522)+ABS(F522)+ABS(G522)+ABS(H522)</f>
        <v>38475</v>
      </c>
      <c r="K522" s="34">
        <v>1789008</v>
      </c>
    </row>
    <row r="523" spans="1:11" s="34" customFormat="1" ht="12.75">
      <c r="A523" s="46" t="s">
        <v>23</v>
      </c>
      <c r="B523" s="55" t="s">
        <v>985</v>
      </c>
      <c r="C523" s="55" t="s">
        <v>986</v>
      </c>
      <c r="D523" s="56">
        <v>371930.63</v>
      </c>
      <c r="E523" s="56">
        <v>190217.68</v>
      </c>
      <c r="F523" s="56">
        <v>4243.37</v>
      </c>
      <c r="G523" s="56">
        <v>2000</v>
      </c>
      <c r="H523" s="56">
        <v>12000</v>
      </c>
      <c r="I523" s="57"/>
      <c r="J523" s="77">
        <f>ABS(D523)+ABS(E523)+ABS(F523)+ABS(G523)+ABS(H523)</f>
        <v>580391.68</v>
      </c>
      <c r="K523" s="34">
        <v>1789009</v>
      </c>
    </row>
    <row r="524" spans="1:10" s="34" customFormat="1" ht="12.75">
      <c r="A524" s="46"/>
      <c r="B524" s="47"/>
      <c r="C524" s="47"/>
      <c r="D524" s="48"/>
      <c r="E524" s="48"/>
      <c r="F524" s="48"/>
      <c r="G524" s="48"/>
      <c r="H524" s="48"/>
      <c r="I524" s="49"/>
      <c r="J524" s="76"/>
    </row>
    <row r="525" spans="1:11" s="34" customFormat="1" ht="12.75">
      <c r="A525" s="46" t="s">
        <v>25</v>
      </c>
      <c r="B525" s="59" t="s">
        <v>987</v>
      </c>
      <c r="C525" s="59" t="s">
        <v>988</v>
      </c>
      <c r="D525" s="60" t="s">
        <v>1</v>
      </c>
      <c r="E525" s="60" t="s">
        <v>1</v>
      </c>
      <c r="F525" s="60" t="s">
        <v>1</v>
      </c>
      <c r="G525" s="60" t="s">
        <v>1</v>
      </c>
      <c r="H525" s="60" t="s">
        <v>1</v>
      </c>
      <c r="I525" s="61"/>
      <c r="J525" s="78">
        <v>1</v>
      </c>
      <c r="K525" s="34">
        <v>1789010</v>
      </c>
    </row>
    <row r="526" spans="1:11" s="34" customFormat="1" ht="12.75" hidden="1">
      <c r="A526" s="46" t="s">
        <v>6</v>
      </c>
      <c r="B526" s="47" t="s">
        <v>989</v>
      </c>
      <c r="C526" s="47" t="s">
        <v>990</v>
      </c>
      <c r="D526" s="48">
        <v>0</v>
      </c>
      <c r="E526" s="48">
        <v>0</v>
      </c>
      <c r="F526" s="48">
        <v>0</v>
      </c>
      <c r="G526" s="48">
        <v>0</v>
      </c>
      <c r="H526" s="48">
        <v>0</v>
      </c>
      <c r="I526" s="49"/>
      <c r="J526" s="76">
        <f>ABS(D526)+ABS(E526)+ABS(F526)+ABS(G526)+ABS(H526)</f>
        <v>0</v>
      </c>
      <c r="K526" s="34">
        <v>1789011</v>
      </c>
    </row>
    <row r="527" spans="1:11" s="34" customFormat="1" ht="12.75" hidden="1">
      <c r="A527" s="46" t="s">
        <v>6</v>
      </c>
      <c r="B527" s="47" t="s">
        <v>991</v>
      </c>
      <c r="C527" s="47" t="s">
        <v>992</v>
      </c>
      <c r="D527" s="48">
        <v>0</v>
      </c>
      <c r="E527" s="48">
        <v>0</v>
      </c>
      <c r="F527" s="48">
        <v>0</v>
      </c>
      <c r="G527" s="48">
        <v>0</v>
      </c>
      <c r="H527" s="48">
        <v>0</v>
      </c>
      <c r="I527" s="49"/>
      <c r="J527" s="76">
        <f>ABS(D527)+ABS(E527)+ABS(F527)+ABS(G527)+ABS(H527)</f>
        <v>0</v>
      </c>
      <c r="K527" s="34">
        <v>1789012</v>
      </c>
    </row>
    <row r="528" spans="1:11" s="34" customFormat="1" ht="12.75" hidden="1">
      <c r="A528" s="46" t="s">
        <v>6</v>
      </c>
      <c r="B528" s="47" t="s">
        <v>993</v>
      </c>
      <c r="C528" s="47" t="s">
        <v>994</v>
      </c>
      <c r="D528" s="48">
        <v>0</v>
      </c>
      <c r="E528" s="48">
        <v>0</v>
      </c>
      <c r="F528" s="48">
        <v>0</v>
      </c>
      <c r="G528" s="48">
        <v>0</v>
      </c>
      <c r="H528" s="48">
        <v>0</v>
      </c>
      <c r="I528" s="49"/>
      <c r="J528" s="76">
        <f>ABS(D528)+ABS(E528)+ABS(F528)+ABS(G528)+ABS(H528)</f>
        <v>0</v>
      </c>
      <c r="K528" s="34">
        <v>1789013</v>
      </c>
    </row>
    <row r="529" spans="1:11" s="34" customFormat="1" ht="12.75" hidden="1">
      <c r="A529" s="46" t="s">
        <v>6</v>
      </c>
      <c r="B529" s="47" t="s">
        <v>995</v>
      </c>
      <c r="C529" s="47" t="s">
        <v>996</v>
      </c>
      <c r="D529" s="48">
        <v>0</v>
      </c>
      <c r="E529" s="48">
        <v>0</v>
      </c>
      <c r="F529" s="48">
        <v>0</v>
      </c>
      <c r="G529" s="48">
        <v>0</v>
      </c>
      <c r="H529" s="48">
        <v>0</v>
      </c>
      <c r="I529" s="49"/>
      <c r="J529" s="76">
        <f>ABS(D529)+ABS(E529)+ABS(F529)+ABS(G529)+ABS(H529)</f>
        <v>0</v>
      </c>
      <c r="K529" s="34">
        <v>1789014</v>
      </c>
    </row>
    <row r="530" spans="1:11" s="34" customFormat="1" ht="12.75" hidden="1">
      <c r="A530" s="46" t="s">
        <v>6</v>
      </c>
      <c r="B530" s="47" t="s">
        <v>997</v>
      </c>
      <c r="C530" s="47" t="s">
        <v>998</v>
      </c>
      <c r="D530" s="48">
        <v>0</v>
      </c>
      <c r="E530" s="48">
        <v>0</v>
      </c>
      <c r="F530" s="48">
        <v>0</v>
      </c>
      <c r="G530" s="48">
        <v>0</v>
      </c>
      <c r="H530" s="48">
        <v>0</v>
      </c>
      <c r="I530" s="49"/>
      <c r="J530" s="76">
        <f>ABS(D530)+ABS(E530)+ABS(F530)+ABS(G530)+ABS(H530)</f>
        <v>0</v>
      </c>
      <c r="K530" s="34">
        <v>1789015</v>
      </c>
    </row>
    <row r="531" spans="1:11" s="34" customFormat="1" ht="12.75">
      <c r="A531" s="46" t="s">
        <v>6</v>
      </c>
      <c r="B531" s="47" t="s">
        <v>999</v>
      </c>
      <c r="C531" s="47" t="s">
        <v>1000</v>
      </c>
      <c r="D531" s="48">
        <v>21880</v>
      </c>
      <c r="E531" s="48">
        <v>0</v>
      </c>
      <c r="F531" s="48">
        <v>0</v>
      </c>
      <c r="G531" s="48">
        <v>0</v>
      </c>
      <c r="H531" s="48">
        <v>0</v>
      </c>
      <c r="I531" s="49"/>
      <c r="J531" s="76">
        <f>ABS(D531)+ABS(E531)+ABS(F531)+ABS(G531)+ABS(H531)</f>
        <v>21880</v>
      </c>
      <c r="K531" s="34">
        <v>1789016</v>
      </c>
    </row>
    <row r="532" spans="1:11" s="34" customFormat="1" ht="12.75" hidden="1">
      <c r="A532" s="46" t="s">
        <v>6</v>
      </c>
      <c r="B532" s="47" t="s">
        <v>1001</v>
      </c>
      <c r="C532" s="47" t="s">
        <v>1002</v>
      </c>
      <c r="D532" s="48">
        <v>0</v>
      </c>
      <c r="E532" s="48">
        <v>0</v>
      </c>
      <c r="F532" s="48">
        <v>0</v>
      </c>
      <c r="G532" s="48">
        <v>0</v>
      </c>
      <c r="H532" s="48">
        <v>0</v>
      </c>
      <c r="I532" s="49"/>
      <c r="J532" s="76">
        <f>ABS(D532)+ABS(E532)+ABS(F532)+ABS(G532)+ABS(H532)</f>
        <v>0</v>
      </c>
      <c r="K532" s="34">
        <v>1789017</v>
      </c>
    </row>
    <row r="533" spans="1:11" s="34" customFormat="1" ht="12.75">
      <c r="A533" s="46" t="s">
        <v>6</v>
      </c>
      <c r="B533" s="47" t="s">
        <v>1003</v>
      </c>
      <c r="C533" s="47" t="s">
        <v>1004</v>
      </c>
      <c r="D533" s="48">
        <v>44000</v>
      </c>
      <c r="E533" s="48">
        <v>6459.12</v>
      </c>
      <c r="F533" s="48">
        <v>0</v>
      </c>
      <c r="G533" s="48">
        <v>0</v>
      </c>
      <c r="H533" s="48">
        <v>0</v>
      </c>
      <c r="I533" s="49"/>
      <c r="J533" s="76">
        <f>ABS(D533)+ABS(E533)+ABS(F533)+ABS(G533)+ABS(H533)</f>
        <v>50459.12</v>
      </c>
      <c r="K533" s="34">
        <v>1789018</v>
      </c>
    </row>
    <row r="534" spans="1:11" s="34" customFormat="1" ht="12.75">
      <c r="A534" s="46" t="s">
        <v>6</v>
      </c>
      <c r="B534" s="47" t="s">
        <v>1005</v>
      </c>
      <c r="C534" s="47" t="s">
        <v>1006</v>
      </c>
      <c r="D534" s="48">
        <v>0</v>
      </c>
      <c r="E534" s="48">
        <v>17376.46</v>
      </c>
      <c r="F534" s="48">
        <v>0</v>
      </c>
      <c r="G534" s="48">
        <v>0</v>
      </c>
      <c r="H534" s="48">
        <v>0</v>
      </c>
      <c r="I534" s="49"/>
      <c r="J534" s="76">
        <f>ABS(D534)+ABS(E534)+ABS(F534)+ABS(G534)+ABS(H534)</f>
        <v>17376.46</v>
      </c>
      <c r="K534" s="34">
        <v>1789019</v>
      </c>
    </row>
    <row r="535" spans="1:11" s="34" customFormat="1" ht="12.75">
      <c r="A535" s="46" t="s">
        <v>6</v>
      </c>
      <c r="B535" s="47" t="s">
        <v>1007</v>
      </c>
      <c r="C535" s="47" t="s">
        <v>1008</v>
      </c>
      <c r="D535" s="48">
        <v>0</v>
      </c>
      <c r="E535" s="48">
        <v>5089.91</v>
      </c>
      <c r="F535" s="48">
        <v>0</v>
      </c>
      <c r="G535" s="48">
        <v>0</v>
      </c>
      <c r="H535" s="48">
        <v>0</v>
      </c>
      <c r="I535" s="49"/>
      <c r="J535" s="76">
        <f>ABS(D535)+ABS(E535)+ABS(F535)+ABS(G535)+ABS(H535)</f>
        <v>5089.91</v>
      </c>
      <c r="K535" s="34">
        <v>1789020</v>
      </c>
    </row>
    <row r="536" spans="1:11" s="34" customFormat="1" ht="12.75" hidden="1">
      <c r="A536" s="46" t="s">
        <v>6</v>
      </c>
      <c r="B536" s="47" t="s">
        <v>1009</v>
      </c>
      <c r="C536" s="47" t="s">
        <v>1010</v>
      </c>
      <c r="D536" s="48">
        <v>0</v>
      </c>
      <c r="E536" s="48">
        <v>0</v>
      </c>
      <c r="F536" s="48">
        <v>0</v>
      </c>
      <c r="G536" s="48">
        <v>0</v>
      </c>
      <c r="H536" s="48">
        <v>0</v>
      </c>
      <c r="I536" s="49"/>
      <c r="J536" s="76">
        <f>ABS(D536)+ABS(E536)+ABS(F536)+ABS(G536)+ABS(H536)</f>
        <v>0</v>
      </c>
      <c r="K536" s="34">
        <v>1789021</v>
      </c>
    </row>
    <row r="537" spans="1:11" s="34" customFormat="1" ht="12.75" hidden="1">
      <c r="A537" s="46" t="s">
        <v>6</v>
      </c>
      <c r="B537" s="47" t="s">
        <v>1011</v>
      </c>
      <c r="C537" s="47" t="s">
        <v>1012</v>
      </c>
      <c r="D537" s="48">
        <v>0</v>
      </c>
      <c r="E537" s="48">
        <v>0</v>
      </c>
      <c r="F537" s="48">
        <v>0</v>
      </c>
      <c r="G537" s="48">
        <v>0</v>
      </c>
      <c r="H537" s="48">
        <v>0</v>
      </c>
      <c r="I537" s="49"/>
      <c r="J537" s="76">
        <f>ABS(D537)+ABS(E537)+ABS(F537)+ABS(G537)+ABS(H537)</f>
        <v>0</v>
      </c>
      <c r="K537" s="34">
        <v>1789022</v>
      </c>
    </row>
    <row r="538" spans="1:11" s="34" customFormat="1" ht="12.75">
      <c r="A538" s="46" t="s">
        <v>6</v>
      </c>
      <c r="B538" s="47" t="s">
        <v>1013</v>
      </c>
      <c r="C538" s="47" t="s">
        <v>1014</v>
      </c>
      <c r="D538" s="48">
        <v>52607.03</v>
      </c>
      <c r="E538" s="48">
        <v>44962.6</v>
      </c>
      <c r="F538" s="48">
        <v>0</v>
      </c>
      <c r="G538" s="48">
        <v>0</v>
      </c>
      <c r="H538" s="48">
        <v>0</v>
      </c>
      <c r="I538" s="49"/>
      <c r="J538" s="76">
        <f>ABS(D538)+ABS(E538)+ABS(F538)+ABS(G538)+ABS(H538)</f>
        <v>97569.63</v>
      </c>
      <c r="K538" s="34">
        <v>1789023</v>
      </c>
    </row>
    <row r="539" spans="1:11" s="34" customFormat="1" ht="12.75" hidden="1">
      <c r="A539" s="46" t="s">
        <v>6</v>
      </c>
      <c r="B539" s="47" t="s">
        <v>1015</v>
      </c>
      <c r="C539" s="47" t="s">
        <v>1016</v>
      </c>
      <c r="D539" s="48">
        <v>0</v>
      </c>
      <c r="E539" s="48">
        <v>0</v>
      </c>
      <c r="F539" s="48">
        <v>0</v>
      </c>
      <c r="G539" s="48">
        <v>0</v>
      </c>
      <c r="H539" s="48">
        <v>0</v>
      </c>
      <c r="I539" s="49"/>
      <c r="J539" s="76">
        <f>ABS(D539)+ABS(E539)+ABS(F539)+ABS(G539)+ABS(H539)</f>
        <v>0</v>
      </c>
      <c r="K539" s="34">
        <v>1789024</v>
      </c>
    </row>
    <row r="540" spans="1:11" s="34" customFormat="1" ht="12.75" hidden="1">
      <c r="A540" s="46" t="s">
        <v>6</v>
      </c>
      <c r="B540" s="47" t="s">
        <v>1017</v>
      </c>
      <c r="C540" s="47" t="s">
        <v>1018</v>
      </c>
      <c r="D540" s="48">
        <v>0</v>
      </c>
      <c r="E540" s="48">
        <v>0</v>
      </c>
      <c r="F540" s="48">
        <v>0</v>
      </c>
      <c r="G540" s="48">
        <v>0</v>
      </c>
      <c r="H540" s="48">
        <v>0</v>
      </c>
      <c r="I540" s="49"/>
      <c r="J540" s="76">
        <f>ABS(D540)+ABS(E540)+ABS(F540)+ABS(G540)+ABS(H540)</f>
        <v>0</v>
      </c>
      <c r="K540" s="34">
        <v>1789025</v>
      </c>
    </row>
    <row r="541" spans="1:11" s="34" customFormat="1" ht="12.75" hidden="1">
      <c r="A541" s="46" t="s">
        <v>6</v>
      </c>
      <c r="B541" s="47" t="s">
        <v>1019</v>
      </c>
      <c r="C541" s="47" t="s">
        <v>1020</v>
      </c>
      <c r="D541" s="48">
        <v>0</v>
      </c>
      <c r="E541" s="48">
        <v>0</v>
      </c>
      <c r="F541" s="48">
        <v>0</v>
      </c>
      <c r="G541" s="48">
        <v>0</v>
      </c>
      <c r="H541" s="48">
        <v>0</v>
      </c>
      <c r="I541" s="49"/>
      <c r="J541" s="76">
        <f>ABS(D541)+ABS(E541)+ABS(F541)+ABS(G541)+ABS(H541)</f>
        <v>0</v>
      </c>
      <c r="K541" s="34">
        <v>1789026</v>
      </c>
    </row>
    <row r="542" spans="1:11" s="34" customFormat="1" ht="12.75" hidden="1">
      <c r="A542" s="46" t="s">
        <v>6</v>
      </c>
      <c r="B542" s="47" t="s">
        <v>1021</v>
      </c>
      <c r="C542" s="47" t="s">
        <v>1022</v>
      </c>
      <c r="D542" s="48">
        <v>0</v>
      </c>
      <c r="E542" s="48">
        <v>0</v>
      </c>
      <c r="F542" s="48">
        <v>0</v>
      </c>
      <c r="G542" s="48">
        <v>0</v>
      </c>
      <c r="H542" s="48">
        <v>0</v>
      </c>
      <c r="I542" s="49"/>
      <c r="J542" s="76">
        <f>ABS(D542)+ABS(E542)+ABS(F542)+ABS(G542)+ABS(H542)</f>
        <v>0</v>
      </c>
      <c r="K542" s="34">
        <v>1789027</v>
      </c>
    </row>
    <row r="543" spans="1:11" s="34" customFormat="1" ht="12.75" hidden="1">
      <c r="A543" s="46" t="s">
        <v>6</v>
      </c>
      <c r="B543" s="47" t="s">
        <v>1023</v>
      </c>
      <c r="C543" s="47" t="s">
        <v>1024</v>
      </c>
      <c r="D543" s="48">
        <v>0</v>
      </c>
      <c r="E543" s="48">
        <v>0</v>
      </c>
      <c r="F543" s="48">
        <v>0</v>
      </c>
      <c r="G543" s="48">
        <v>0</v>
      </c>
      <c r="H543" s="48">
        <v>0</v>
      </c>
      <c r="I543" s="49"/>
      <c r="J543" s="76">
        <f>ABS(D543)+ABS(E543)+ABS(F543)+ABS(G543)+ABS(H543)</f>
        <v>0</v>
      </c>
      <c r="K543" s="34">
        <v>1789028</v>
      </c>
    </row>
    <row r="544" spans="1:11" s="34" customFormat="1" ht="12.75" hidden="1">
      <c r="A544" s="46" t="s">
        <v>6</v>
      </c>
      <c r="B544" s="47" t="s">
        <v>1025</v>
      </c>
      <c r="C544" s="47" t="s">
        <v>1026</v>
      </c>
      <c r="D544" s="48">
        <v>0</v>
      </c>
      <c r="E544" s="48">
        <v>0</v>
      </c>
      <c r="F544" s="48">
        <v>0</v>
      </c>
      <c r="G544" s="48">
        <v>0</v>
      </c>
      <c r="H544" s="48">
        <v>0</v>
      </c>
      <c r="I544" s="49"/>
      <c r="J544" s="76">
        <f>ABS(D544)+ABS(E544)+ABS(F544)+ABS(G544)+ABS(H544)</f>
        <v>0</v>
      </c>
      <c r="K544" s="34">
        <v>1789029</v>
      </c>
    </row>
    <row r="545" spans="1:11" s="34" customFormat="1" ht="12.75" hidden="1">
      <c r="A545" s="46" t="s">
        <v>6</v>
      </c>
      <c r="B545" s="47" t="s">
        <v>1027</v>
      </c>
      <c r="C545" s="47" t="s">
        <v>1028</v>
      </c>
      <c r="D545" s="48">
        <v>0</v>
      </c>
      <c r="E545" s="48">
        <v>0</v>
      </c>
      <c r="F545" s="48">
        <v>0</v>
      </c>
      <c r="G545" s="48">
        <v>0</v>
      </c>
      <c r="H545" s="48">
        <v>0</v>
      </c>
      <c r="I545" s="49"/>
      <c r="J545" s="76">
        <f>ABS(D545)+ABS(E545)+ABS(F545)+ABS(G545)+ABS(H545)</f>
        <v>0</v>
      </c>
      <c r="K545" s="34">
        <v>1789030</v>
      </c>
    </row>
    <row r="546" spans="1:11" s="34" customFormat="1" ht="12.75" hidden="1">
      <c r="A546" s="46" t="s">
        <v>6</v>
      </c>
      <c r="B546" s="47" t="s">
        <v>1029</v>
      </c>
      <c r="C546" s="47" t="s">
        <v>1030</v>
      </c>
      <c r="D546" s="48">
        <v>0</v>
      </c>
      <c r="E546" s="48">
        <v>0</v>
      </c>
      <c r="F546" s="48">
        <v>0</v>
      </c>
      <c r="G546" s="48">
        <v>0</v>
      </c>
      <c r="H546" s="48">
        <v>0</v>
      </c>
      <c r="I546" s="49"/>
      <c r="J546" s="76">
        <f>ABS(D546)+ABS(E546)+ABS(F546)+ABS(G546)+ABS(H546)</f>
        <v>0</v>
      </c>
      <c r="K546" s="34">
        <v>1789031</v>
      </c>
    </row>
    <row r="547" spans="1:11" s="34" customFormat="1" ht="12.75" hidden="1">
      <c r="A547" s="46" t="s">
        <v>6</v>
      </c>
      <c r="B547" s="47" t="s">
        <v>1031</v>
      </c>
      <c r="C547" s="47" t="s">
        <v>1032</v>
      </c>
      <c r="D547" s="48">
        <v>0</v>
      </c>
      <c r="E547" s="48">
        <v>0</v>
      </c>
      <c r="F547" s="48">
        <v>0</v>
      </c>
      <c r="G547" s="48">
        <v>0</v>
      </c>
      <c r="H547" s="48">
        <v>0</v>
      </c>
      <c r="I547" s="49"/>
      <c r="J547" s="76">
        <f>ABS(D547)+ABS(E547)+ABS(F547)+ABS(G547)+ABS(H547)</f>
        <v>0</v>
      </c>
      <c r="K547" s="34">
        <v>1789032</v>
      </c>
    </row>
    <row r="548" spans="1:11" s="34" customFormat="1" ht="12.75">
      <c r="A548" s="46" t="s">
        <v>6</v>
      </c>
      <c r="B548" s="47" t="s">
        <v>1033</v>
      </c>
      <c r="C548" s="47" t="s">
        <v>1034</v>
      </c>
      <c r="D548" s="48">
        <v>11812.93</v>
      </c>
      <c r="E548" s="48">
        <v>0</v>
      </c>
      <c r="F548" s="48">
        <v>0</v>
      </c>
      <c r="G548" s="48">
        <v>0</v>
      </c>
      <c r="H548" s="48">
        <v>0</v>
      </c>
      <c r="I548" s="49"/>
      <c r="J548" s="76">
        <f>ABS(D548)+ABS(E548)+ABS(F548)+ABS(G548)+ABS(H548)</f>
        <v>11812.93</v>
      </c>
      <c r="K548" s="34">
        <v>1789033</v>
      </c>
    </row>
    <row r="549" spans="1:11" s="34" customFormat="1" ht="12.75" hidden="1">
      <c r="A549" s="46" t="s">
        <v>6</v>
      </c>
      <c r="B549" s="47" t="s">
        <v>1035</v>
      </c>
      <c r="C549" s="47" t="s">
        <v>1036</v>
      </c>
      <c r="D549" s="48">
        <v>0</v>
      </c>
      <c r="E549" s="48">
        <v>0</v>
      </c>
      <c r="F549" s="48">
        <v>0</v>
      </c>
      <c r="G549" s="48">
        <v>0</v>
      </c>
      <c r="H549" s="48">
        <v>0</v>
      </c>
      <c r="I549" s="49"/>
      <c r="J549" s="76">
        <f>ABS(D549)+ABS(E549)+ABS(F549)+ABS(G549)+ABS(H549)</f>
        <v>0</v>
      </c>
      <c r="K549" s="34">
        <v>1789034</v>
      </c>
    </row>
    <row r="550" spans="1:11" s="34" customFormat="1" ht="12.75" hidden="1">
      <c r="A550" s="46" t="s">
        <v>6</v>
      </c>
      <c r="B550" s="47" t="s">
        <v>1037</v>
      </c>
      <c r="C550" s="47" t="s">
        <v>1038</v>
      </c>
      <c r="D550" s="48">
        <v>0</v>
      </c>
      <c r="E550" s="48">
        <v>0</v>
      </c>
      <c r="F550" s="48">
        <v>0</v>
      </c>
      <c r="G550" s="48">
        <v>0</v>
      </c>
      <c r="H550" s="48">
        <v>0</v>
      </c>
      <c r="I550" s="49"/>
      <c r="J550" s="76">
        <f>ABS(D550)+ABS(E550)+ABS(F550)+ABS(G550)+ABS(H550)</f>
        <v>0</v>
      </c>
      <c r="K550" s="34">
        <v>1789035</v>
      </c>
    </row>
    <row r="551" spans="1:11" s="34" customFormat="1" ht="12.75" hidden="1">
      <c r="A551" s="46" t="s">
        <v>6</v>
      </c>
      <c r="B551" s="47" t="s">
        <v>1039</v>
      </c>
      <c r="C551" s="47" t="s">
        <v>1040</v>
      </c>
      <c r="D551" s="48">
        <v>0</v>
      </c>
      <c r="E551" s="48">
        <v>0</v>
      </c>
      <c r="F551" s="48">
        <v>0</v>
      </c>
      <c r="G551" s="48">
        <v>0</v>
      </c>
      <c r="H551" s="48">
        <v>0</v>
      </c>
      <c r="I551" s="49"/>
      <c r="J551" s="76">
        <f>ABS(D551)+ABS(E551)+ABS(F551)+ABS(G551)+ABS(H551)</f>
        <v>0</v>
      </c>
      <c r="K551" s="34">
        <v>1789036</v>
      </c>
    </row>
    <row r="552" spans="1:11" s="34" customFormat="1" ht="12.75" hidden="1">
      <c r="A552" s="46" t="s">
        <v>6</v>
      </c>
      <c r="B552" s="47" t="s">
        <v>1041</v>
      </c>
      <c r="C552" s="47" t="s">
        <v>1042</v>
      </c>
      <c r="D552" s="48">
        <v>0</v>
      </c>
      <c r="E552" s="48">
        <v>0</v>
      </c>
      <c r="F552" s="48">
        <v>0</v>
      </c>
      <c r="G552" s="48">
        <v>0</v>
      </c>
      <c r="H552" s="48">
        <v>0</v>
      </c>
      <c r="I552" s="49"/>
      <c r="J552" s="76">
        <f>ABS(D552)+ABS(E552)+ABS(F552)+ABS(G552)+ABS(H552)</f>
        <v>0</v>
      </c>
      <c r="K552" s="34">
        <v>1789037</v>
      </c>
    </row>
    <row r="553" spans="1:11" s="34" customFormat="1" ht="12.75">
      <c r="A553" s="46" t="s">
        <v>6</v>
      </c>
      <c r="B553" s="47" t="s">
        <v>1043</v>
      </c>
      <c r="C553" s="47" t="s">
        <v>1044</v>
      </c>
      <c r="D553" s="48">
        <v>9839.58</v>
      </c>
      <c r="E553" s="48">
        <v>0</v>
      </c>
      <c r="F553" s="48">
        <v>0</v>
      </c>
      <c r="G553" s="48">
        <v>0</v>
      </c>
      <c r="H553" s="48">
        <v>0</v>
      </c>
      <c r="I553" s="49"/>
      <c r="J553" s="76">
        <f>ABS(D553)+ABS(E553)+ABS(F553)+ABS(G553)+ABS(H553)</f>
        <v>9839.58</v>
      </c>
      <c r="K553" s="34">
        <v>1789038</v>
      </c>
    </row>
    <row r="554" spans="1:11" s="34" customFormat="1" ht="12.75" hidden="1">
      <c r="A554" s="46" t="s">
        <v>6</v>
      </c>
      <c r="B554" s="47" t="s">
        <v>1045</v>
      </c>
      <c r="C554" s="47" t="s">
        <v>1046</v>
      </c>
      <c r="D554" s="48">
        <v>0</v>
      </c>
      <c r="E554" s="48">
        <v>0</v>
      </c>
      <c r="F554" s="48">
        <v>0</v>
      </c>
      <c r="G554" s="48">
        <v>0</v>
      </c>
      <c r="H554" s="48">
        <v>0</v>
      </c>
      <c r="I554" s="49"/>
      <c r="J554" s="76">
        <f>ABS(D554)+ABS(E554)+ABS(F554)+ABS(G554)+ABS(H554)</f>
        <v>0</v>
      </c>
      <c r="K554" s="34">
        <v>1789039</v>
      </c>
    </row>
    <row r="555" spans="1:11" s="34" customFormat="1" ht="12.75">
      <c r="A555" s="46" t="s">
        <v>6</v>
      </c>
      <c r="B555" s="47" t="s">
        <v>1047</v>
      </c>
      <c r="C555" s="47" t="s">
        <v>1048</v>
      </c>
      <c r="D555" s="48">
        <v>4940.2</v>
      </c>
      <c r="E555" s="48">
        <v>0</v>
      </c>
      <c r="F555" s="48">
        <v>0</v>
      </c>
      <c r="G555" s="48">
        <v>0</v>
      </c>
      <c r="H555" s="48">
        <v>0</v>
      </c>
      <c r="I555" s="49"/>
      <c r="J555" s="76">
        <f>ABS(D555)+ABS(E555)+ABS(F555)+ABS(G555)+ABS(H555)</f>
        <v>4940.2</v>
      </c>
      <c r="K555" s="34">
        <v>1789040</v>
      </c>
    </row>
    <row r="556" spans="1:11" s="34" customFormat="1" ht="12.75" hidden="1">
      <c r="A556" s="46" t="s">
        <v>6</v>
      </c>
      <c r="B556" s="47" t="s">
        <v>1049</v>
      </c>
      <c r="C556" s="47" t="s">
        <v>1050</v>
      </c>
      <c r="D556" s="48">
        <v>0</v>
      </c>
      <c r="E556" s="48">
        <v>0</v>
      </c>
      <c r="F556" s="48">
        <v>0</v>
      </c>
      <c r="G556" s="48">
        <v>0</v>
      </c>
      <c r="H556" s="48">
        <v>0</v>
      </c>
      <c r="I556" s="49"/>
      <c r="J556" s="76">
        <f>ABS(D556)+ABS(E556)+ABS(F556)+ABS(G556)+ABS(H556)</f>
        <v>0</v>
      </c>
      <c r="K556" s="34">
        <v>1789041</v>
      </c>
    </row>
    <row r="557" spans="1:11" s="34" customFormat="1" ht="12.75" hidden="1">
      <c r="A557" s="46" t="s">
        <v>6</v>
      </c>
      <c r="B557" s="47" t="s">
        <v>1051</v>
      </c>
      <c r="C557" s="47" t="s">
        <v>1052</v>
      </c>
      <c r="D557" s="48">
        <v>0</v>
      </c>
      <c r="E557" s="48">
        <v>0</v>
      </c>
      <c r="F557" s="48">
        <v>0</v>
      </c>
      <c r="G557" s="48">
        <v>0</v>
      </c>
      <c r="H557" s="48">
        <v>0</v>
      </c>
      <c r="I557" s="49"/>
      <c r="J557" s="76">
        <f>ABS(D557)+ABS(E557)+ABS(F557)+ABS(G557)+ABS(H557)</f>
        <v>0</v>
      </c>
      <c r="K557" s="34">
        <v>1789042</v>
      </c>
    </row>
    <row r="558" spans="1:11" s="34" customFormat="1" ht="12.75">
      <c r="A558" s="46" t="s">
        <v>6</v>
      </c>
      <c r="B558" s="47" t="s">
        <v>1053</v>
      </c>
      <c r="C558" s="47" t="s">
        <v>1054</v>
      </c>
      <c r="D558" s="48">
        <v>1197.63</v>
      </c>
      <c r="E558" s="48">
        <v>3211.81</v>
      </c>
      <c r="F558" s="48">
        <v>0</v>
      </c>
      <c r="G558" s="48">
        <v>0</v>
      </c>
      <c r="H558" s="48">
        <v>0</v>
      </c>
      <c r="I558" s="49"/>
      <c r="J558" s="76">
        <f>ABS(D558)+ABS(E558)+ABS(F558)+ABS(G558)+ABS(H558)</f>
        <v>4409.44</v>
      </c>
      <c r="K558" s="34">
        <v>1789043</v>
      </c>
    </row>
    <row r="559" spans="1:11" s="34" customFormat="1" ht="12.75">
      <c r="A559" s="46" t="s">
        <v>6</v>
      </c>
      <c r="B559" s="47" t="s">
        <v>1055</v>
      </c>
      <c r="C559" s="47" t="s">
        <v>1056</v>
      </c>
      <c r="D559" s="48">
        <v>0</v>
      </c>
      <c r="E559" s="48">
        <v>17121.44</v>
      </c>
      <c r="F559" s="48">
        <v>0</v>
      </c>
      <c r="G559" s="48">
        <v>0</v>
      </c>
      <c r="H559" s="48">
        <v>0</v>
      </c>
      <c r="I559" s="49"/>
      <c r="J559" s="76">
        <f>ABS(D559)+ABS(E559)+ABS(F559)+ABS(G559)+ABS(H559)</f>
        <v>17121.44</v>
      </c>
      <c r="K559" s="34">
        <v>1789044</v>
      </c>
    </row>
    <row r="560" spans="1:11" s="34" customFormat="1" ht="12.75">
      <c r="A560" s="46" t="s">
        <v>6</v>
      </c>
      <c r="B560" s="47" t="s">
        <v>1057</v>
      </c>
      <c r="C560" s="47" t="s">
        <v>1058</v>
      </c>
      <c r="D560" s="48">
        <v>0</v>
      </c>
      <c r="E560" s="48">
        <v>5442.79</v>
      </c>
      <c r="F560" s="48">
        <v>0</v>
      </c>
      <c r="G560" s="48">
        <v>0</v>
      </c>
      <c r="H560" s="48">
        <v>0</v>
      </c>
      <c r="I560" s="49"/>
      <c r="J560" s="76">
        <f>ABS(D560)+ABS(E560)+ABS(F560)+ABS(G560)+ABS(H560)</f>
        <v>5442.79</v>
      </c>
      <c r="K560" s="34">
        <v>1789045</v>
      </c>
    </row>
    <row r="561" spans="1:11" s="34" customFormat="1" ht="12.75" hidden="1">
      <c r="A561" s="46" t="s">
        <v>6</v>
      </c>
      <c r="B561" s="47" t="s">
        <v>1059</v>
      </c>
      <c r="C561" s="47" t="s">
        <v>1060</v>
      </c>
      <c r="D561" s="48">
        <v>0</v>
      </c>
      <c r="E561" s="48">
        <v>0</v>
      </c>
      <c r="F561" s="48">
        <v>0</v>
      </c>
      <c r="G561" s="48">
        <v>0</v>
      </c>
      <c r="H561" s="48">
        <v>0</v>
      </c>
      <c r="I561" s="49"/>
      <c r="J561" s="76">
        <f>ABS(D561)+ABS(E561)+ABS(F561)+ABS(G561)+ABS(H561)</f>
        <v>0</v>
      </c>
      <c r="K561" s="34">
        <v>1789046</v>
      </c>
    </row>
    <row r="562" spans="1:11" s="34" customFormat="1" ht="12.75" hidden="1">
      <c r="A562" s="46" t="s">
        <v>6</v>
      </c>
      <c r="B562" s="47" t="s">
        <v>1061</v>
      </c>
      <c r="C562" s="47" t="s">
        <v>1062</v>
      </c>
      <c r="D562" s="48">
        <v>0</v>
      </c>
      <c r="E562" s="48">
        <v>0</v>
      </c>
      <c r="F562" s="48">
        <v>0</v>
      </c>
      <c r="G562" s="48">
        <v>0</v>
      </c>
      <c r="H562" s="48">
        <v>0</v>
      </c>
      <c r="I562" s="49"/>
      <c r="J562" s="76">
        <f>ABS(D562)+ABS(E562)+ABS(F562)+ABS(G562)+ABS(H562)</f>
        <v>0</v>
      </c>
      <c r="K562" s="34">
        <v>1789047</v>
      </c>
    </row>
    <row r="563" spans="1:11" s="34" customFormat="1" ht="12.75" hidden="1">
      <c r="A563" s="46" t="s">
        <v>6</v>
      </c>
      <c r="B563" s="47" t="s">
        <v>1063</v>
      </c>
      <c r="C563" s="47" t="s">
        <v>1064</v>
      </c>
      <c r="D563" s="48">
        <v>0</v>
      </c>
      <c r="E563" s="48">
        <v>0</v>
      </c>
      <c r="F563" s="48">
        <v>0</v>
      </c>
      <c r="G563" s="48">
        <v>0</v>
      </c>
      <c r="H563" s="48">
        <v>0</v>
      </c>
      <c r="I563" s="49"/>
      <c r="J563" s="76">
        <f>ABS(D563)+ABS(E563)+ABS(F563)+ABS(G563)+ABS(H563)</f>
        <v>0</v>
      </c>
      <c r="K563" s="34">
        <v>1789048</v>
      </c>
    </row>
    <row r="564" spans="1:11" s="34" customFormat="1" ht="12.75" hidden="1">
      <c r="A564" s="46" t="s">
        <v>6</v>
      </c>
      <c r="B564" s="47" t="s">
        <v>1065</v>
      </c>
      <c r="C564" s="47" t="s">
        <v>1066</v>
      </c>
      <c r="D564" s="48">
        <v>0</v>
      </c>
      <c r="E564" s="48">
        <v>0</v>
      </c>
      <c r="F564" s="48">
        <v>0</v>
      </c>
      <c r="G564" s="48">
        <v>0</v>
      </c>
      <c r="H564" s="48">
        <v>0</v>
      </c>
      <c r="I564" s="49"/>
      <c r="J564" s="76">
        <f>ABS(D564)+ABS(E564)+ABS(F564)+ABS(G564)+ABS(H564)</f>
        <v>0</v>
      </c>
      <c r="K564" s="34">
        <v>1789049</v>
      </c>
    </row>
    <row r="565" spans="1:11" s="34" customFormat="1" ht="12.75" hidden="1">
      <c r="A565" s="46" t="s">
        <v>6</v>
      </c>
      <c r="B565" s="47" t="s">
        <v>1067</v>
      </c>
      <c r="C565" s="47" t="s">
        <v>1068</v>
      </c>
      <c r="D565" s="48">
        <v>0</v>
      </c>
      <c r="E565" s="48">
        <v>0</v>
      </c>
      <c r="F565" s="48">
        <v>0</v>
      </c>
      <c r="G565" s="48">
        <v>0</v>
      </c>
      <c r="H565" s="48">
        <v>0</v>
      </c>
      <c r="I565" s="49"/>
      <c r="J565" s="76">
        <f>ABS(D565)+ABS(E565)+ABS(F565)+ABS(G565)+ABS(H565)</f>
        <v>0</v>
      </c>
      <c r="K565" s="34">
        <v>1789050</v>
      </c>
    </row>
    <row r="566" spans="1:11" s="34" customFormat="1" ht="12.75" hidden="1">
      <c r="A566" s="46" t="s">
        <v>6</v>
      </c>
      <c r="B566" s="47" t="s">
        <v>1069</v>
      </c>
      <c r="C566" s="47" t="s">
        <v>1070</v>
      </c>
      <c r="D566" s="48">
        <v>0</v>
      </c>
      <c r="E566" s="48">
        <v>0</v>
      </c>
      <c r="F566" s="48">
        <v>0</v>
      </c>
      <c r="G566" s="48">
        <v>0</v>
      </c>
      <c r="H566" s="48">
        <v>0</v>
      </c>
      <c r="I566" s="49"/>
      <c r="J566" s="76">
        <f>ABS(D566)+ABS(E566)+ABS(F566)+ABS(G566)+ABS(H566)</f>
        <v>0</v>
      </c>
      <c r="K566" s="34">
        <v>1789051</v>
      </c>
    </row>
    <row r="567" spans="1:11" s="34" customFormat="1" ht="12.75" hidden="1">
      <c r="A567" s="46" t="s">
        <v>6</v>
      </c>
      <c r="B567" s="47" t="s">
        <v>1071</v>
      </c>
      <c r="C567" s="47" t="s">
        <v>1072</v>
      </c>
      <c r="D567" s="48">
        <v>0</v>
      </c>
      <c r="E567" s="48">
        <v>0</v>
      </c>
      <c r="F567" s="48">
        <v>0</v>
      </c>
      <c r="G567" s="48">
        <v>0</v>
      </c>
      <c r="H567" s="48">
        <v>0</v>
      </c>
      <c r="I567" s="49"/>
      <c r="J567" s="76">
        <f>ABS(D567)+ABS(E567)+ABS(F567)+ABS(G567)+ABS(H567)</f>
        <v>0</v>
      </c>
      <c r="K567" s="34">
        <v>1789052</v>
      </c>
    </row>
    <row r="568" spans="1:11" s="34" customFormat="1" ht="12.75" hidden="1">
      <c r="A568" s="46" t="s">
        <v>6</v>
      </c>
      <c r="B568" s="47" t="s">
        <v>1073</v>
      </c>
      <c r="C568" s="47" t="s">
        <v>1074</v>
      </c>
      <c r="D568" s="48">
        <v>0</v>
      </c>
      <c r="E568" s="48">
        <v>0</v>
      </c>
      <c r="F568" s="48">
        <v>0</v>
      </c>
      <c r="G568" s="48">
        <v>0</v>
      </c>
      <c r="H568" s="48">
        <v>0</v>
      </c>
      <c r="I568" s="49"/>
      <c r="J568" s="76">
        <f>ABS(D568)+ABS(E568)+ABS(F568)+ABS(G568)+ABS(H568)</f>
        <v>0</v>
      </c>
      <c r="K568" s="34">
        <v>1789053</v>
      </c>
    </row>
    <row r="569" spans="1:11" s="34" customFormat="1" ht="12.75" hidden="1">
      <c r="A569" s="46" t="s">
        <v>6</v>
      </c>
      <c r="B569" s="47" t="s">
        <v>1075</v>
      </c>
      <c r="C569" s="47" t="s">
        <v>1076</v>
      </c>
      <c r="D569" s="48">
        <v>0</v>
      </c>
      <c r="E569" s="48">
        <v>0</v>
      </c>
      <c r="F569" s="48">
        <v>0</v>
      </c>
      <c r="G569" s="48">
        <v>0</v>
      </c>
      <c r="H569" s="48">
        <v>0</v>
      </c>
      <c r="I569" s="49"/>
      <c r="J569" s="76">
        <f>ABS(D569)+ABS(E569)+ABS(F569)+ABS(G569)+ABS(H569)</f>
        <v>0</v>
      </c>
      <c r="K569" s="34">
        <v>1789054</v>
      </c>
    </row>
    <row r="570" spans="1:11" s="34" customFormat="1" ht="12.75">
      <c r="A570" s="46" t="s">
        <v>6</v>
      </c>
      <c r="B570" s="47" t="s">
        <v>1077</v>
      </c>
      <c r="C570" s="47" t="s">
        <v>1078</v>
      </c>
      <c r="D570" s="48">
        <v>8053.29</v>
      </c>
      <c r="E570" s="48">
        <v>0</v>
      </c>
      <c r="F570" s="48">
        <v>0</v>
      </c>
      <c r="G570" s="48">
        <v>0</v>
      </c>
      <c r="H570" s="48">
        <v>0</v>
      </c>
      <c r="I570" s="49"/>
      <c r="J570" s="76">
        <f>ABS(D570)+ABS(E570)+ABS(F570)+ABS(G570)+ABS(H570)</f>
        <v>8053.29</v>
      </c>
      <c r="K570" s="34">
        <v>1789055</v>
      </c>
    </row>
    <row r="571" spans="1:11" s="34" customFormat="1" ht="12.75" hidden="1">
      <c r="A571" s="46" t="s">
        <v>6</v>
      </c>
      <c r="B571" s="47" t="s">
        <v>1079</v>
      </c>
      <c r="C571" s="47" t="s">
        <v>1080</v>
      </c>
      <c r="D571" s="48">
        <v>0</v>
      </c>
      <c r="E571" s="48">
        <v>0</v>
      </c>
      <c r="F571" s="48">
        <v>0</v>
      </c>
      <c r="G571" s="48">
        <v>0</v>
      </c>
      <c r="H571" s="48">
        <v>0</v>
      </c>
      <c r="I571" s="49"/>
      <c r="J571" s="76">
        <f>ABS(D571)+ABS(E571)+ABS(F571)+ABS(G571)+ABS(H571)</f>
        <v>0</v>
      </c>
      <c r="K571" s="34">
        <v>1789056</v>
      </c>
    </row>
    <row r="572" spans="1:11" s="34" customFormat="1" ht="12.75" hidden="1">
      <c r="A572" s="46" t="s">
        <v>6</v>
      </c>
      <c r="B572" s="47" t="s">
        <v>1081</v>
      </c>
      <c r="C572" s="47" t="s">
        <v>1082</v>
      </c>
      <c r="D572" s="48">
        <v>0</v>
      </c>
      <c r="E572" s="48">
        <v>0</v>
      </c>
      <c r="F572" s="48">
        <v>0</v>
      </c>
      <c r="G572" s="48">
        <v>0</v>
      </c>
      <c r="H572" s="48">
        <v>0</v>
      </c>
      <c r="I572" s="49"/>
      <c r="J572" s="76">
        <f>ABS(D572)+ABS(E572)+ABS(F572)+ABS(G572)+ABS(H572)</f>
        <v>0</v>
      </c>
      <c r="K572" s="34">
        <v>1789057</v>
      </c>
    </row>
    <row r="573" spans="1:11" s="34" customFormat="1" ht="12.75" hidden="1">
      <c r="A573" s="46" t="s">
        <v>6</v>
      </c>
      <c r="B573" s="47" t="s">
        <v>1083</v>
      </c>
      <c r="C573" s="47" t="s">
        <v>1084</v>
      </c>
      <c r="D573" s="48">
        <v>0</v>
      </c>
      <c r="E573" s="48">
        <v>0</v>
      </c>
      <c r="F573" s="48">
        <v>0</v>
      </c>
      <c r="G573" s="48">
        <v>0</v>
      </c>
      <c r="H573" s="48">
        <v>0</v>
      </c>
      <c r="I573" s="49"/>
      <c r="J573" s="76">
        <f>ABS(D573)+ABS(E573)+ABS(F573)+ABS(G573)+ABS(H573)</f>
        <v>0</v>
      </c>
      <c r="K573" s="34">
        <v>1789058</v>
      </c>
    </row>
    <row r="574" spans="1:11" s="34" customFormat="1" ht="12.75" hidden="1">
      <c r="A574" s="46" t="s">
        <v>6</v>
      </c>
      <c r="B574" s="47" t="s">
        <v>1085</v>
      </c>
      <c r="C574" s="47" t="s">
        <v>1086</v>
      </c>
      <c r="D574" s="48">
        <v>0</v>
      </c>
      <c r="E574" s="48">
        <v>0</v>
      </c>
      <c r="F574" s="48">
        <v>0</v>
      </c>
      <c r="G574" s="48">
        <v>0</v>
      </c>
      <c r="H574" s="48">
        <v>0</v>
      </c>
      <c r="I574" s="49"/>
      <c r="J574" s="76">
        <f>ABS(D574)+ABS(E574)+ABS(F574)+ABS(G574)+ABS(H574)</f>
        <v>0</v>
      </c>
      <c r="K574" s="34">
        <v>1789059</v>
      </c>
    </row>
    <row r="575" spans="1:11" s="34" customFormat="1" ht="12.75" hidden="1">
      <c r="A575" s="46" t="s">
        <v>6</v>
      </c>
      <c r="B575" s="47" t="s">
        <v>1087</v>
      </c>
      <c r="C575" s="47" t="s">
        <v>1088</v>
      </c>
      <c r="D575" s="48">
        <v>0</v>
      </c>
      <c r="E575" s="48">
        <v>0</v>
      </c>
      <c r="F575" s="48">
        <v>0</v>
      </c>
      <c r="G575" s="48">
        <v>0</v>
      </c>
      <c r="H575" s="48">
        <v>0</v>
      </c>
      <c r="I575" s="49"/>
      <c r="J575" s="76">
        <f>ABS(D575)+ABS(E575)+ABS(F575)+ABS(G575)+ABS(H575)</f>
        <v>0</v>
      </c>
      <c r="K575" s="34">
        <v>1789060</v>
      </c>
    </row>
    <row r="576" spans="1:11" s="34" customFormat="1" ht="12.75" hidden="1">
      <c r="A576" s="46" t="s">
        <v>6</v>
      </c>
      <c r="B576" s="47" t="s">
        <v>1089</v>
      </c>
      <c r="C576" s="47" t="s">
        <v>1090</v>
      </c>
      <c r="D576" s="48">
        <v>0</v>
      </c>
      <c r="E576" s="48">
        <v>0</v>
      </c>
      <c r="F576" s="48">
        <v>0</v>
      </c>
      <c r="G576" s="48">
        <v>0</v>
      </c>
      <c r="H576" s="48">
        <v>0</v>
      </c>
      <c r="I576" s="49"/>
      <c r="J576" s="76">
        <f>ABS(D576)+ABS(E576)+ABS(F576)+ABS(G576)+ABS(H576)</f>
        <v>0</v>
      </c>
      <c r="K576" s="34">
        <v>1789061</v>
      </c>
    </row>
    <row r="577" spans="1:11" s="34" customFormat="1" ht="12.75" hidden="1">
      <c r="A577" s="46" t="s">
        <v>6</v>
      </c>
      <c r="B577" s="47" t="s">
        <v>1091</v>
      </c>
      <c r="C577" s="47" t="s">
        <v>1092</v>
      </c>
      <c r="D577" s="48">
        <v>0</v>
      </c>
      <c r="E577" s="48">
        <v>0</v>
      </c>
      <c r="F577" s="48">
        <v>0</v>
      </c>
      <c r="G577" s="48">
        <v>0</v>
      </c>
      <c r="H577" s="48">
        <v>0</v>
      </c>
      <c r="I577" s="49"/>
      <c r="J577" s="76">
        <f>ABS(D577)+ABS(E577)+ABS(F577)+ABS(G577)+ABS(H577)</f>
        <v>0</v>
      </c>
      <c r="K577" s="34">
        <v>1789062</v>
      </c>
    </row>
    <row r="578" spans="1:11" s="34" customFormat="1" ht="12.75">
      <c r="A578" s="46" t="s">
        <v>6</v>
      </c>
      <c r="B578" s="47" t="s">
        <v>1093</v>
      </c>
      <c r="C578" s="47" t="s">
        <v>1094</v>
      </c>
      <c r="D578" s="48">
        <v>1350</v>
      </c>
      <c r="E578" s="48">
        <v>0</v>
      </c>
      <c r="F578" s="48">
        <v>3850</v>
      </c>
      <c r="G578" s="48">
        <v>0</v>
      </c>
      <c r="H578" s="48">
        <v>0</v>
      </c>
      <c r="I578" s="49"/>
      <c r="J578" s="76">
        <f>ABS(D578)+ABS(E578)+ABS(F578)+ABS(G578)+ABS(H578)</f>
        <v>5200</v>
      </c>
      <c r="K578" s="34">
        <v>1789063</v>
      </c>
    </row>
    <row r="579" spans="1:11" s="34" customFormat="1" ht="12.75" hidden="1">
      <c r="A579" s="46" t="s">
        <v>6</v>
      </c>
      <c r="B579" s="47" t="s">
        <v>1095</v>
      </c>
      <c r="C579" s="47" t="s">
        <v>1096</v>
      </c>
      <c r="D579" s="48">
        <v>0</v>
      </c>
      <c r="E579" s="48">
        <v>0</v>
      </c>
      <c r="F579" s="48">
        <v>0</v>
      </c>
      <c r="G579" s="48">
        <v>0</v>
      </c>
      <c r="H579" s="48">
        <v>0</v>
      </c>
      <c r="I579" s="49"/>
      <c r="J579" s="76">
        <f>ABS(D579)+ABS(E579)+ABS(F579)+ABS(G579)+ABS(H579)</f>
        <v>0</v>
      </c>
      <c r="K579" s="34">
        <v>1789064</v>
      </c>
    </row>
    <row r="580" spans="1:11" s="34" customFormat="1" ht="12.75" hidden="1">
      <c r="A580" s="46" t="s">
        <v>6</v>
      </c>
      <c r="B580" s="47" t="s">
        <v>1097</v>
      </c>
      <c r="C580" s="47" t="s">
        <v>1098</v>
      </c>
      <c r="D580" s="48">
        <v>0</v>
      </c>
      <c r="E580" s="48">
        <v>0</v>
      </c>
      <c r="F580" s="48">
        <v>0</v>
      </c>
      <c r="G580" s="48">
        <v>0</v>
      </c>
      <c r="H580" s="48">
        <v>0</v>
      </c>
      <c r="I580" s="49"/>
      <c r="J580" s="76">
        <f>ABS(D580)+ABS(E580)+ABS(F580)+ABS(G580)+ABS(H580)</f>
        <v>0</v>
      </c>
      <c r="K580" s="34">
        <v>1789065</v>
      </c>
    </row>
    <row r="581" spans="1:11" s="34" customFormat="1" ht="12.75" hidden="1">
      <c r="A581" s="46" t="s">
        <v>6</v>
      </c>
      <c r="B581" s="47" t="s">
        <v>1099</v>
      </c>
      <c r="C581" s="47" t="s">
        <v>1100</v>
      </c>
      <c r="D581" s="48">
        <v>0</v>
      </c>
      <c r="E581" s="48">
        <v>0</v>
      </c>
      <c r="F581" s="48">
        <v>0</v>
      </c>
      <c r="G581" s="48">
        <v>0</v>
      </c>
      <c r="H581" s="48">
        <v>0</v>
      </c>
      <c r="I581" s="49"/>
      <c r="J581" s="76">
        <f>ABS(D581)+ABS(E581)+ABS(F581)+ABS(G581)+ABS(H581)</f>
        <v>0</v>
      </c>
      <c r="K581" s="34">
        <v>1789066</v>
      </c>
    </row>
    <row r="582" spans="1:11" s="34" customFormat="1" ht="12.75">
      <c r="A582" s="46" t="s">
        <v>6</v>
      </c>
      <c r="B582" s="47" t="s">
        <v>1101</v>
      </c>
      <c r="C582" s="47" t="s">
        <v>1102</v>
      </c>
      <c r="D582" s="48">
        <v>21714.59</v>
      </c>
      <c r="E582" s="48">
        <v>24227.93</v>
      </c>
      <c r="F582" s="48">
        <v>0</v>
      </c>
      <c r="G582" s="48">
        <v>0</v>
      </c>
      <c r="H582" s="48">
        <v>0</v>
      </c>
      <c r="I582" s="49"/>
      <c r="J582" s="76">
        <f>ABS(D582)+ABS(E582)+ABS(F582)+ABS(G582)+ABS(H582)</f>
        <v>45942.52</v>
      </c>
      <c r="K582" s="34">
        <v>1789067</v>
      </c>
    </row>
    <row r="583" spans="1:11" s="34" customFormat="1" ht="12.75" hidden="1">
      <c r="A583" s="46" t="s">
        <v>6</v>
      </c>
      <c r="B583" s="47" t="s">
        <v>1103</v>
      </c>
      <c r="C583" s="47" t="s">
        <v>1104</v>
      </c>
      <c r="D583" s="48">
        <v>0</v>
      </c>
      <c r="E583" s="48">
        <v>0</v>
      </c>
      <c r="F583" s="48">
        <v>0</v>
      </c>
      <c r="G583" s="48">
        <v>0</v>
      </c>
      <c r="H583" s="48">
        <v>0</v>
      </c>
      <c r="I583" s="49"/>
      <c r="J583" s="76">
        <f>ABS(D583)+ABS(E583)+ABS(F583)+ABS(G583)+ABS(H583)</f>
        <v>0</v>
      </c>
      <c r="K583" s="34">
        <v>1789068</v>
      </c>
    </row>
    <row r="584" spans="1:11" s="34" customFormat="1" ht="12.75" hidden="1">
      <c r="A584" s="46" t="s">
        <v>6</v>
      </c>
      <c r="B584" s="47" t="s">
        <v>1105</v>
      </c>
      <c r="C584" s="47" t="s">
        <v>1106</v>
      </c>
      <c r="D584" s="48">
        <v>0</v>
      </c>
      <c r="E584" s="48">
        <v>0</v>
      </c>
      <c r="F584" s="48">
        <v>0</v>
      </c>
      <c r="G584" s="48">
        <v>0</v>
      </c>
      <c r="H584" s="48">
        <v>0</v>
      </c>
      <c r="I584" s="49"/>
      <c r="J584" s="76">
        <f>ABS(D584)+ABS(E584)+ABS(F584)+ABS(G584)+ABS(H584)</f>
        <v>0</v>
      </c>
      <c r="K584" s="34">
        <v>1789069</v>
      </c>
    </row>
    <row r="585" spans="1:11" s="34" customFormat="1" ht="12.75" hidden="1">
      <c r="A585" s="46" t="s">
        <v>6</v>
      </c>
      <c r="B585" s="47" t="s">
        <v>1107</v>
      </c>
      <c r="C585" s="47" t="s">
        <v>1108</v>
      </c>
      <c r="D585" s="48">
        <v>0</v>
      </c>
      <c r="E585" s="48">
        <v>0</v>
      </c>
      <c r="F585" s="48">
        <v>0</v>
      </c>
      <c r="G585" s="48">
        <v>0</v>
      </c>
      <c r="H585" s="48">
        <v>0</v>
      </c>
      <c r="I585" s="49"/>
      <c r="J585" s="76">
        <f>ABS(D585)+ABS(E585)+ABS(F585)+ABS(G585)+ABS(H585)</f>
        <v>0</v>
      </c>
      <c r="K585" s="34">
        <v>1789070</v>
      </c>
    </row>
    <row r="586" spans="1:11" s="34" customFormat="1" ht="12.75" hidden="1">
      <c r="A586" s="46" t="s">
        <v>6</v>
      </c>
      <c r="B586" s="47" t="s">
        <v>1109</v>
      </c>
      <c r="C586" s="47" t="s">
        <v>1110</v>
      </c>
      <c r="D586" s="48">
        <v>0</v>
      </c>
      <c r="E586" s="48">
        <v>0</v>
      </c>
      <c r="F586" s="48">
        <v>0</v>
      </c>
      <c r="G586" s="48">
        <v>0</v>
      </c>
      <c r="H586" s="48">
        <v>0</v>
      </c>
      <c r="I586" s="49"/>
      <c r="J586" s="76">
        <f>ABS(D586)+ABS(E586)+ABS(F586)+ABS(G586)+ABS(H586)</f>
        <v>0</v>
      </c>
      <c r="K586" s="34">
        <v>1789071</v>
      </c>
    </row>
    <row r="587" spans="1:11" s="34" customFormat="1" ht="12.75" hidden="1">
      <c r="A587" s="46" t="s">
        <v>6</v>
      </c>
      <c r="B587" s="47" t="s">
        <v>1111</v>
      </c>
      <c r="C587" s="47" t="s">
        <v>1112</v>
      </c>
      <c r="D587" s="48">
        <v>0</v>
      </c>
      <c r="E587" s="48">
        <v>0</v>
      </c>
      <c r="F587" s="48">
        <v>0</v>
      </c>
      <c r="G587" s="48">
        <v>0</v>
      </c>
      <c r="H587" s="48">
        <v>0</v>
      </c>
      <c r="I587" s="49"/>
      <c r="J587" s="76">
        <f>ABS(D587)+ABS(E587)+ABS(F587)+ABS(G587)+ABS(H587)</f>
        <v>0</v>
      </c>
      <c r="K587" s="34">
        <v>1789072</v>
      </c>
    </row>
    <row r="588" spans="1:11" s="34" customFormat="1" ht="12.75" hidden="1">
      <c r="A588" s="46" t="s">
        <v>6</v>
      </c>
      <c r="B588" s="47" t="s">
        <v>1113</v>
      </c>
      <c r="C588" s="47" t="s">
        <v>1114</v>
      </c>
      <c r="D588" s="48">
        <v>0</v>
      </c>
      <c r="E588" s="48">
        <v>0</v>
      </c>
      <c r="F588" s="48">
        <v>0</v>
      </c>
      <c r="G588" s="48">
        <v>0</v>
      </c>
      <c r="H588" s="48">
        <v>0</v>
      </c>
      <c r="I588" s="49"/>
      <c r="J588" s="76">
        <f>ABS(D588)+ABS(E588)+ABS(F588)+ABS(G588)+ABS(H588)</f>
        <v>0</v>
      </c>
      <c r="K588" s="34">
        <v>1789073</v>
      </c>
    </row>
    <row r="589" spans="1:11" s="34" customFormat="1" ht="12.75">
      <c r="A589" s="46" t="s">
        <v>6</v>
      </c>
      <c r="B589" s="47" t="s">
        <v>1115</v>
      </c>
      <c r="C589" s="47" t="s">
        <v>1116</v>
      </c>
      <c r="D589" s="48">
        <v>6931.52</v>
      </c>
      <c r="E589" s="48">
        <v>0</v>
      </c>
      <c r="F589" s="48">
        <v>0</v>
      </c>
      <c r="G589" s="48">
        <v>0</v>
      </c>
      <c r="H589" s="48">
        <v>0</v>
      </c>
      <c r="I589" s="49"/>
      <c r="J589" s="76">
        <f>ABS(D589)+ABS(E589)+ABS(F589)+ABS(G589)+ABS(H589)</f>
        <v>6931.52</v>
      </c>
      <c r="K589" s="34">
        <v>1789074</v>
      </c>
    </row>
    <row r="590" spans="1:11" s="34" customFormat="1" ht="12.75" hidden="1">
      <c r="A590" s="46" t="s">
        <v>6</v>
      </c>
      <c r="B590" s="47" t="s">
        <v>1117</v>
      </c>
      <c r="C590" s="47" t="s">
        <v>1118</v>
      </c>
      <c r="D590" s="48">
        <v>0</v>
      </c>
      <c r="E590" s="48">
        <v>0</v>
      </c>
      <c r="F590" s="48">
        <v>0</v>
      </c>
      <c r="G590" s="48">
        <v>0</v>
      </c>
      <c r="H590" s="48">
        <v>0</v>
      </c>
      <c r="I590" s="49"/>
      <c r="J590" s="76">
        <f>ABS(D590)+ABS(E590)+ABS(F590)+ABS(G590)+ABS(H590)</f>
        <v>0</v>
      </c>
      <c r="K590" s="34">
        <v>1789075</v>
      </c>
    </row>
    <row r="591" spans="1:11" s="34" customFormat="1" ht="12.75" hidden="1">
      <c r="A591" s="46" t="s">
        <v>6</v>
      </c>
      <c r="B591" s="47" t="s">
        <v>1119</v>
      </c>
      <c r="C591" s="47" t="s">
        <v>1120</v>
      </c>
      <c r="D591" s="48">
        <v>0</v>
      </c>
      <c r="E591" s="48">
        <v>0</v>
      </c>
      <c r="F591" s="48">
        <v>0</v>
      </c>
      <c r="G591" s="48">
        <v>0</v>
      </c>
      <c r="H591" s="48">
        <v>0</v>
      </c>
      <c r="I591" s="49"/>
      <c r="J591" s="76">
        <f>ABS(D591)+ABS(E591)+ABS(F591)+ABS(G591)+ABS(H591)</f>
        <v>0</v>
      </c>
      <c r="K591" s="34">
        <v>1789076</v>
      </c>
    </row>
    <row r="592" spans="1:11" s="34" customFormat="1" ht="12.75" hidden="1">
      <c r="A592" s="46" t="s">
        <v>6</v>
      </c>
      <c r="B592" s="47" t="s">
        <v>1121</v>
      </c>
      <c r="C592" s="47" t="s">
        <v>1122</v>
      </c>
      <c r="D592" s="48">
        <v>0</v>
      </c>
      <c r="E592" s="48">
        <v>0</v>
      </c>
      <c r="F592" s="48">
        <v>0</v>
      </c>
      <c r="G592" s="48">
        <v>0</v>
      </c>
      <c r="H592" s="48">
        <v>0</v>
      </c>
      <c r="I592" s="49"/>
      <c r="J592" s="76">
        <f>ABS(D592)+ABS(E592)+ABS(F592)+ABS(G592)+ABS(H592)</f>
        <v>0</v>
      </c>
      <c r="K592" s="34">
        <v>1789077</v>
      </c>
    </row>
    <row r="593" spans="1:11" s="34" customFormat="1" ht="12.75" hidden="1">
      <c r="A593" s="46" t="s">
        <v>6</v>
      </c>
      <c r="B593" s="47" t="s">
        <v>1123</v>
      </c>
      <c r="C593" s="47" t="s">
        <v>1124</v>
      </c>
      <c r="D593" s="48">
        <v>0</v>
      </c>
      <c r="E593" s="48">
        <v>0</v>
      </c>
      <c r="F593" s="48">
        <v>0</v>
      </c>
      <c r="G593" s="48">
        <v>0</v>
      </c>
      <c r="H593" s="48">
        <v>0</v>
      </c>
      <c r="I593" s="49"/>
      <c r="J593" s="76">
        <f>ABS(D593)+ABS(E593)+ABS(F593)+ABS(G593)+ABS(H593)</f>
        <v>0</v>
      </c>
      <c r="K593" s="34">
        <v>1789078</v>
      </c>
    </row>
    <row r="594" spans="1:11" s="34" customFormat="1" ht="12.75" hidden="1">
      <c r="A594" s="46" t="s">
        <v>6</v>
      </c>
      <c r="B594" s="47" t="s">
        <v>1125</v>
      </c>
      <c r="C594" s="47" t="s">
        <v>1126</v>
      </c>
      <c r="D594" s="48">
        <v>0</v>
      </c>
      <c r="E594" s="48">
        <v>0</v>
      </c>
      <c r="F594" s="48">
        <v>0</v>
      </c>
      <c r="G594" s="48">
        <v>0</v>
      </c>
      <c r="H594" s="48">
        <v>0</v>
      </c>
      <c r="I594" s="49"/>
      <c r="J594" s="76">
        <f>ABS(D594)+ABS(E594)+ABS(F594)+ABS(G594)+ABS(H594)</f>
        <v>0</v>
      </c>
      <c r="K594" s="34">
        <v>1789079</v>
      </c>
    </row>
    <row r="595" spans="1:11" s="34" customFormat="1" ht="12.75" hidden="1">
      <c r="A595" s="46" t="s">
        <v>6</v>
      </c>
      <c r="B595" s="47" t="s">
        <v>1127</v>
      </c>
      <c r="C595" s="47" t="s">
        <v>1128</v>
      </c>
      <c r="D595" s="48">
        <v>0</v>
      </c>
      <c r="E595" s="48">
        <v>0</v>
      </c>
      <c r="F595" s="48">
        <v>0</v>
      </c>
      <c r="G595" s="48">
        <v>0</v>
      </c>
      <c r="H595" s="48">
        <v>0</v>
      </c>
      <c r="I595" s="49"/>
      <c r="J595" s="76">
        <f>ABS(D595)+ABS(E595)+ABS(F595)+ABS(G595)+ABS(H595)</f>
        <v>0</v>
      </c>
      <c r="K595" s="34">
        <v>1789080</v>
      </c>
    </row>
    <row r="596" spans="1:11" s="34" customFormat="1" ht="12.75" hidden="1">
      <c r="A596" s="46" t="s">
        <v>6</v>
      </c>
      <c r="B596" s="47" t="s">
        <v>1129</v>
      </c>
      <c r="C596" s="47" t="s">
        <v>1130</v>
      </c>
      <c r="D596" s="48">
        <v>0</v>
      </c>
      <c r="E596" s="48">
        <v>0</v>
      </c>
      <c r="F596" s="48">
        <v>0</v>
      </c>
      <c r="G596" s="48">
        <v>0</v>
      </c>
      <c r="H596" s="48">
        <v>0</v>
      </c>
      <c r="I596" s="49"/>
      <c r="J596" s="76">
        <f>ABS(D596)+ABS(E596)+ABS(F596)+ABS(G596)+ABS(H596)</f>
        <v>0</v>
      </c>
      <c r="K596" s="34">
        <v>1789081</v>
      </c>
    </row>
    <row r="597" spans="1:11" s="34" customFormat="1" ht="12.75">
      <c r="A597" s="46" t="s">
        <v>26</v>
      </c>
      <c r="B597" s="55" t="s">
        <v>1131</v>
      </c>
      <c r="C597" s="55" t="s">
        <v>1132</v>
      </c>
      <c r="D597" s="56">
        <v>184326.77</v>
      </c>
      <c r="E597" s="56">
        <v>123892.06</v>
      </c>
      <c r="F597" s="56">
        <v>3850</v>
      </c>
      <c r="G597" s="56">
        <v>0</v>
      </c>
      <c r="H597" s="56">
        <v>0</v>
      </c>
      <c r="I597" s="57"/>
      <c r="J597" s="77">
        <f>ABS(D597)+ABS(E597)+ABS(F597)+ABS(G597)+ABS(H597)</f>
        <v>312068.83</v>
      </c>
      <c r="K597" s="34">
        <v>1789082</v>
      </c>
    </row>
    <row r="598" spans="1:11" s="34" customFormat="1" ht="12.75">
      <c r="A598" s="46" t="s">
        <v>23</v>
      </c>
      <c r="B598" s="55" t="s">
        <v>1133</v>
      </c>
      <c r="C598" s="55" t="s">
        <v>1134</v>
      </c>
      <c r="D598" s="56">
        <v>187603.86</v>
      </c>
      <c r="E598" s="56">
        <v>66325.62</v>
      </c>
      <c r="F598" s="56">
        <v>393.37</v>
      </c>
      <c r="G598" s="56">
        <v>2000</v>
      </c>
      <c r="H598" s="56">
        <v>12000</v>
      </c>
      <c r="I598" s="57"/>
      <c r="J598" s="77">
        <f>ABS(D598)+ABS(E598)+ABS(F598)+ABS(G598)+ABS(H598)</f>
        <v>268322.85</v>
      </c>
      <c r="K598" s="34">
        <v>1789083</v>
      </c>
    </row>
    <row r="599" spans="1:11" s="34" customFormat="1" ht="12.75" hidden="1">
      <c r="A599" s="46" t="s">
        <v>30</v>
      </c>
      <c r="B599" s="55" t="s">
        <v>1135</v>
      </c>
      <c r="C599" s="55" t="s">
        <v>1136</v>
      </c>
      <c r="D599" s="56">
        <v>-7447583.08</v>
      </c>
      <c r="E599" s="56">
        <v>-7919699.82</v>
      </c>
      <c r="F599" s="56">
        <v>-2407250.09</v>
      </c>
      <c r="G599" s="56">
        <v>-2616976.86</v>
      </c>
      <c r="H599" s="56">
        <v>-8243098.24</v>
      </c>
      <c r="I599" s="57"/>
      <c r="J599" s="77">
        <f>ABS(D599)+ABS(E599)+ABS(F599)+ABS(G599)+ABS(H599)</f>
        <v>28634608.09</v>
      </c>
      <c r="K599" s="34">
        <v>1789084</v>
      </c>
    </row>
    <row r="600" spans="1:11" s="34" customFormat="1" ht="12.75">
      <c r="A600" s="46" t="s">
        <v>29</v>
      </c>
      <c r="B600" s="55" t="s">
        <v>37</v>
      </c>
      <c r="C600" s="55" t="s">
        <v>1136</v>
      </c>
      <c r="D600" s="56">
        <v>170294.46</v>
      </c>
      <c r="E600" s="56">
        <v>12539.63</v>
      </c>
      <c r="F600" s="56">
        <v>-359360.83</v>
      </c>
      <c r="G600" s="56">
        <v>-417993.74</v>
      </c>
      <c r="H600" s="56">
        <v>-60000.18</v>
      </c>
      <c r="I600" s="57"/>
      <c r="J600" s="77">
        <f>ABS(D600)+ABS(E600)+ABS(F600)+ABS(G600)+ABS(H600)</f>
        <v>1020188.84</v>
      </c>
      <c r="K600" s="34">
        <v>1789085</v>
      </c>
    </row>
    <row r="601" spans="1:10" s="34" customFormat="1" ht="12.75">
      <c r="A601" s="46"/>
      <c r="B601" s="47"/>
      <c r="C601" s="47"/>
      <c r="D601" s="48"/>
      <c r="E601" s="48"/>
      <c r="F601" s="48"/>
      <c r="G601" s="48"/>
      <c r="H601" s="48"/>
      <c r="I601" s="49"/>
      <c r="J601" s="76"/>
    </row>
    <row r="602" spans="1:11" s="34" customFormat="1" ht="12.75">
      <c r="A602" s="46" t="s">
        <v>25</v>
      </c>
      <c r="B602" s="59" t="s">
        <v>37</v>
      </c>
      <c r="C602" s="59" t="s">
        <v>1137</v>
      </c>
      <c r="D602" s="60" t="s">
        <v>1</v>
      </c>
      <c r="E602" s="60" t="s">
        <v>1</v>
      </c>
      <c r="F602" s="60" t="s">
        <v>1</v>
      </c>
      <c r="G602" s="60" t="s">
        <v>1</v>
      </c>
      <c r="H602" s="60" t="s">
        <v>1</v>
      </c>
      <c r="I602" s="61"/>
      <c r="J602" s="78">
        <v>1</v>
      </c>
      <c r="K602" s="34">
        <v>1789086</v>
      </c>
    </row>
    <row r="603" spans="1:11" s="34" customFormat="1" ht="12.75" hidden="1">
      <c r="A603" s="46" t="s">
        <v>9</v>
      </c>
      <c r="B603" s="47" t="s">
        <v>1138</v>
      </c>
      <c r="C603" s="47" t="s">
        <v>1139</v>
      </c>
      <c r="D603" s="48">
        <v>0</v>
      </c>
      <c r="E603" s="48">
        <v>0</v>
      </c>
      <c r="F603" s="48">
        <v>0</v>
      </c>
      <c r="G603" s="48">
        <v>0</v>
      </c>
      <c r="H603" s="48">
        <v>0</v>
      </c>
      <c r="I603" s="49"/>
      <c r="J603" s="76">
        <f>ABS(D603)+ABS(E603)+ABS(F603)+ABS(G603)+ABS(H603)</f>
        <v>0</v>
      </c>
      <c r="K603" s="34">
        <v>1789087</v>
      </c>
    </row>
    <row r="604" spans="1:11" s="34" customFormat="1" ht="12.75" hidden="1">
      <c r="A604" s="46" t="s">
        <v>9</v>
      </c>
      <c r="B604" s="47" t="s">
        <v>1140</v>
      </c>
      <c r="C604" s="47" t="s">
        <v>1141</v>
      </c>
      <c r="D604" s="48">
        <v>0</v>
      </c>
      <c r="E604" s="48">
        <v>0</v>
      </c>
      <c r="F604" s="48">
        <v>0</v>
      </c>
      <c r="G604" s="48">
        <v>0</v>
      </c>
      <c r="H604" s="48">
        <v>0</v>
      </c>
      <c r="I604" s="49"/>
      <c r="J604" s="76">
        <f>ABS(D604)+ABS(E604)+ABS(F604)+ABS(G604)+ABS(H604)</f>
        <v>0</v>
      </c>
      <c r="K604" s="34">
        <v>1789088</v>
      </c>
    </row>
    <row r="605" spans="1:11" s="34" customFormat="1" ht="12.75">
      <c r="A605" s="46" t="s">
        <v>9</v>
      </c>
      <c r="B605" s="47" t="s">
        <v>1142</v>
      </c>
      <c r="C605" s="47" t="s">
        <v>1143</v>
      </c>
      <c r="D605" s="48">
        <v>13373.25</v>
      </c>
      <c r="E605" s="48">
        <v>155.22</v>
      </c>
      <c r="F605" s="48">
        <v>0</v>
      </c>
      <c r="G605" s="48">
        <v>0</v>
      </c>
      <c r="H605" s="48">
        <v>0</v>
      </c>
      <c r="I605" s="49"/>
      <c r="J605" s="76">
        <f>ABS(D605)+ABS(E605)+ABS(F605)+ABS(G605)+ABS(H605)</f>
        <v>13528.47</v>
      </c>
      <c r="K605" s="34">
        <v>1789089</v>
      </c>
    </row>
    <row r="606" spans="1:11" s="34" customFormat="1" ht="12.75">
      <c r="A606" s="46" t="s">
        <v>9</v>
      </c>
      <c r="B606" s="47" t="s">
        <v>1144</v>
      </c>
      <c r="C606" s="47" t="s">
        <v>1145</v>
      </c>
      <c r="D606" s="48">
        <v>-500</v>
      </c>
      <c r="E606" s="48">
        <v>7034.1</v>
      </c>
      <c r="F606" s="48">
        <v>-6400</v>
      </c>
      <c r="G606" s="48">
        <v>0</v>
      </c>
      <c r="H606" s="48">
        <v>0</v>
      </c>
      <c r="I606" s="49"/>
      <c r="J606" s="76">
        <f>ABS(D606)+ABS(E606)+ABS(F606)+ABS(G606)+ABS(H606)</f>
        <v>13934.1</v>
      </c>
      <c r="K606" s="34">
        <v>1789090</v>
      </c>
    </row>
    <row r="607" spans="1:11" s="34" customFormat="1" ht="12.75">
      <c r="A607" s="46" t="s">
        <v>9</v>
      </c>
      <c r="B607" s="47" t="s">
        <v>1146</v>
      </c>
      <c r="C607" s="47" t="s">
        <v>1147</v>
      </c>
      <c r="D607" s="48">
        <v>10000</v>
      </c>
      <c r="E607" s="48">
        <v>-2000</v>
      </c>
      <c r="F607" s="48">
        <v>-25000</v>
      </c>
      <c r="G607" s="48">
        <v>0</v>
      </c>
      <c r="H607" s="48">
        <v>0</v>
      </c>
      <c r="I607" s="49"/>
      <c r="J607" s="76">
        <f>ABS(D607)+ABS(E607)+ABS(F607)+ABS(G607)+ABS(H607)</f>
        <v>37000</v>
      </c>
      <c r="K607" s="34">
        <v>1789091</v>
      </c>
    </row>
    <row r="608" spans="1:11" s="34" customFormat="1" ht="12.75" hidden="1">
      <c r="A608" s="46" t="s">
        <v>9</v>
      </c>
      <c r="B608" s="47" t="s">
        <v>1148</v>
      </c>
      <c r="C608" s="47" t="s">
        <v>1149</v>
      </c>
      <c r="D608" s="48">
        <v>0</v>
      </c>
      <c r="E608" s="48">
        <v>0</v>
      </c>
      <c r="F608" s="48">
        <v>0</v>
      </c>
      <c r="G608" s="48">
        <v>0</v>
      </c>
      <c r="H608" s="48">
        <v>0</v>
      </c>
      <c r="I608" s="49"/>
      <c r="J608" s="76">
        <f>ABS(D608)+ABS(E608)+ABS(F608)+ABS(G608)+ABS(H608)</f>
        <v>0</v>
      </c>
      <c r="K608" s="34">
        <v>1789092</v>
      </c>
    </row>
    <row r="609" spans="1:11" s="34" customFormat="1" ht="12.75" hidden="1">
      <c r="A609" s="46" t="s">
        <v>9</v>
      </c>
      <c r="B609" s="47" t="s">
        <v>1150</v>
      </c>
      <c r="C609" s="47" t="s">
        <v>1151</v>
      </c>
      <c r="D609" s="48">
        <v>0</v>
      </c>
      <c r="E609" s="48">
        <v>0</v>
      </c>
      <c r="F609" s="48">
        <v>0</v>
      </c>
      <c r="G609" s="48">
        <v>0</v>
      </c>
      <c r="H609" s="48">
        <v>0</v>
      </c>
      <c r="I609" s="49"/>
      <c r="J609" s="76">
        <f>ABS(D609)+ABS(E609)+ABS(F609)+ABS(G609)+ABS(H609)</f>
        <v>0</v>
      </c>
      <c r="K609" s="34">
        <v>1789093</v>
      </c>
    </row>
    <row r="610" spans="1:11" s="34" customFormat="1" ht="12.75" hidden="1">
      <c r="A610" s="46" t="s">
        <v>9</v>
      </c>
      <c r="B610" s="47" t="s">
        <v>1152</v>
      </c>
      <c r="C610" s="47" t="s">
        <v>1153</v>
      </c>
      <c r="D610" s="48">
        <v>0</v>
      </c>
      <c r="E610" s="48">
        <v>0</v>
      </c>
      <c r="F610" s="48">
        <v>0</v>
      </c>
      <c r="G610" s="48">
        <v>0</v>
      </c>
      <c r="H610" s="48">
        <v>0</v>
      </c>
      <c r="I610" s="49"/>
      <c r="J610" s="76">
        <f>ABS(D610)+ABS(E610)+ABS(F610)+ABS(G610)+ABS(H610)</f>
        <v>0</v>
      </c>
      <c r="K610" s="34">
        <v>1789094</v>
      </c>
    </row>
    <row r="611" spans="1:11" s="34" customFormat="1" ht="12.75" hidden="1">
      <c r="A611" s="46" t="s">
        <v>9</v>
      </c>
      <c r="B611" s="47" t="s">
        <v>1154</v>
      </c>
      <c r="C611" s="47" t="s">
        <v>1155</v>
      </c>
      <c r="D611" s="48">
        <v>0</v>
      </c>
      <c r="E611" s="48">
        <v>0</v>
      </c>
      <c r="F611" s="48">
        <v>0</v>
      </c>
      <c r="G611" s="48">
        <v>0</v>
      </c>
      <c r="H611" s="48">
        <v>0</v>
      </c>
      <c r="I611" s="49"/>
      <c r="J611" s="76">
        <f>ABS(D611)+ABS(E611)+ABS(F611)+ABS(G611)+ABS(H611)</f>
        <v>0</v>
      </c>
      <c r="K611" s="34">
        <v>1789095</v>
      </c>
    </row>
    <row r="612" spans="1:11" s="34" customFormat="1" ht="12.75" hidden="1">
      <c r="A612" s="46" t="s">
        <v>9</v>
      </c>
      <c r="B612" s="47" t="s">
        <v>1156</v>
      </c>
      <c r="C612" s="47" t="s">
        <v>1157</v>
      </c>
      <c r="D612" s="48">
        <v>0</v>
      </c>
      <c r="E612" s="48">
        <v>0</v>
      </c>
      <c r="F612" s="48">
        <v>0</v>
      </c>
      <c r="G612" s="48">
        <v>0</v>
      </c>
      <c r="H612" s="48">
        <v>0</v>
      </c>
      <c r="I612" s="49"/>
      <c r="J612" s="76">
        <f>ABS(D612)+ABS(E612)+ABS(F612)+ABS(G612)+ABS(H612)</f>
        <v>0</v>
      </c>
      <c r="K612" s="34">
        <v>1789096</v>
      </c>
    </row>
    <row r="613" spans="1:11" s="34" customFormat="1" ht="12.75" hidden="1">
      <c r="A613" s="46" t="s">
        <v>9</v>
      </c>
      <c r="B613" s="47" t="s">
        <v>1158</v>
      </c>
      <c r="C613" s="47" t="s">
        <v>1159</v>
      </c>
      <c r="D613" s="48">
        <v>0</v>
      </c>
      <c r="E613" s="48">
        <v>0</v>
      </c>
      <c r="F613" s="48">
        <v>0</v>
      </c>
      <c r="G613" s="48">
        <v>0</v>
      </c>
      <c r="H613" s="48">
        <v>0</v>
      </c>
      <c r="I613" s="49"/>
      <c r="J613" s="76">
        <f>ABS(D613)+ABS(E613)+ABS(F613)+ABS(G613)+ABS(H613)</f>
        <v>0</v>
      </c>
      <c r="K613" s="34">
        <v>1789097</v>
      </c>
    </row>
    <row r="614" spans="1:11" s="34" customFormat="1" ht="12.75" hidden="1">
      <c r="A614" s="46" t="s">
        <v>9</v>
      </c>
      <c r="B614" s="47" t="s">
        <v>1160</v>
      </c>
      <c r="C614" s="47" t="s">
        <v>1161</v>
      </c>
      <c r="D614" s="48">
        <v>0</v>
      </c>
      <c r="E614" s="48">
        <v>0</v>
      </c>
      <c r="F614" s="48">
        <v>0</v>
      </c>
      <c r="G614" s="48">
        <v>0</v>
      </c>
      <c r="H614" s="48">
        <v>0</v>
      </c>
      <c r="I614" s="49"/>
      <c r="J614" s="76">
        <f>ABS(D614)+ABS(E614)+ABS(F614)+ABS(G614)+ABS(H614)</f>
        <v>0</v>
      </c>
      <c r="K614" s="34">
        <v>1789098</v>
      </c>
    </row>
    <row r="615" spans="1:11" s="34" customFormat="1" ht="12.75" hidden="1">
      <c r="A615" s="46" t="s">
        <v>9</v>
      </c>
      <c r="B615" s="47" t="s">
        <v>1162</v>
      </c>
      <c r="C615" s="47" t="s">
        <v>1163</v>
      </c>
      <c r="D615" s="48">
        <v>0</v>
      </c>
      <c r="E615" s="48">
        <v>0</v>
      </c>
      <c r="F615" s="48">
        <v>0</v>
      </c>
      <c r="G615" s="48">
        <v>0</v>
      </c>
      <c r="H615" s="48">
        <v>0</v>
      </c>
      <c r="I615" s="49"/>
      <c r="J615" s="76">
        <f>ABS(D615)+ABS(E615)+ABS(F615)+ABS(G615)+ABS(H615)</f>
        <v>0</v>
      </c>
      <c r="K615" s="34">
        <v>1789099</v>
      </c>
    </row>
    <row r="616" spans="1:11" s="34" customFormat="1" ht="12.75" hidden="1">
      <c r="A616" s="46" t="s">
        <v>9</v>
      </c>
      <c r="B616" s="47" t="s">
        <v>1164</v>
      </c>
      <c r="C616" s="47" t="s">
        <v>1165</v>
      </c>
      <c r="D616" s="48">
        <v>0</v>
      </c>
      <c r="E616" s="48">
        <v>0</v>
      </c>
      <c r="F616" s="48">
        <v>0</v>
      </c>
      <c r="G616" s="48">
        <v>0</v>
      </c>
      <c r="H616" s="48">
        <v>0</v>
      </c>
      <c r="I616" s="49"/>
      <c r="J616" s="76">
        <f>ABS(D616)+ABS(E616)+ABS(F616)+ABS(G616)+ABS(H616)</f>
        <v>0</v>
      </c>
      <c r="K616" s="34">
        <v>1789100</v>
      </c>
    </row>
    <row r="617" spans="1:11" s="34" customFormat="1" ht="12.75" hidden="1">
      <c r="A617" s="46" t="s">
        <v>9</v>
      </c>
      <c r="B617" s="47" t="s">
        <v>1166</v>
      </c>
      <c r="C617" s="47" t="s">
        <v>1167</v>
      </c>
      <c r="D617" s="48">
        <v>0</v>
      </c>
      <c r="E617" s="48">
        <v>0</v>
      </c>
      <c r="F617" s="48">
        <v>0</v>
      </c>
      <c r="G617" s="48">
        <v>0</v>
      </c>
      <c r="H617" s="48">
        <v>0</v>
      </c>
      <c r="I617" s="49"/>
      <c r="J617" s="76">
        <f>ABS(D617)+ABS(E617)+ABS(F617)+ABS(G617)+ABS(H617)</f>
        <v>0</v>
      </c>
      <c r="K617" s="34">
        <v>1789101</v>
      </c>
    </row>
    <row r="618" spans="1:11" s="34" customFormat="1" ht="12.75" hidden="1">
      <c r="A618" s="46" t="s">
        <v>9</v>
      </c>
      <c r="B618" s="47" t="s">
        <v>1168</v>
      </c>
      <c r="C618" s="47" t="s">
        <v>1169</v>
      </c>
      <c r="D618" s="48">
        <v>0</v>
      </c>
      <c r="E618" s="48">
        <v>0</v>
      </c>
      <c r="F618" s="48">
        <v>0</v>
      </c>
      <c r="G618" s="48">
        <v>0</v>
      </c>
      <c r="H618" s="48">
        <v>0</v>
      </c>
      <c r="I618" s="49"/>
      <c r="J618" s="76">
        <f>ABS(D618)+ABS(E618)+ABS(F618)+ABS(G618)+ABS(H618)</f>
        <v>0</v>
      </c>
      <c r="K618" s="34">
        <v>1789102</v>
      </c>
    </row>
    <row r="619" spans="1:11" s="34" customFormat="1" ht="12.75" hidden="1">
      <c r="A619" s="46" t="s">
        <v>9</v>
      </c>
      <c r="B619" s="47" t="s">
        <v>1170</v>
      </c>
      <c r="C619" s="47" t="s">
        <v>1171</v>
      </c>
      <c r="D619" s="48">
        <v>0</v>
      </c>
      <c r="E619" s="48">
        <v>0</v>
      </c>
      <c r="F619" s="48">
        <v>0</v>
      </c>
      <c r="G619" s="48">
        <v>0</v>
      </c>
      <c r="H619" s="48">
        <v>0</v>
      </c>
      <c r="I619" s="49"/>
      <c r="J619" s="76">
        <f>ABS(D619)+ABS(E619)+ABS(F619)+ABS(G619)+ABS(H619)</f>
        <v>0</v>
      </c>
      <c r="K619" s="34">
        <v>1789103</v>
      </c>
    </row>
    <row r="620" spans="1:11" s="34" customFormat="1" ht="12.75" hidden="1">
      <c r="A620" s="46" t="s">
        <v>9</v>
      </c>
      <c r="B620" s="47" t="s">
        <v>1172</v>
      </c>
      <c r="C620" s="47" t="s">
        <v>1173</v>
      </c>
      <c r="D620" s="48">
        <v>0</v>
      </c>
      <c r="E620" s="48">
        <v>0</v>
      </c>
      <c r="F620" s="48">
        <v>0</v>
      </c>
      <c r="G620" s="48">
        <v>0</v>
      </c>
      <c r="H620" s="48">
        <v>0</v>
      </c>
      <c r="I620" s="49"/>
      <c r="J620" s="76">
        <f>ABS(D620)+ABS(E620)+ABS(F620)+ABS(G620)+ABS(H620)</f>
        <v>0</v>
      </c>
      <c r="K620" s="34">
        <v>1789104</v>
      </c>
    </row>
    <row r="621" spans="1:11" s="34" customFormat="1" ht="12.75" hidden="1">
      <c r="A621" s="46" t="s">
        <v>9</v>
      </c>
      <c r="B621" s="47" t="s">
        <v>1174</v>
      </c>
      <c r="C621" s="47" t="s">
        <v>1175</v>
      </c>
      <c r="D621" s="48">
        <v>0</v>
      </c>
      <c r="E621" s="48">
        <v>0</v>
      </c>
      <c r="F621" s="48">
        <v>0</v>
      </c>
      <c r="G621" s="48">
        <v>0</v>
      </c>
      <c r="H621" s="48">
        <v>0</v>
      </c>
      <c r="I621" s="49"/>
      <c r="J621" s="76">
        <f>ABS(D621)+ABS(E621)+ABS(F621)+ABS(G621)+ABS(H621)</f>
        <v>0</v>
      </c>
      <c r="K621" s="34">
        <v>1789105</v>
      </c>
    </row>
    <row r="622" spans="1:11" s="34" customFormat="1" ht="12.75" hidden="1">
      <c r="A622" s="46" t="s">
        <v>9</v>
      </c>
      <c r="B622" s="47" t="s">
        <v>1176</v>
      </c>
      <c r="C622" s="47" t="s">
        <v>1177</v>
      </c>
      <c r="D622" s="48">
        <v>0</v>
      </c>
      <c r="E622" s="48">
        <v>0</v>
      </c>
      <c r="F622" s="48">
        <v>0</v>
      </c>
      <c r="G622" s="48">
        <v>0</v>
      </c>
      <c r="H622" s="48">
        <v>0</v>
      </c>
      <c r="I622" s="49"/>
      <c r="J622" s="76">
        <f>ABS(D622)+ABS(E622)+ABS(F622)+ABS(G622)+ABS(H622)</f>
        <v>0</v>
      </c>
      <c r="K622" s="34">
        <v>1789106</v>
      </c>
    </row>
    <row r="623" spans="1:11" s="34" customFormat="1" ht="12.75" hidden="1">
      <c r="A623" s="46" t="s">
        <v>9</v>
      </c>
      <c r="B623" s="47" t="s">
        <v>1178</v>
      </c>
      <c r="C623" s="47" t="s">
        <v>1179</v>
      </c>
      <c r="D623" s="48">
        <v>0</v>
      </c>
      <c r="E623" s="48">
        <v>0</v>
      </c>
      <c r="F623" s="48">
        <v>0</v>
      </c>
      <c r="G623" s="48">
        <v>0</v>
      </c>
      <c r="H623" s="48">
        <v>0</v>
      </c>
      <c r="I623" s="49"/>
      <c r="J623" s="76">
        <f>ABS(D623)+ABS(E623)+ABS(F623)+ABS(G623)+ABS(H623)</f>
        <v>0</v>
      </c>
      <c r="K623" s="34">
        <v>1789107</v>
      </c>
    </row>
    <row r="624" spans="1:11" s="34" customFormat="1" ht="12.75" hidden="1">
      <c r="A624" s="46" t="s">
        <v>9</v>
      </c>
      <c r="B624" s="47" t="s">
        <v>1180</v>
      </c>
      <c r="C624" s="47" t="s">
        <v>1181</v>
      </c>
      <c r="D624" s="48">
        <v>0</v>
      </c>
      <c r="E624" s="48">
        <v>0</v>
      </c>
      <c r="F624" s="48">
        <v>0</v>
      </c>
      <c r="G624" s="48">
        <v>0</v>
      </c>
      <c r="H624" s="48">
        <v>0</v>
      </c>
      <c r="I624" s="49"/>
      <c r="J624" s="76">
        <f>ABS(D624)+ABS(E624)+ABS(F624)+ABS(G624)+ABS(H624)</f>
        <v>0</v>
      </c>
      <c r="K624" s="34">
        <v>1789108</v>
      </c>
    </row>
    <row r="625" spans="1:11" s="34" customFormat="1" ht="12.75" hidden="1">
      <c r="A625" s="46" t="s">
        <v>9</v>
      </c>
      <c r="B625" s="47" t="s">
        <v>1182</v>
      </c>
      <c r="C625" s="47" t="s">
        <v>1183</v>
      </c>
      <c r="D625" s="48">
        <v>0</v>
      </c>
      <c r="E625" s="48">
        <v>0</v>
      </c>
      <c r="F625" s="48">
        <v>0</v>
      </c>
      <c r="G625" s="48">
        <v>0</v>
      </c>
      <c r="H625" s="48">
        <v>0</v>
      </c>
      <c r="I625" s="49"/>
      <c r="J625" s="76">
        <f>ABS(D625)+ABS(E625)+ABS(F625)+ABS(G625)+ABS(H625)</f>
        <v>0</v>
      </c>
      <c r="K625" s="34">
        <v>1789109</v>
      </c>
    </row>
    <row r="626" spans="1:11" s="34" customFormat="1" ht="12.75" hidden="1">
      <c r="A626" s="46" t="s">
        <v>9</v>
      </c>
      <c r="B626" s="47" t="s">
        <v>1184</v>
      </c>
      <c r="C626" s="47" t="s">
        <v>1185</v>
      </c>
      <c r="D626" s="48">
        <v>0</v>
      </c>
      <c r="E626" s="48">
        <v>0</v>
      </c>
      <c r="F626" s="48">
        <v>0</v>
      </c>
      <c r="G626" s="48">
        <v>0</v>
      </c>
      <c r="H626" s="48">
        <v>0</v>
      </c>
      <c r="I626" s="49"/>
      <c r="J626" s="76">
        <f>ABS(D626)+ABS(E626)+ABS(F626)+ABS(G626)+ABS(H626)</f>
        <v>0</v>
      </c>
      <c r="K626" s="34">
        <v>1789110</v>
      </c>
    </row>
    <row r="627" spans="1:11" s="34" customFormat="1" ht="12.75" hidden="1">
      <c r="A627" s="46" t="s">
        <v>9</v>
      </c>
      <c r="B627" s="47" t="s">
        <v>1186</v>
      </c>
      <c r="C627" s="47" t="s">
        <v>1187</v>
      </c>
      <c r="D627" s="48">
        <v>0</v>
      </c>
      <c r="E627" s="48">
        <v>0</v>
      </c>
      <c r="F627" s="48">
        <v>0</v>
      </c>
      <c r="G627" s="48">
        <v>0</v>
      </c>
      <c r="H627" s="48">
        <v>0</v>
      </c>
      <c r="I627" s="49"/>
      <c r="J627" s="76">
        <f>ABS(D627)+ABS(E627)+ABS(F627)+ABS(G627)+ABS(H627)</f>
        <v>0</v>
      </c>
      <c r="K627" s="34">
        <v>1789111</v>
      </c>
    </row>
    <row r="628" spans="1:11" s="34" customFormat="1" ht="12.75" hidden="1">
      <c r="A628" s="46" t="s">
        <v>9</v>
      </c>
      <c r="B628" s="47" t="s">
        <v>1188</v>
      </c>
      <c r="C628" s="47" t="s">
        <v>1189</v>
      </c>
      <c r="D628" s="48">
        <v>0</v>
      </c>
      <c r="E628" s="48">
        <v>0</v>
      </c>
      <c r="F628" s="48">
        <v>0</v>
      </c>
      <c r="G628" s="48">
        <v>0</v>
      </c>
      <c r="H628" s="48">
        <v>0</v>
      </c>
      <c r="I628" s="49"/>
      <c r="J628" s="76">
        <f>ABS(D628)+ABS(E628)+ABS(F628)+ABS(G628)+ABS(H628)</f>
        <v>0</v>
      </c>
      <c r="K628" s="34">
        <v>1789112</v>
      </c>
    </row>
    <row r="629" spans="1:11" s="34" customFormat="1" ht="12.75" hidden="1">
      <c r="A629" s="46" t="s">
        <v>9</v>
      </c>
      <c r="B629" s="47" t="s">
        <v>1190</v>
      </c>
      <c r="C629" s="47" t="s">
        <v>1191</v>
      </c>
      <c r="D629" s="48">
        <v>0</v>
      </c>
      <c r="E629" s="48">
        <v>0</v>
      </c>
      <c r="F629" s="48">
        <v>0</v>
      </c>
      <c r="G629" s="48">
        <v>0</v>
      </c>
      <c r="H629" s="48">
        <v>0</v>
      </c>
      <c r="I629" s="49"/>
      <c r="J629" s="76">
        <f>ABS(D629)+ABS(E629)+ABS(F629)+ABS(G629)+ABS(H629)</f>
        <v>0</v>
      </c>
      <c r="K629" s="34">
        <v>1789113</v>
      </c>
    </row>
    <row r="630" spans="1:11" s="34" customFormat="1" ht="12.75" hidden="1">
      <c r="A630" s="46" t="s">
        <v>9</v>
      </c>
      <c r="B630" s="47" t="s">
        <v>1192</v>
      </c>
      <c r="C630" s="47" t="s">
        <v>1193</v>
      </c>
      <c r="D630" s="48">
        <v>0</v>
      </c>
      <c r="E630" s="48">
        <v>0</v>
      </c>
      <c r="F630" s="48">
        <v>0</v>
      </c>
      <c r="G630" s="48">
        <v>0</v>
      </c>
      <c r="H630" s="48">
        <v>0</v>
      </c>
      <c r="I630" s="49"/>
      <c r="J630" s="76">
        <f>ABS(D630)+ABS(E630)+ABS(F630)+ABS(G630)+ABS(H630)</f>
        <v>0</v>
      </c>
      <c r="K630" s="34">
        <v>1789114</v>
      </c>
    </row>
    <row r="631" spans="1:11" s="34" customFormat="1" ht="12.75" hidden="1">
      <c r="A631" s="46" t="s">
        <v>9</v>
      </c>
      <c r="B631" s="47" t="s">
        <v>1194</v>
      </c>
      <c r="C631" s="47" t="s">
        <v>1195</v>
      </c>
      <c r="D631" s="48">
        <v>0</v>
      </c>
      <c r="E631" s="48">
        <v>0</v>
      </c>
      <c r="F631" s="48">
        <v>0</v>
      </c>
      <c r="G631" s="48">
        <v>0</v>
      </c>
      <c r="H631" s="48">
        <v>0</v>
      </c>
      <c r="I631" s="49"/>
      <c r="J631" s="76">
        <f>ABS(D631)+ABS(E631)+ABS(F631)+ABS(G631)+ABS(H631)</f>
        <v>0</v>
      </c>
      <c r="K631" s="34">
        <v>1789115</v>
      </c>
    </row>
    <row r="632" spans="1:11" s="34" customFormat="1" ht="12.75" hidden="1">
      <c r="A632" s="46" t="s">
        <v>9</v>
      </c>
      <c r="B632" s="47" t="s">
        <v>1196</v>
      </c>
      <c r="C632" s="47" t="s">
        <v>1197</v>
      </c>
      <c r="D632" s="48">
        <v>0</v>
      </c>
      <c r="E632" s="48">
        <v>0</v>
      </c>
      <c r="F632" s="48">
        <v>0</v>
      </c>
      <c r="G632" s="48">
        <v>0</v>
      </c>
      <c r="H632" s="48">
        <v>0</v>
      </c>
      <c r="I632" s="49"/>
      <c r="J632" s="76">
        <f>ABS(D632)+ABS(E632)+ABS(F632)+ABS(G632)+ABS(H632)</f>
        <v>0</v>
      </c>
      <c r="K632" s="34">
        <v>1789116</v>
      </c>
    </row>
    <row r="633" spans="1:11" s="34" customFormat="1" ht="12.75" hidden="1">
      <c r="A633" s="46" t="s">
        <v>9</v>
      </c>
      <c r="B633" s="47" t="s">
        <v>1198</v>
      </c>
      <c r="C633" s="47" t="s">
        <v>1199</v>
      </c>
      <c r="D633" s="48">
        <v>0</v>
      </c>
      <c r="E633" s="48">
        <v>0</v>
      </c>
      <c r="F633" s="48">
        <v>0</v>
      </c>
      <c r="G633" s="48">
        <v>0</v>
      </c>
      <c r="H633" s="48">
        <v>0</v>
      </c>
      <c r="I633" s="49"/>
      <c r="J633" s="76">
        <f>ABS(D633)+ABS(E633)+ABS(F633)+ABS(G633)+ABS(H633)</f>
        <v>0</v>
      </c>
      <c r="K633" s="34">
        <v>1789117</v>
      </c>
    </row>
    <row r="634" spans="1:11" s="34" customFormat="1" ht="12.75" hidden="1">
      <c r="A634" s="46" t="s">
        <v>9</v>
      </c>
      <c r="B634" s="47" t="s">
        <v>1200</v>
      </c>
      <c r="C634" s="47" t="s">
        <v>1201</v>
      </c>
      <c r="D634" s="48">
        <v>0</v>
      </c>
      <c r="E634" s="48">
        <v>0</v>
      </c>
      <c r="F634" s="48">
        <v>0</v>
      </c>
      <c r="G634" s="48">
        <v>0</v>
      </c>
      <c r="H634" s="48">
        <v>0</v>
      </c>
      <c r="I634" s="49"/>
      <c r="J634" s="76">
        <f>ABS(D634)+ABS(E634)+ABS(F634)+ABS(G634)+ABS(H634)</f>
        <v>0</v>
      </c>
      <c r="K634" s="34">
        <v>1789118</v>
      </c>
    </row>
    <row r="635" spans="1:11" s="34" customFormat="1" ht="12.75" hidden="1">
      <c r="A635" s="46" t="s">
        <v>9</v>
      </c>
      <c r="B635" s="47" t="s">
        <v>1202</v>
      </c>
      <c r="C635" s="47" t="s">
        <v>1203</v>
      </c>
      <c r="D635" s="48">
        <v>0</v>
      </c>
      <c r="E635" s="48">
        <v>0</v>
      </c>
      <c r="F635" s="48">
        <v>0</v>
      </c>
      <c r="G635" s="48">
        <v>0</v>
      </c>
      <c r="H635" s="48">
        <v>0</v>
      </c>
      <c r="I635" s="49"/>
      <c r="J635" s="76">
        <f>ABS(D635)+ABS(E635)+ABS(F635)+ABS(G635)+ABS(H635)</f>
        <v>0</v>
      </c>
      <c r="K635" s="34">
        <v>1789119</v>
      </c>
    </row>
    <row r="636" spans="1:11" s="34" customFormat="1" ht="12.75" hidden="1">
      <c r="A636" s="46" t="s">
        <v>9</v>
      </c>
      <c r="B636" s="47" t="s">
        <v>1204</v>
      </c>
      <c r="C636" s="47" t="s">
        <v>1205</v>
      </c>
      <c r="D636" s="48">
        <v>0</v>
      </c>
      <c r="E636" s="48">
        <v>0</v>
      </c>
      <c r="F636" s="48">
        <v>0</v>
      </c>
      <c r="G636" s="48">
        <v>0</v>
      </c>
      <c r="H636" s="48">
        <v>0</v>
      </c>
      <c r="I636" s="49"/>
      <c r="J636" s="76">
        <f>ABS(D636)+ABS(E636)+ABS(F636)+ABS(G636)+ABS(H636)</f>
        <v>0</v>
      </c>
      <c r="K636" s="34">
        <v>1789120</v>
      </c>
    </row>
    <row r="637" spans="1:11" s="34" customFormat="1" ht="12.75" hidden="1">
      <c r="A637" s="46" t="s">
        <v>9</v>
      </c>
      <c r="B637" s="47" t="s">
        <v>1206</v>
      </c>
      <c r="C637" s="47" t="s">
        <v>1207</v>
      </c>
      <c r="D637" s="48">
        <v>0</v>
      </c>
      <c r="E637" s="48">
        <v>0</v>
      </c>
      <c r="F637" s="48">
        <v>0</v>
      </c>
      <c r="G637" s="48">
        <v>0</v>
      </c>
      <c r="H637" s="48">
        <v>0</v>
      </c>
      <c r="I637" s="49"/>
      <c r="J637" s="76">
        <f>ABS(D637)+ABS(E637)+ABS(F637)+ABS(G637)+ABS(H637)</f>
        <v>0</v>
      </c>
      <c r="K637" s="34">
        <v>1789121</v>
      </c>
    </row>
    <row r="638" spans="1:11" s="34" customFormat="1" ht="12.75" hidden="1">
      <c r="A638" s="46" t="s">
        <v>9</v>
      </c>
      <c r="B638" s="47" t="s">
        <v>1208</v>
      </c>
      <c r="C638" s="47" t="s">
        <v>1209</v>
      </c>
      <c r="D638" s="48">
        <v>0</v>
      </c>
      <c r="E638" s="48">
        <v>0</v>
      </c>
      <c r="F638" s="48">
        <v>0</v>
      </c>
      <c r="G638" s="48">
        <v>0</v>
      </c>
      <c r="H638" s="48">
        <v>0</v>
      </c>
      <c r="I638" s="49"/>
      <c r="J638" s="76">
        <f>ABS(D638)+ABS(E638)+ABS(F638)+ABS(G638)+ABS(H638)</f>
        <v>0</v>
      </c>
      <c r="K638" s="34">
        <v>1789122</v>
      </c>
    </row>
    <row r="639" spans="1:11" s="34" customFormat="1" ht="12.75" hidden="1">
      <c r="A639" s="46" t="s">
        <v>9</v>
      </c>
      <c r="B639" s="47" t="s">
        <v>1210</v>
      </c>
      <c r="C639" s="47" t="s">
        <v>1211</v>
      </c>
      <c r="D639" s="48">
        <v>0</v>
      </c>
      <c r="E639" s="48">
        <v>0</v>
      </c>
      <c r="F639" s="48">
        <v>0</v>
      </c>
      <c r="G639" s="48">
        <v>0</v>
      </c>
      <c r="H639" s="48">
        <v>0</v>
      </c>
      <c r="I639" s="49"/>
      <c r="J639" s="76">
        <f>ABS(D639)+ABS(E639)+ABS(F639)+ABS(G639)+ABS(H639)</f>
        <v>0</v>
      </c>
      <c r="K639" s="34">
        <v>1789123</v>
      </c>
    </row>
    <row r="640" spans="1:11" s="34" customFormat="1" ht="12.75" hidden="1">
      <c r="A640" s="46" t="s">
        <v>9</v>
      </c>
      <c r="B640" s="47" t="s">
        <v>1212</v>
      </c>
      <c r="C640" s="47" t="s">
        <v>1213</v>
      </c>
      <c r="D640" s="48">
        <v>0</v>
      </c>
      <c r="E640" s="48">
        <v>0</v>
      </c>
      <c r="F640" s="48">
        <v>0</v>
      </c>
      <c r="G640" s="48">
        <v>0</v>
      </c>
      <c r="H640" s="48">
        <v>0</v>
      </c>
      <c r="I640" s="49"/>
      <c r="J640" s="76">
        <f>ABS(D640)+ABS(E640)+ABS(F640)+ABS(G640)+ABS(H640)</f>
        <v>0</v>
      </c>
      <c r="K640" s="34">
        <v>1789124</v>
      </c>
    </row>
    <row r="641" spans="1:11" s="34" customFormat="1" ht="12.75" hidden="1">
      <c r="A641" s="46" t="s">
        <v>5</v>
      </c>
      <c r="B641" s="47" t="s">
        <v>1214</v>
      </c>
      <c r="C641" s="47" t="s">
        <v>1215</v>
      </c>
      <c r="D641" s="48">
        <v>0</v>
      </c>
      <c r="E641" s="48">
        <v>0</v>
      </c>
      <c r="F641" s="48">
        <v>0</v>
      </c>
      <c r="G641" s="48">
        <v>0</v>
      </c>
      <c r="H641" s="48">
        <v>0</v>
      </c>
      <c r="I641" s="49"/>
      <c r="J641" s="76">
        <f>ABS(D641)+ABS(E641)+ABS(F641)+ABS(G641)+ABS(H641)</f>
        <v>0</v>
      </c>
      <c r="K641" s="34">
        <v>1789125</v>
      </c>
    </row>
    <row r="642" spans="1:11" s="34" customFormat="1" ht="12.75" hidden="1">
      <c r="A642" s="46" t="s">
        <v>9</v>
      </c>
      <c r="B642" s="47" t="s">
        <v>1216</v>
      </c>
      <c r="C642" s="47" t="s">
        <v>1217</v>
      </c>
      <c r="D642" s="48">
        <v>0</v>
      </c>
      <c r="E642" s="48">
        <v>0</v>
      </c>
      <c r="F642" s="48">
        <v>0</v>
      </c>
      <c r="G642" s="48">
        <v>0</v>
      </c>
      <c r="H642" s="48">
        <v>0</v>
      </c>
      <c r="I642" s="49"/>
      <c r="J642" s="76">
        <f>ABS(D642)+ABS(E642)+ABS(F642)+ABS(G642)+ABS(H642)</f>
        <v>0</v>
      </c>
      <c r="K642" s="34">
        <v>1789126</v>
      </c>
    </row>
    <row r="643" spans="1:11" s="34" customFormat="1" ht="12.75" hidden="1">
      <c r="A643" s="46" t="s">
        <v>9</v>
      </c>
      <c r="B643" s="47" t="s">
        <v>1218</v>
      </c>
      <c r="C643" s="47" t="s">
        <v>1219</v>
      </c>
      <c r="D643" s="48">
        <v>0</v>
      </c>
      <c r="E643" s="48">
        <v>0</v>
      </c>
      <c r="F643" s="48">
        <v>0</v>
      </c>
      <c r="G643" s="48">
        <v>0</v>
      </c>
      <c r="H643" s="48">
        <v>0</v>
      </c>
      <c r="I643" s="49"/>
      <c r="J643" s="76">
        <f>ABS(D643)+ABS(E643)+ABS(F643)+ABS(G643)+ABS(H643)</f>
        <v>0</v>
      </c>
      <c r="K643" s="34">
        <v>1789127</v>
      </c>
    </row>
    <row r="644" spans="1:11" s="34" customFormat="1" ht="12.75" hidden="1">
      <c r="A644" s="46" t="s">
        <v>9</v>
      </c>
      <c r="B644" s="47" t="s">
        <v>1220</v>
      </c>
      <c r="C644" s="47" t="s">
        <v>1221</v>
      </c>
      <c r="D644" s="48">
        <v>0</v>
      </c>
      <c r="E644" s="48">
        <v>0</v>
      </c>
      <c r="F644" s="48">
        <v>0</v>
      </c>
      <c r="G644" s="48">
        <v>0</v>
      </c>
      <c r="H644" s="48">
        <v>0</v>
      </c>
      <c r="I644" s="49"/>
      <c r="J644" s="76">
        <f>ABS(D644)+ABS(E644)+ABS(F644)+ABS(G644)+ABS(H644)</f>
        <v>0</v>
      </c>
      <c r="K644" s="34">
        <v>1789128</v>
      </c>
    </row>
    <row r="645" spans="1:10" s="34" customFormat="1" ht="12.75">
      <c r="A645" s="46"/>
      <c r="B645" s="47"/>
      <c r="C645" s="47"/>
      <c r="D645" s="48"/>
      <c r="E645" s="48"/>
      <c r="F645" s="48"/>
      <c r="G645" s="48"/>
      <c r="H645" s="48"/>
      <c r="I645" s="49"/>
      <c r="J645" s="76"/>
    </row>
    <row r="646" spans="1:11" s="34" customFormat="1" ht="12.75" hidden="1">
      <c r="A646" s="46" t="s">
        <v>10</v>
      </c>
      <c r="B646" s="59" t="s">
        <v>1222</v>
      </c>
      <c r="C646" s="59" t="s">
        <v>1223</v>
      </c>
      <c r="D646" s="60" t="s">
        <v>1</v>
      </c>
      <c r="E646" s="60" t="s">
        <v>1</v>
      </c>
      <c r="F646" s="60" t="s">
        <v>1</v>
      </c>
      <c r="G646" s="60" t="s">
        <v>1</v>
      </c>
      <c r="H646" s="60" t="s">
        <v>1</v>
      </c>
      <c r="I646" s="61"/>
      <c r="J646" s="78">
        <v>0</v>
      </c>
      <c r="K646" s="34">
        <v>1789129</v>
      </c>
    </row>
    <row r="647" spans="1:11" s="34" customFormat="1" ht="12.75" hidden="1">
      <c r="A647" s="46" t="s">
        <v>9</v>
      </c>
      <c r="B647" s="47" t="s">
        <v>1224</v>
      </c>
      <c r="C647" s="47" t="s">
        <v>1225</v>
      </c>
      <c r="D647" s="48">
        <v>0</v>
      </c>
      <c r="E647" s="48">
        <v>0</v>
      </c>
      <c r="F647" s="48">
        <v>0</v>
      </c>
      <c r="G647" s="48">
        <v>0</v>
      </c>
      <c r="H647" s="48">
        <v>0</v>
      </c>
      <c r="I647" s="49"/>
      <c r="J647" s="76">
        <f>ABS(D647)+ABS(E647)+ABS(F647)+ABS(G647)+ABS(H647)</f>
        <v>0</v>
      </c>
      <c r="K647" s="34">
        <v>1789130</v>
      </c>
    </row>
    <row r="648" spans="1:11" s="34" customFormat="1" ht="12.75" hidden="1">
      <c r="A648" s="46" t="s">
        <v>6</v>
      </c>
      <c r="B648" s="47" t="s">
        <v>1226</v>
      </c>
      <c r="C648" s="47" t="s">
        <v>1227</v>
      </c>
      <c r="D648" s="48">
        <v>0</v>
      </c>
      <c r="E648" s="48">
        <v>0</v>
      </c>
      <c r="F648" s="48">
        <v>0</v>
      </c>
      <c r="G648" s="48">
        <v>0</v>
      </c>
      <c r="H648" s="48">
        <v>0</v>
      </c>
      <c r="I648" s="49"/>
      <c r="J648" s="76">
        <f>ABS(D648)+ABS(E648)+ABS(F648)+ABS(G648)+ABS(H648)</f>
        <v>0</v>
      </c>
      <c r="K648" s="34">
        <v>1789131</v>
      </c>
    </row>
    <row r="649" spans="1:11" s="34" customFormat="1" ht="12.75" hidden="1">
      <c r="A649" s="46" t="s">
        <v>6</v>
      </c>
      <c r="B649" s="47" t="s">
        <v>1228</v>
      </c>
      <c r="C649" s="47" t="s">
        <v>1229</v>
      </c>
      <c r="D649" s="48">
        <v>0</v>
      </c>
      <c r="E649" s="48">
        <v>0</v>
      </c>
      <c r="F649" s="48">
        <v>0</v>
      </c>
      <c r="G649" s="48">
        <v>0</v>
      </c>
      <c r="H649" s="48">
        <v>0</v>
      </c>
      <c r="I649" s="49"/>
      <c r="J649" s="76">
        <f>ABS(D649)+ABS(E649)+ABS(F649)+ABS(G649)+ABS(H649)</f>
        <v>0</v>
      </c>
      <c r="K649" s="34">
        <v>1789132</v>
      </c>
    </row>
    <row r="650" spans="1:11" s="34" customFormat="1" ht="12.75" hidden="1">
      <c r="A650" s="46" t="s">
        <v>6</v>
      </c>
      <c r="B650" s="47" t="s">
        <v>1230</v>
      </c>
      <c r="C650" s="47" t="s">
        <v>1231</v>
      </c>
      <c r="D650" s="48">
        <v>0</v>
      </c>
      <c r="E650" s="48">
        <v>0</v>
      </c>
      <c r="F650" s="48">
        <v>0</v>
      </c>
      <c r="G650" s="48">
        <v>0</v>
      </c>
      <c r="H650" s="48">
        <v>0</v>
      </c>
      <c r="I650" s="49"/>
      <c r="J650" s="76">
        <f>ABS(D650)+ABS(E650)+ABS(F650)+ABS(G650)+ABS(H650)</f>
        <v>0</v>
      </c>
      <c r="K650" s="34">
        <v>1789133</v>
      </c>
    </row>
    <row r="651" spans="1:11" s="34" customFormat="1" ht="12.75" hidden="1">
      <c r="A651" s="46" t="s">
        <v>6</v>
      </c>
      <c r="B651" s="47" t="s">
        <v>1232</v>
      </c>
      <c r="C651" s="47" t="s">
        <v>1233</v>
      </c>
      <c r="D651" s="48">
        <v>0</v>
      </c>
      <c r="E651" s="48">
        <v>0</v>
      </c>
      <c r="F651" s="48">
        <v>0</v>
      </c>
      <c r="G651" s="48">
        <v>0</v>
      </c>
      <c r="H651" s="48">
        <v>0</v>
      </c>
      <c r="I651" s="49"/>
      <c r="J651" s="76">
        <f>ABS(D651)+ABS(E651)+ABS(F651)+ABS(G651)+ABS(H651)</f>
        <v>0</v>
      </c>
      <c r="K651" s="34">
        <v>1789134</v>
      </c>
    </row>
    <row r="652" spans="1:11" s="34" customFormat="1" ht="12.75" hidden="1">
      <c r="A652" s="46" t="s">
        <v>6</v>
      </c>
      <c r="B652" s="47" t="s">
        <v>1234</v>
      </c>
      <c r="C652" s="47" t="s">
        <v>1235</v>
      </c>
      <c r="D652" s="48">
        <v>0</v>
      </c>
      <c r="E652" s="48">
        <v>0</v>
      </c>
      <c r="F652" s="48">
        <v>0</v>
      </c>
      <c r="G652" s="48">
        <v>0</v>
      </c>
      <c r="H652" s="48">
        <v>0</v>
      </c>
      <c r="I652" s="49"/>
      <c r="J652" s="76">
        <f>ABS(D652)+ABS(E652)+ABS(F652)+ABS(G652)+ABS(H652)</f>
        <v>0</v>
      </c>
      <c r="K652" s="34">
        <v>1789135</v>
      </c>
    </row>
    <row r="653" spans="1:11" s="34" customFormat="1" ht="12.75" hidden="1">
      <c r="A653" s="46" t="s">
        <v>9</v>
      </c>
      <c r="B653" s="47" t="s">
        <v>1236</v>
      </c>
      <c r="C653" s="47" t="s">
        <v>1237</v>
      </c>
      <c r="D653" s="48">
        <v>0</v>
      </c>
      <c r="E653" s="48">
        <v>0</v>
      </c>
      <c r="F653" s="48">
        <v>0</v>
      </c>
      <c r="G653" s="48">
        <v>0</v>
      </c>
      <c r="H653" s="48">
        <v>0</v>
      </c>
      <c r="I653" s="49"/>
      <c r="J653" s="76">
        <f>ABS(D653)+ABS(E653)+ABS(F653)+ABS(G653)+ABS(H653)</f>
        <v>0</v>
      </c>
      <c r="K653" s="34">
        <v>1789136</v>
      </c>
    </row>
    <row r="654" spans="1:11" s="34" customFormat="1" ht="12.75" hidden="1">
      <c r="A654" s="46" t="s">
        <v>9</v>
      </c>
      <c r="B654" s="47" t="s">
        <v>1238</v>
      </c>
      <c r="C654" s="47" t="s">
        <v>1239</v>
      </c>
      <c r="D654" s="48">
        <v>0</v>
      </c>
      <c r="E654" s="48">
        <v>0</v>
      </c>
      <c r="F654" s="48">
        <v>0</v>
      </c>
      <c r="G654" s="48">
        <v>0</v>
      </c>
      <c r="H654" s="48">
        <v>0</v>
      </c>
      <c r="I654" s="49"/>
      <c r="J654" s="76">
        <f>ABS(D654)+ABS(E654)+ABS(F654)+ABS(G654)+ABS(H654)</f>
        <v>0</v>
      </c>
      <c r="K654" s="34">
        <v>1789137</v>
      </c>
    </row>
    <row r="655" spans="1:11" s="34" customFormat="1" ht="12.75" hidden="1">
      <c r="A655" s="46" t="s">
        <v>9</v>
      </c>
      <c r="B655" s="47" t="s">
        <v>1240</v>
      </c>
      <c r="C655" s="47" t="s">
        <v>1241</v>
      </c>
      <c r="D655" s="48">
        <v>0</v>
      </c>
      <c r="E655" s="48">
        <v>0</v>
      </c>
      <c r="F655" s="48">
        <v>0</v>
      </c>
      <c r="G655" s="48">
        <v>0</v>
      </c>
      <c r="H655" s="48">
        <v>0</v>
      </c>
      <c r="I655" s="49"/>
      <c r="J655" s="76">
        <f>ABS(D655)+ABS(E655)+ABS(F655)+ABS(G655)+ABS(H655)</f>
        <v>0</v>
      </c>
      <c r="K655" s="34">
        <v>1789138</v>
      </c>
    </row>
    <row r="656" spans="1:11" s="34" customFormat="1" ht="12.75" hidden="1">
      <c r="A656" s="46" t="s">
        <v>31</v>
      </c>
      <c r="B656" s="47" t="s">
        <v>1242</v>
      </c>
      <c r="C656" s="47" t="s">
        <v>1243</v>
      </c>
      <c r="D656" s="48">
        <v>0</v>
      </c>
      <c r="E656" s="48">
        <v>0</v>
      </c>
      <c r="F656" s="48">
        <v>0</v>
      </c>
      <c r="G656" s="48">
        <v>0</v>
      </c>
      <c r="H656" s="48">
        <v>0</v>
      </c>
      <c r="I656" s="49"/>
      <c r="J656" s="76">
        <f>ABS(D656)+ABS(E656)+ABS(F656)+ABS(G656)+ABS(H656)</f>
        <v>0</v>
      </c>
      <c r="K656" s="34">
        <v>1789139</v>
      </c>
    </row>
    <row r="657" spans="1:11" s="34" customFormat="1" ht="12.75" hidden="1">
      <c r="A657" s="46" t="s">
        <v>9</v>
      </c>
      <c r="B657" s="47" t="s">
        <v>1244</v>
      </c>
      <c r="C657" s="47" t="s">
        <v>1245</v>
      </c>
      <c r="D657" s="48">
        <v>0</v>
      </c>
      <c r="E657" s="48">
        <v>0</v>
      </c>
      <c r="F657" s="48">
        <v>0</v>
      </c>
      <c r="G657" s="48">
        <v>0</v>
      </c>
      <c r="H657" s="48">
        <v>0</v>
      </c>
      <c r="I657" s="49"/>
      <c r="J657" s="76">
        <f>ABS(D657)+ABS(E657)+ABS(F657)+ABS(G657)+ABS(H657)</f>
        <v>0</v>
      </c>
      <c r="K657" s="34">
        <v>1789140</v>
      </c>
    </row>
    <row r="658" spans="1:11" s="34" customFormat="1" ht="12.75" hidden="1">
      <c r="A658" s="46" t="s">
        <v>9</v>
      </c>
      <c r="B658" s="47" t="s">
        <v>1246</v>
      </c>
      <c r="C658" s="47" t="s">
        <v>1247</v>
      </c>
      <c r="D658" s="48">
        <v>0</v>
      </c>
      <c r="E658" s="48">
        <v>0</v>
      </c>
      <c r="F658" s="48">
        <v>0</v>
      </c>
      <c r="G658" s="48">
        <v>0</v>
      </c>
      <c r="H658" s="48">
        <v>0</v>
      </c>
      <c r="I658" s="49"/>
      <c r="J658" s="76">
        <f>ABS(D658)+ABS(E658)+ABS(F658)+ABS(G658)+ABS(H658)</f>
        <v>0</v>
      </c>
      <c r="K658" s="34">
        <v>1789141</v>
      </c>
    </row>
    <row r="659" spans="1:11" s="34" customFormat="1" ht="12.75" hidden="1">
      <c r="A659" s="46" t="s">
        <v>9</v>
      </c>
      <c r="B659" s="47" t="s">
        <v>1248</v>
      </c>
      <c r="C659" s="47" t="s">
        <v>1249</v>
      </c>
      <c r="D659" s="48">
        <v>0</v>
      </c>
      <c r="E659" s="48">
        <v>0</v>
      </c>
      <c r="F659" s="48">
        <v>0</v>
      </c>
      <c r="G659" s="48">
        <v>0</v>
      </c>
      <c r="H659" s="48">
        <v>0</v>
      </c>
      <c r="I659" s="49"/>
      <c r="J659" s="76">
        <f>ABS(D659)+ABS(E659)+ABS(F659)+ABS(G659)+ABS(H659)</f>
        <v>0</v>
      </c>
      <c r="K659" s="34">
        <v>1789142</v>
      </c>
    </row>
    <row r="660" spans="1:11" s="34" customFormat="1" ht="12.75" hidden="1">
      <c r="A660" s="46" t="s">
        <v>31</v>
      </c>
      <c r="B660" s="47" t="s">
        <v>1250</v>
      </c>
      <c r="C660" s="47" t="s">
        <v>1251</v>
      </c>
      <c r="D660" s="48">
        <v>0</v>
      </c>
      <c r="E660" s="48">
        <v>0</v>
      </c>
      <c r="F660" s="48">
        <v>0</v>
      </c>
      <c r="G660" s="48">
        <v>0</v>
      </c>
      <c r="H660" s="48">
        <v>0</v>
      </c>
      <c r="I660" s="49"/>
      <c r="J660" s="76">
        <f>ABS(D660)+ABS(E660)+ABS(F660)+ABS(G660)+ABS(H660)</f>
        <v>0</v>
      </c>
      <c r="K660" s="34">
        <v>1789143</v>
      </c>
    </row>
    <row r="661" spans="1:11" s="34" customFormat="1" ht="12.75" hidden="1">
      <c r="A661" s="46" t="s">
        <v>31</v>
      </c>
      <c r="B661" s="47" t="s">
        <v>1252</v>
      </c>
      <c r="C661" s="47" t="s">
        <v>1253</v>
      </c>
      <c r="D661" s="48">
        <v>0</v>
      </c>
      <c r="E661" s="48">
        <v>0</v>
      </c>
      <c r="F661" s="48">
        <v>0</v>
      </c>
      <c r="G661" s="48">
        <v>0</v>
      </c>
      <c r="H661" s="48">
        <v>0</v>
      </c>
      <c r="I661" s="49"/>
      <c r="J661" s="76">
        <f>ABS(D661)+ABS(E661)+ABS(F661)+ABS(G661)+ABS(H661)</f>
        <v>0</v>
      </c>
      <c r="K661" s="34">
        <v>1789144</v>
      </c>
    </row>
    <row r="662" spans="1:11" s="34" customFormat="1" ht="12.75" hidden="1">
      <c r="A662" s="46" t="s">
        <v>31</v>
      </c>
      <c r="B662" s="47" t="s">
        <v>1254</v>
      </c>
      <c r="C662" s="47" t="s">
        <v>1255</v>
      </c>
      <c r="D662" s="48">
        <v>0</v>
      </c>
      <c r="E662" s="48">
        <v>0</v>
      </c>
      <c r="F662" s="48">
        <v>0</v>
      </c>
      <c r="G662" s="48">
        <v>0</v>
      </c>
      <c r="H662" s="48">
        <v>0</v>
      </c>
      <c r="I662" s="49"/>
      <c r="J662" s="76">
        <f>ABS(D662)+ABS(E662)+ABS(F662)+ABS(G662)+ABS(H662)</f>
        <v>0</v>
      </c>
      <c r="K662" s="34">
        <v>1789145</v>
      </c>
    </row>
    <row r="663" spans="1:10" s="34" customFormat="1" ht="12.75">
      <c r="A663" s="46"/>
      <c r="B663" s="47"/>
      <c r="C663" s="47"/>
      <c r="D663" s="48"/>
      <c r="E663" s="48"/>
      <c r="F663" s="48"/>
      <c r="G663" s="48"/>
      <c r="H663" s="48"/>
      <c r="I663" s="49"/>
      <c r="J663" s="76"/>
    </row>
    <row r="664" spans="1:11" s="34" customFormat="1" ht="12.75" hidden="1">
      <c r="A664" s="46" t="s">
        <v>32</v>
      </c>
      <c r="B664" s="63" t="s">
        <v>37</v>
      </c>
      <c r="C664" s="63" t="s">
        <v>1256</v>
      </c>
      <c r="D664" s="64">
        <v>0</v>
      </c>
      <c r="E664" s="64">
        <v>0</v>
      </c>
      <c r="F664" s="64">
        <v>0</v>
      </c>
      <c r="G664" s="64">
        <v>0</v>
      </c>
      <c r="H664" s="64">
        <v>0</v>
      </c>
      <c r="I664" s="65"/>
      <c r="J664" s="79">
        <f>ABS(D664)+ABS(E664)+ABS(F664)+ABS(G664)+ABS(H664)</f>
        <v>0</v>
      </c>
      <c r="K664" s="34">
        <v>1789146</v>
      </c>
    </row>
    <row r="665" spans="1:10" s="34" customFormat="1" ht="12.75" hidden="1">
      <c r="A665" s="46"/>
      <c r="B665" s="47"/>
      <c r="C665" s="47"/>
      <c r="D665" s="48"/>
      <c r="E665" s="48"/>
      <c r="F665" s="48"/>
      <c r="G665" s="48"/>
      <c r="H665" s="48"/>
      <c r="I665" s="49"/>
      <c r="J665" s="76">
        <v>0</v>
      </c>
    </row>
    <row r="666" spans="1:11" s="34" customFormat="1" ht="12.75">
      <c r="A666" s="46" t="s">
        <v>33</v>
      </c>
      <c r="B666" s="55" t="s">
        <v>37</v>
      </c>
      <c r="C666" s="55" t="s">
        <v>1257</v>
      </c>
      <c r="D666" s="56">
        <v>22873.25</v>
      </c>
      <c r="E666" s="56">
        <v>5189.32</v>
      </c>
      <c r="F666" s="56">
        <v>-31400</v>
      </c>
      <c r="G666" s="56">
        <v>0</v>
      </c>
      <c r="H666" s="56">
        <v>0</v>
      </c>
      <c r="I666" s="57"/>
      <c r="J666" s="77">
        <f>ABS(D666)+ABS(E666)+ABS(F666)+ABS(G666)+ABS(H666)</f>
        <v>59462.57</v>
      </c>
      <c r="K666" s="34">
        <v>1789147</v>
      </c>
    </row>
    <row r="667" spans="1:11" s="34" customFormat="1" ht="12.75" hidden="1">
      <c r="A667" s="46" t="s">
        <v>5</v>
      </c>
      <c r="B667" s="47" t="s">
        <v>37</v>
      </c>
      <c r="C667" s="47" t="s">
        <v>1258</v>
      </c>
      <c r="D667" s="48">
        <v>0</v>
      </c>
      <c r="E667" s="48">
        <v>0</v>
      </c>
      <c r="F667" s="48">
        <v>0</v>
      </c>
      <c r="G667" s="48">
        <v>0</v>
      </c>
      <c r="H667" s="48">
        <v>0</v>
      </c>
      <c r="I667" s="49"/>
      <c r="J667" s="76">
        <f>ABS(D667)+ABS(E667)+ABS(F667)+ABS(G667)+ABS(H667)</f>
        <v>0</v>
      </c>
      <c r="K667" s="34">
        <v>1789148</v>
      </c>
    </row>
    <row r="668" spans="1:10" s="34" customFormat="1" ht="12.75">
      <c r="A668" s="46"/>
      <c r="B668" s="47"/>
      <c r="C668" s="47"/>
      <c r="D668" s="48"/>
      <c r="E668" s="48"/>
      <c r="F668" s="48"/>
      <c r="G668" s="48"/>
      <c r="H668" s="48"/>
      <c r="I668" s="49"/>
      <c r="J668" s="76"/>
    </row>
    <row r="669" spans="1:11" s="34" customFormat="1" ht="12.75">
      <c r="A669" s="46" t="s">
        <v>34</v>
      </c>
      <c r="B669" s="67" t="s">
        <v>37</v>
      </c>
      <c r="C669" s="67" t="s">
        <v>1259</v>
      </c>
      <c r="D669" s="68">
        <v>193167.71</v>
      </c>
      <c r="E669" s="68">
        <v>17728.95</v>
      </c>
      <c r="F669" s="68">
        <v>-390760.83</v>
      </c>
      <c r="G669" s="68">
        <v>-417993.74</v>
      </c>
      <c r="H669" s="68">
        <v>-60000.18</v>
      </c>
      <c r="I669" s="69"/>
      <c r="J669" s="80">
        <f>ABS(D669)+ABS(E669)+ABS(F669)+ABS(G669)+ABS(H669)</f>
        <v>1079651.41</v>
      </c>
      <c r="K669" s="34">
        <v>1789149</v>
      </c>
    </row>
    <row r="670" spans="1:10" s="34" customFormat="1" ht="12.75">
      <c r="A670" s="46"/>
      <c r="B670" s="47"/>
      <c r="C670" s="47"/>
      <c r="D670" s="48"/>
      <c r="E670" s="48"/>
      <c r="F670" s="48"/>
      <c r="G670" s="48"/>
      <c r="H670" s="48"/>
      <c r="I670" s="49"/>
      <c r="J670" s="76"/>
    </row>
    <row r="671" spans="1:11" s="34" customFormat="1" ht="12.75" hidden="1">
      <c r="A671" s="46" t="s">
        <v>35</v>
      </c>
      <c r="B671" s="67" t="s">
        <v>37</v>
      </c>
      <c r="C671" s="67" t="s">
        <v>1259</v>
      </c>
      <c r="D671" s="68">
        <v>-7061247.66</v>
      </c>
      <c r="E671" s="68">
        <v>-7884241.92</v>
      </c>
      <c r="F671" s="68">
        <v>-3188771.75</v>
      </c>
      <c r="G671" s="68">
        <v>-3452964.34</v>
      </c>
      <c r="H671" s="68">
        <v>-8363098.6</v>
      </c>
      <c r="I671" s="69"/>
      <c r="J671" s="80">
        <f>ABS(D671)+ABS(E671)+ABS(F671)+ABS(G671)+ABS(H671)</f>
        <v>29950324.27</v>
      </c>
      <c r="K671" s="34">
        <v>1789150</v>
      </c>
    </row>
    <row r="672" spans="2:5" ht="10.5">
      <c r="B672" s="51"/>
      <c r="C672" s="51"/>
      <c r="D672" s="51"/>
      <c r="E672" s="51"/>
    </row>
    <row r="673" spans="1:9" ht="12.75">
      <c r="A673" s="52"/>
      <c r="B673" s="53"/>
      <c r="C673" s="53"/>
      <c r="D673" s="53"/>
      <c r="E673" s="53"/>
      <c r="F673" s="53"/>
      <c r="G673" s="53"/>
      <c r="H673" s="53"/>
      <c r="I673" s="53"/>
    </row>
    <row r="674" spans="1:5" ht="10.5">
      <c r="A674" s="52"/>
      <c r="B674" s="51"/>
      <c r="C674" s="51"/>
      <c r="D674" s="51"/>
      <c r="E674" s="51"/>
    </row>
    <row r="675" spans="1:5" ht="10.5">
      <c r="A675" s="52"/>
      <c r="B675" s="51"/>
      <c r="C675" s="51"/>
      <c r="D675" s="51"/>
      <c r="E675" s="51"/>
    </row>
    <row r="676" spans="1:5" ht="10.5">
      <c r="A676" s="52"/>
      <c r="D676" s="54"/>
      <c r="E676" s="54"/>
    </row>
    <row r="677" ht="10.5">
      <c r="A677" s="52"/>
    </row>
    <row r="678" ht="10.5">
      <c r="A678" s="52"/>
    </row>
    <row r="679" ht="10.5">
      <c r="A679" s="52"/>
    </row>
    <row r="680" ht="10.5">
      <c r="A680" s="52"/>
    </row>
    <row r="681" ht="10.5">
      <c r="A681" s="52"/>
    </row>
    <row r="682" ht="10.5">
      <c r="A682" s="52"/>
    </row>
  </sheetData>
  <sheetProtection/>
  <mergeCells count="1">
    <mergeCell ref="C11:C12"/>
  </mergeCells>
  <conditionalFormatting sqref="B11:B14 D11:H14 C11 C13:C14">
    <cfRule type="cellIs" priority="1" dxfId="0" operator="equal" stopIfTrue="1">
      <formula>"total"</formula>
    </cfRule>
  </conditionalFormatting>
  <printOptions horizontalCentered="1"/>
  <pageMargins left="0" right="0" top="0" bottom="0" header="0" footer="0"/>
  <pageSetup fitToHeight="0" horizontalDpi="600" verticalDpi="6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