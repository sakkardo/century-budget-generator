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62380" windowHeight="23720" tabRatio="500" firstSheet="0" activeTab="9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Budget Summary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Payroll" sheetId="5" state="visible" r:id="rId5"/>
    <sheet xmlns:r="http://schemas.openxmlformats.org/officeDocument/2006/relationships" name="Energy" sheetId="6" state="visible" r:id="rId6"/>
    <sheet xmlns:r="http://schemas.openxmlformats.org/officeDocument/2006/relationships" name="Water &amp; Sewer" sheetId="7" state="visible" r:id="rId7"/>
    <sheet xmlns:r="http://schemas.openxmlformats.org/officeDocument/2006/relationships" name="Repairs &amp; Supplies" sheetId="8" state="visible" r:id="rId8"/>
    <sheet xmlns:r="http://schemas.openxmlformats.org/officeDocument/2006/relationships" name="Gen &amp; Admin" sheetId="9" state="visible" r:id="rId9"/>
    <sheet xmlns:r="http://schemas.openxmlformats.org/officeDocument/2006/relationships" name="RE Taxes" sheetId="10" state="visible" r:id="rId10"/>
    <sheet xmlns:r="http://schemas.openxmlformats.org/officeDocument/2006/relationships" name="Insurance Schedule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2">
    <numFmt numFmtId="164" formatCode="#,##0;\(#,##0\);\-"/>
    <numFmt numFmtId="165" formatCode="0.0%;\(0.0%\);\-"/>
    <numFmt numFmtId="166" formatCode="\$#,##0.000"/>
    <numFmt numFmtId="167" formatCode="0.0%"/>
    <numFmt numFmtId="168" formatCode="\$#,##0"/>
    <numFmt numFmtId="169" formatCode="0.0000"/>
    <numFmt numFmtId="170" formatCode="0.00000"/>
    <numFmt numFmtId="171" formatCode="0.000"/>
    <numFmt numFmtId="172" formatCode="\$#,##0.00"/>
    <numFmt numFmtId="173" formatCode="\$#,##0.0000"/>
    <numFmt numFmtId="174" formatCode="mm/dd/yyyy"/>
    <numFmt numFmtId="175" formatCode="0.000%"/>
  </numFmts>
  <fonts count="19">
    <font>
      <name val="Calibri"/>
      <charset val="1"/>
      <family val="2"/>
      <color theme="1"/>
      <sz val="11"/>
    </font>
    <font>
      <name val="Arial"/>
      <charset val="1"/>
      <family val="2"/>
      <b val="1"/>
      <color rgb="FF2F5496"/>
      <sz val="16"/>
    </font>
    <font>
      <name val="Arial"/>
      <charset val="1"/>
      <family val="2"/>
      <b val="1"/>
      <sz val="20"/>
    </font>
    <font>
      <name val="Arial"/>
      <charset val="1"/>
      <family val="2"/>
      <b val="1"/>
      <sz val="10"/>
    </font>
    <font>
      <name val="Arial"/>
      <charset val="1"/>
      <family val="2"/>
      <color rgb="FF008000"/>
      <sz val="10"/>
    </font>
    <font>
      <name val="Arial"/>
      <charset val="1"/>
      <family val="2"/>
      <b val="1"/>
      <color rgb="FF2F5496"/>
      <sz val="12"/>
    </font>
    <font>
      <name val="Arial"/>
      <charset val="1"/>
      <family val="2"/>
      <b val="1"/>
      <color rgb="FF008000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sz val="10"/>
    </font>
    <font>
      <name val="Arial"/>
      <charset val="1"/>
      <family val="2"/>
      <b val="1"/>
      <sz val="14"/>
    </font>
    <font>
      <name val="Arial"/>
      <charset val="1"/>
      <family val="2"/>
      <i val="1"/>
      <sz val="9"/>
    </font>
    <font>
      <name val="Arial"/>
      <charset val="1"/>
      <family val="2"/>
      <color rgb="FF0000FF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rgb="FF2F5496"/>
      <sz val="11"/>
    </font>
    <font>
      <name val="Arial"/>
      <charset val="1"/>
      <family val="2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D6DCE4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B4C6E7"/>
        <bgColor rgb="FF99CCFF"/>
      </patternFill>
    </fill>
    <fill>
      <patternFill patternType="solid">
        <fgColor rgb="FFD6DCE4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8" borderId="2" pivotButton="0" quotePrefix="0" xfId="0"/>
    <xf numFmtId="0" fontId="3" fillId="3" borderId="1" pivotButton="0" quotePrefix="0" xfId="0"/>
    <xf numFmtId="0" fontId="10" fillId="0" borderId="0" pivotButton="0" quotePrefix="0" xfId="0"/>
    <xf numFmtId="0" fontId="17" fillId="0" borderId="0" pivotButton="0" quotePrefix="0" xfId="0"/>
    <xf numFmtId="0" fontId="7" fillId="0" borderId="1" pivotButton="0" quotePrefix="0" xfId="0"/>
    <xf numFmtId="0" fontId="15" fillId="2" borderId="1" pivotButton="0" quotePrefix="0" xfId="0"/>
    <xf numFmtId="0" fontId="15" fillId="6" borderId="1" pivotButton="0" quotePrefix="0" xfId="0"/>
    <xf numFmtId="0" fontId="4" fillId="0" borderId="0" pivotButton="0" quotePrefix="0" xfId="0"/>
    <xf numFmtId="0" fontId="9" fillId="0" borderId="0" pivotButton="0" quotePrefix="0" xfId="0"/>
    <xf numFmtId="0" fontId="3" fillId="0" borderId="1" applyAlignment="1" pivotButton="0" quotePrefix="0" xfId="0">
      <alignment horizontal="right"/>
    </xf>
    <xf numFmtId="0" fontId="5" fillId="0" borderId="0" pivotButton="0" quotePrefix="0" xfId="0"/>
    <xf numFmtId="0" fontId="4" fillId="3" borderId="1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3" fillId="0" borderId="1" applyAlignment="1" pivotButton="0" quotePrefix="0" xfId="0">
      <alignment horizontal="right"/>
    </xf>
    <xf numFmtId="164" fontId="6" fillId="4" borderId="1" pivotButton="0" quotePrefix="0" xfId="0"/>
    <xf numFmtId="10" fontId="7" fillId="5" borderId="1" pivotButton="0" quotePrefix="0" xfId="0"/>
    <xf numFmtId="0" fontId="3" fillId="0" borderId="1" pivotButton="0" quotePrefix="0" xfId="0"/>
    <xf numFmtId="0" fontId="7" fillId="5" borderId="1" pivotButton="0" quotePrefix="0" xfId="0"/>
    <xf numFmtId="0" fontId="8" fillId="0" borderId="1" pivotButton="0" quotePrefix="0" xfId="0"/>
    <xf numFmtId="0" fontId="10" fillId="0" borderId="0" pivotButton="0" quotePrefix="0" xfId="0"/>
    <xf numFmtId="0" fontId="11" fillId="5" borderId="1" pivotButton="0" quotePrefix="0" xfId="0"/>
    <xf numFmtId="0" fontId="12" fillId="0" borderId="1" pivotButton="0" quotePrefix="0" xfId="0"/>
    <xf numFmtId="0" fontId="13" fillId="5" borderId="1" pivotButton="0" quotePrefix="0" xfId="0"/>
    <xf numFmtId="0" fontId="12" fillId="0" borderId="0" pivotButton="0" quotePrefix="0" xfId="0"/>
    <xf numFmtId="0" fontId="14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5" fillId="2" borderId="1" applyAlignment="1" pivotButton="0" quotePrefix="0" xfId="0">
      <alignment horizontal="center" wrapText="1"/>
    </xf>
    <xf numFmtId="164" fontId="4" fillId="4" borderId="1" pivotButton="0" quotePrefix="0" xfId="0"/>
    <xf numFmtId="164" fontId="11" fillId="5" borderId="1" pivotButton="0" quotePrefix="0" xfId="0"/>
    <xf numFmtId="164" fontId="8" fillId="0" borderId="1" pivotButton="0" quotePrefix="0" xfId="0"/>
    <xf numFmtId="165" fontId="8" fillId="0" borderId="1" pivotButton="0" quotePrefix="0" xfId="0"/>
    <xf numFmtId="0" fontId="3" fillId="7" borderId="2" pivotButton="0" quotePrefix="0" xfId="0"/>
    <xf numFmtId="164" fontId="3" fillId="7" borderId="2" pivotButton="0" quotePrefix="0" xfId="0"/>
    <xf numFmtId="165" fontId="3" fillId="7" borderId="2" pivotButton="0" quotePrefix="0" xfId="0"/>
    <xf numFmtId="0" fontId="16" fillId="8" borderId="2" pivotButton="0" quotePrefix="0" xfId="0"/>
    <xf numFmtId="164" fontId="16" fillId="8" borderId="2" pivotButton="0" quotePrefix="0" xfId="0"/>
    <xf numFmtId="0" fontId="3" fillId="8" borderId="2" pivotButton="0" quotePrefix="0" xfId="0"/>
    <xf numFmtId="3" fontId="11" fillId="5" borderId="1" pivotButton="0" quotePrefix="0" xfId="0"/>
    <xf numFmtId="166" fontId="11" fillId="5" borderId="1" pivotButton="0" quotePrefix="0" xfId="0"/>
    <xf numFmtId="167" fontId="11" fillId="5" borderId="1" pivotButton="0" quotePrefix="0" xfId="0"/>
    <xf numFmtId="166" fontId="8" fillId="0" borderId="1" pivotButton="0" quotePrefix="0" xfId="0"/>
    <xf numFmtId="0" fontId="15" fillId="2" borderId="1" applyAlignment="1" pivotButton="0" quotePrefix="0" xfId="0">
      <alignment horizontal="center"/>
    </xf>
    <xf numFmtId="168" fontId="11" fillId="5" borderId="1" pivotButton="0" quotePrefix="0" xfId="0"/>
    <xf numFmtId="168" fontId="8" fillId="0" borderId="1" pivotButton="0" quotePrefix="0" xfId="0"/>
    <xf numFmtId="3" fontId="8" fillId="0" borderId="1" pivotButton="0" quotePrefix="0" xfId="0"/>
    <xf numFmtId="0" fontId="10" fillId="9" borderId="1" applyAlignment="1" pivotButton="0" quotePrefix="0" xfId="0">
      <alignment horizontal="center"/>
    </xf>
    <xf numFmtId="0" fontId="8" fillId="10" borderId="1" pivotButton="0" quotePrefix="0" xfId="0"/>
    <xf numFmtId="164" fontId="8" fillId="10" borderId="1" pivotButton="0" quotePrefix="0" xfId="0"/>
    <xf numFmtId="165" fontId="11" fillId="5" borderId="1" pivotButton="0" quotePrefix="0" xfId="0"/>
    <xf numFmtId="164" fontId="4" fillId="0" borderId="1" pivotButton="0" quotePrefix="0" xfId="0"/>
    <xf numFmtId="164" fontId="3" fillId="0" borderId="1" pivotButton="0" quotePrefix="0" xfId="0"/>
    <xf numFmtId="0" fontId="18" fillId="2" borderId="2" pivotButton="0" quotePrefix="0" xfId="0"/>
    <xf numFmtId="0" fontId="3" fillId="2" borderId="2" pivotButton="0" quotePrefix="0" xfId="0"/>
    <xf numFmtId="164" fontId="18" fillId="2" borderId="2" pivotButton="0" quotePrefix="0" xfId="0"/>
    <xf numFmtId="165" fontId="18" fillId="2" borderId="2" pivotButton="0" quotePrefix="0" xfId="0"/>
    <xf numFmtId="169" fontId="11" fillId="5" borderId="1" pivotButton="0" quotePrefix="0" xfId="0"/>
    <xf numFmtId="0" fontId="10" fillId="0" borderId="1" pivotButton="0" quotePrefix="0" xfId="0"/>
    <xf numFmtId="4" fontId="11" fillId="5" borderId="1" pivotButton="0" quotePrefix="0" xfId="0"/>
    <xf numFmtId="170" fontId="11" fillId="5" borderId="1" pivotButton="0" quotePrefix="0" xfId="0"/>
    <xf numFmtId="171" fontId="11" fillId="5" borderId="1" pivotButton="0" quotePrefix="0" xfId="0"/>
    <xf numFmtId="172" fontId="11" fillId="5" borderId="1" pivotButton="0" quotePrefix="0" xfId="0"/>
    <xf numFmtId="172" fontId="8" fillId="0" borderId="1" pivotButton="0" quotePrefix="0" xfId="0"/>
    <xf numFmtId="169" fontId="8" fillId="0" borderId="1" pivotButton="0" quotePrefix="0" xfId="0"/>
    <xf numFmtId="170" fontId="8" fillId="0" borderId="1" pivotButton="0" quotePrefix="0" xfId="0"/>
    <xf numFmtId="171" fontId="8" fillId="0" borderId="1" pivotButton="0" quotePrefix="0" xfId="0"/>
    <xf numFmtId="0" fontId="3" fillId="7" borderId="1" pivotButton="0" quotePrefix="0" xfId="0"/>
    <xf numFmtId="164" fontId="3" fillId="7" borderId="1" pivotButton="0" quotePrefix="0" xfId="0"/>
    <xf numFmtId="167" fontId="8" fillId="0" borderId="1" pivotButton="0" quotePrefix="0" xfId="0"/>
    <xf numFmtId="4" fontId="8" fillId="0" borderId="1" pivotButton="0" quotePrefix="0" xfId="0"/>
    <xf numFmtId="164" fontId="3" fillId="8" borderId="2" pivotButton="0" quotePrefix="0" xfId="0"/>
    <xf numFmtId="173" fontId="11" fillId="5" borderId="1" pivotButton="0" quotePrefix="0" xfId="0"/>
    <xf numFmtId="173" fontId="8" fillId="0" borderId="1" pivotButton="0" quotePrefix="0" xfId="0"/>
    <xf numFmtId="3" fontId="3" fillId="7" borderId="2" pivotButton="0" quotePrefix="0" xfId="0"/>
    <xf numFmtId="173" fontId="3" fillId="7" borderId="2" pivotButton="0" quotePrefix="0" xfId="0"/>
    <xf numFmtId="174" fontId="11" fillId="5" borderId="1" pivotButton="0" quotePrefix="0" xfId="0"/>
    <xf numFmtId="175" fontId="11" fillId="5" borderId="1" pivotButton="0" quotePrefix="0" xfId="0"/>
    <xf numFmtId="0" fontId="10" fillId="8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G27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4" customWidth="1" min="1" max="1"/>
    <col width="18" customWidth="1" min="2" max="2"/>
    <col width="20" customWidth="1" min="3" max="4"/>
    <col width="22" customWidth="1" min="5" max="5"/>
    <col width="16" customWidth="1" min="6" max="7"/>
  </cols>
  <sheetData>
    <row r="4" ht="19.5" customHeight="1">
      <c r="B4" s="14" t="inlineStr">
        <is>
          <t>CENTURY MANAGEMENT SERVICES</t>
        </is>
      </c>
    </row>
    <row r="6" ht="24" customHeight="1">
      <c r="B6" s="13" t="inlineStr">
        <is>
          <t>OPERATING BUDGET</t>
        </is>
      </c>
    </row>
    <row r="7" ht="15" customHeight="1">
      <c r="B7" s="15" t="n"/>
      <c r="C7" s="15" t="n"/>
      <c r="D7" s="15" t="n"/>
      <c r="E7" s="15" t="n"/>
      <c r="F7" s="15" t="n"/>
      <c r="G7" s="15" t="n"/>
    </row>
    <row r="9" ht="15" customHeight="1">
      <c r="B9" s="16" t="inlineStr">
        <is>
          <t>Property Name:</t>
        </is>
      </c>
      <c r="C9" s="12">
        <f>Setup!B5</f>
        <v/>
      </c>
      <c r="D9" s="81" t="n"/>
      <c r="E9" s="82" t="n"/>
    </row>
    <row r="10" ht="15" customHeight="1">
      <c r="B10" s="16" t="inlineStr">
        <is>
          <t>Address:</t>
        </is>
      </c>
      <c r="C10" s="12">
        <f>Setup!B6</f>
        <v/>
      </c>
      <c r="D10" s="81" t="n"/>
      <c r="E10" s="82" t="n"/>
    </row>
    <row r="11" ht="15" customHeight="1">
      <c r="B11" s="16" t="inlineStr">
        <is>
          <t>Property Code:</t>
        </is>
      </c>
      <c r="C11" s="12">
        <f>Setup!B4</f>
        <v/>
      </c>
      <c r="D11" s="81" t="n"/>
      <c r="E11" s="82" t="n"/>
    </row>
    <row r="12" ht="15" customHeight="1">
      <c r="B12" s="16" t="inlineStr">
        <is>
          <t>Budget Year:</t>
        </is>
      </c>
      <c r="C12" s="12">
        <f>Setup!B7</f>
        <v/>
      </c>
      <c r="D12" s="81" t="n"/>
      <c r="E12" s="82" t="n"/>
    </row>
    <row r="14" ht="15" customHeight="1">
      <c r="B14" s="15" t="n"/>
      <c r="C14" s="15" t="n"/>
      <c r="D14" s="15" t="n"/>
      <c r="E14" s="15" t="n"/>
      <c r="F14" s="15" t="n"/>
      <c r="G14" s="15" t="n"/>
    </row>
    <row r="16" ht="15" customHeight="1">
      <c r="B16" s="11" t="inlineStr">
        <is>
          <t>BUDGET SNAPSHOT</t>
        </is>
      </c>
    </row>
    <row r="18" ht="15" customHeight="1">
      <c r="B18" s="16" t="inlineStr">
        <is>
          <t>Total Operating Income:</t>
        </is>
      </c>
      <c r="C18" s="81" t="n"/>
      <c r="D18" s="82" t="n"/>
      <c r="E18" s="17">
        <f>'Budget Summary'!E8</f>
        <v/>
      </c>
    </row>
    <row r="19" ht="15" customHeight="1">
      <c r="B19" s="16" t="inlineStr">
        <is>
          <t>Total Operating Expenses:</t>
        </is>
      </c>
      <c r="C19" s="81" t="n"/>
      <c r="D19" s="82" t="n"/>
      <c r="E19" s="17">
        <f>'Budget Summary'!E22</f>
        <v/>
      </c>
    </row>
    <row r="20" ht="15" customHeight="1">
      <c r="B20" s="16" t="inlineStr">
        <is>
          <t>Operating Surplus / (Deficit):</t>
        </is>
      </c>
      <c r="C20" s="81" t="n"/>
      <c r="D20" s="82" t="n"/>
      <c r="E20" s="17">
        <f>'Budget Summary'!E24</f>
        <v/>
      </c>
    </row>
    <row r="22" ht="15" customHeight="1">
      <c r="B22" s="16" t="inlineStr">
        <is>
          <t>Proposed Maintenance Increase:</t>
        </is>
      </c>
      <c r="C22" s="81" t="n"/>
      <c r="D22" s="82" t="n"/>
      <c r="E22" s="18">
        <f>'Budget Summary'!E26</f>
        <v/>
      </c>
    </row>
    <row r="24" ht="15" customHeight="1">
      <c r="B24" s="15" t="n"/>
      <c r="C24" s="15" t="n"/>
      <c r="D24" s="15" t="n"/>
      <c r="E24" s="15" t="n"/>
      <c r="F24" s="15" t="n"/>
      <c r="G24" s="15" t="n"/>
    </row>
    <row r="26" ht="15" customHeight="1">
      <c r="B26" s="19" t="inlineStr">
        <is>
          <t>Status:</t>
        </is>
      </c>
      <c r="C26" s="20">
        <f>Setup!B10</f>
        <v/>
      </c>
    </row>
    <row r="27" ht="15" customHeight="1">
      <c r="B27" s="19" t="inlineStr">
        <is>
          <t>Prepared By:</t>
        </is>
      </c>
      <c r="C27" s="21">
        <f>Setup!B9</f>
        <v/>
      </c>
    </row>
  </sheetData>
  <mergeCells count="11">
    <mergeCell ref="B19:D19"/>
    <mergeCell ref="C11:E11"/>
    <mergeCell ref="B22:D22"/>
    <mergeCell ref="B16:E16"/>
    <mergeCell ref="C9:E9"/>
    <mergeCell ref="B18:D18"/>
    <mergeCell ref="B4:G4"/>
    <mergeCell ref="B6:G6"/>
    <mergeCell ref="C12:E12"/>
    <mergeCell ref="B20:D20"/>
    <mergeCell ref="C10:E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22" customWidth="1" min="1" max="1"/>
    <col width="35" customWidth="1" min="2" max="2"/>
    <col width="40" customWidth="1" min="3" max="3"/>
  </cols>
  <sheetData>
    <row r="1" ht="17.25" customHeight="1">
      <c r="A1" s="9" t="inlineStr">
        <is>
          <t>BUDGET TEMPLATE — SETUP</t>
        </is>
      </c>
    </row>
    <row r="2" ht="15" customHeight="1">
      <c r="A2" s="22" t="inlineStr">
        <is>
          <t>Enter property details below. All tabs reference these cells.</t>
        </is>
      </c>
    </row>
    <row r="4" ht="15" customHeight="1">
      <c r="A4" s="19" t="inlineStr">
        <is>
          <t>Property Code:</t>
        </is>
      </c>
      <c r="B4" s="23" t="n"/>
      <c r="C4" s="22" t="inlineStr">
        <is>
          <t>Yardi entity code</t>
        </is>
      </c>
    </row>
    <row r="5" ht="15" customHeight="1">
      <c r="A5" s="19" t="inlineStr">
        <is>
          <t>Property Name:</t>
        </is>
      </c>
      <c r="B5" s="23" t="n"/>
      <c r="C5" s="22" t="inlineStr">
        <is>
          <t>Full legal name</t>
        </is>
      </c>
    </row>
    <row r="6" ht="15" customHeight="1">
      <c r="A6" s="19" t="inlineStr">
        <is>
          <t>Address:</t>
        </is>
      </c>
      <c r="B6" s="23" t="n"/>
      <c r="C6" s="22" t="inlineStr">
        <is>
          <t>Street address</t>
        </is>
      </c>
    </row>
    <row r="7" ht="15" customHeight="1">
      <c r="A7" s="19" t="inlineStr">
        <is>
          <t>Budget Year:</t>
        </is>
      </c>
      <c r="B7" s="23" t="n">
        <v>0</v>
      </c>
      <c r="C7" s="22" t="inlineStr">
        <is>
          <t>Year being budgeted</t>
        </is>
      </c>
    </row>
    <row r="8" ht="15" customHeight="1">
      <c r="A8" s="19" t="inlineStr">
        <is>
          <t>YTD Through:</t>
        </is>
      </c>
      <c r="B8" s="23" t="inlineStr">
        <is>
          <t>Sep 20XX</t>
        </is>
      </c>
      <c r="C8" s="22" t="inlineStr">
        <is>
          <t>Period of Yardi data</t>
        </is>
      </c>
    </row>
    <row r="9" ht="15" customHeight="1">
      <c r="A9" s="19" t="inlineStr">
        <is>
          <t>Prepared By:</t>
        </is>
      </c>
      <c r="B9" s="23" t="n"/>
      <c r="C9" s="22" t="inlineStr">
        <is>
          <t>Initials</t>
        </is>
      </c>
    </row>
    <row r="10" ht="15" customHeight="1">
      <c r="A10" s="24" t="inlineStr">
        <is>
          <t>YTD Months:</t>
        </is>
      </c>
      <c r="B10" s="25" t="n">
        <v>9</v>
      </c>
      <c r="C10" s="22" t="inlineStr">
        <is>
          <t>DRAFT or APPROVED</t>
        </is>
      </c>
    </row>
    <row r="11" ht="15" customHeight="1">
      <c r="A11" s="26" t="inlineStr">
        <is>
          <t>Remaining Months:</t>
        </is>
      </c>
      <c r="B11" s="27" t="n">
        <v>3</v>
      </c>
    </row>
    <row r="12" ht="15" customHeight="1">
      <c r="A12" s="28" t="inlineStr">
        <is>
          <t>COLOR LEGEND</t>
        </is>
      </c>
    </row>
    <row r="13" ht="15" customHeight="1">
      <c r="A13" s="19" t="inlineStr">
        <is>
          <t>Orange fill</t>
        </is>
      </c>
      <c r="B13" s="21" t="inlineStr">
        <is>
          <t>Yardi paste zone — paste data from Yardi report here</t>
        </is>
      </c>
    </row>
    <row r="14" ht="15" customHeight="1">
      <c r="A14" s="19" t="inlineStr">
        <is>
          <t>Yellow fill + Blue text</t>
        </is>
      </c>
      <c r="B14" s="21" t="inlineStr">
        <is>
          <t>Manual input — team enters assumptions, adjustments</t>
        </is>
      </c>
    </row>
    <row r="15" ht="15" customHeight="1">
      <c r="A15" s="19" t="inlineStr">
        <is>
          <t>No fill + Black text</t>
        </is>
      </c>
      <c r="B15" s="21" t="inlineStr">
        <is>
          <t>Formula — auto-calculates, do not overwrite</t>
        </is>
      </c>
    </row>
    <row r="16" ht="15" customHeight="1">
      <c r="A16" s="19" t="inlineStr">
        <is>
          <t>Green text</t>
        </is>
      </c>
      <c r="B16" s="21" t="inlineStr">
        <is>
          <t>Cross-sheet link — pulls from another tab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5" customWidth="1" min="1" max="1"/>
    <col width="35" customWidth="1" min="2" max="2"/>
    <col width="16" customWidth="1" min="3" max="6"/>
    <col width="14" customWidth="1" min="7" max="7"/>
    <col width="35" customWidth="1" min="8" max="8"/>
  </cols>
  <sheetData>
    <row r="1" ht="15" customHeight="1">
      <c r="A1" s="29">
        <f>Setup!B5</f>
        <v/>
      </c>
    </row>
    <row r="2" ht="15" customHeight="1">
      <c r="A2" s="11" t="inlineStr">
        <is>
          <t>Budget Summary</t>
        </is>
      </c>
    </row>
    <row r="3" ht="15" customHeight="1">
      <c r="A3" s="29">
        <f>Setup!B4</f>
        <v/>
      </c>
      <c r="D3" s="28" t="inlineStr">
        <is>
          <t>Status:</t>
        </is>
      </c>
      <c r="E3" s="20">
        <f>Setup!B10</f>
        <v/>
      </c>
    </row>
    <row r="5" ht="23.25" customHeight="1">
      <c r="A5" s="30" t="n"/>
      <c r="B5" s="30" t="inlineStr">
        <is>
          <t>Category</t>
        </is>
      </c>
      <c r="C5" s="30" t="inlineStr">
        <is>
          <t>Prior Year
Actual</t>
        </is>
      </c>
      <c r="D5" s="30" t="inlineStr">
        <is>
          <t>Current Year
Budget</t>
        </is>
      </c>
      <c r="E5" s="30" t="inlineStr">
        <is>
          <t>Proposed
Budget</t>
        </is>
      </c>
      <c r="F5" s="30" t="inlineStr">
        <is>
          <t>$ Variance
vs Current</t>
        </is>
      </c>
      <c r="G5" s="30" t="inlineStr">
        <is>
          <t>% Change</t>
        </is>
      </c>
      <c r="H5" s="30" t="inlineStr">
        <is>
          <t>Source</t>
        </is>
      </c>
    </row>
    <row r="7" ht="15" customHeight="1">
      <c r="A7" s="7" t="inlineStr">
        <is>
          <t>OPERATING INCOME</t>
        </is>
      </c>
      <c r="B7" s="81" t="n"/>
      <c r="C7" s="81" t="n"/>
      <c r="D7" s="81" t="n"/>
      <c r="E7" s="81" t="n"/>
      <c r="F7" s="81" t="n"/>
      <c r="G7" s="81" t="n"/>
      <c r="H7" s="82" t="n"/>
    </row>
    <row r="8" ht="15" customHeight="1">
      <c r="B8" s="19" t="inlineStr">
        <is>
          <t>Total Operating Income</t>
        </is>
      </c>
      <c r="C8" s="31">
        <f>Income!D77</f>
        <v/>
      </c>
      <c r="D8" s="32" t="n"/>
      <c r="E8" s="31">
        <f>Income!M77</f>
        <v/>
      </c>
      <c r="F8" s="33">
        <f>E8-D8</f>
        <v/>
      </c>
      <c r="G8" s="34">
        <f>IFERROR(E8/D8-1,0)</f>
        <v/>
      </c>
      <c r="H8" s="22" t="inlineStr">
        <is>
          <t>Income L77</t>
        </is>
      </c>
    </row>
    <row r="10" ht="15" customHeight="1">
      <c r="A10" s="6" t="inlineStr">
        <is>
          <t>OPERATING EXPENSES</t>
        </is>
      </c>
      <c r="B10" s="81" t="n"/>
      <c r="C10" s="81" t="n"/>
      <c r="D10" s="81" t="n"/>
      <c r="E10" s="81" t="n"/>
      <c r="F10" s="81" t="n"/>
      <c r="G10" s="81" t="n"/>
      <c r="H10" s="82" t="n"/>
    </row>
    <row r="11" ht="15" customHeight="1">
      <c r="B11" s="21" t="inlineStr">
        <is>
          <t>Payroll &amp; Related</t>
        </is>
      </c>
      <c r="C11" s="31">
        <f>Payroll!D105</f>
        <v/>
      </c>
      <c r="D11" s="32" t="n"/>
      <c r="E11" s="31">
        <f>Payroll!M105</f>
        <v/>
      </c>
      <c r="F11" s="33">
        <f>E11-D11</f>
        <v/>
      </c>
      <c r="G11" s="34">
        <f>IFERROR(E11/D11-1,0)</f>
        <v/>
      </c>
      <c r="H11" s="22" t="inlineStr">
        <is>
          <t>Payroll L105</t>
        </is>
      </c>
    </row>
    <row r="12" ht="15" customHeight="1">
      <c r="B12" s="21" t="inlineStr">
        <is>
          <t>Energy (Gas + Electric)</t>
        </is>
      </c>
      <c r="C12" s="31">
        <f>Energy!D77</f>
        <v/>
      </c>
      <c r="D12" s="32" t="n"/>
      <c r="E12" s="31">
        <f>Energy!M77</f>
        <v/>
      </c>
      <c r="F12" s="33">
        <f>E12-D12</f>
        <v/>
      </c>
      <c r="G12" s="34">
        <f>IFERROR(E12/D12-1,0)</f>
        <v/>
      </c>
      <c r="H12" s="22" t="inlineStr">
        <is>
          <t>Energy L77</t>
        </is>
      </c>
    </row>
    <row r="13" ht="15" customHeight="1">
      <c r="B13" s="21" t="inlineStr">
        <is>
          <t>Water &amp; Sewer</t>
        </is>
      </c>
      <c r="C13" s="31">
        <f>'Water &amp; Sewer'!D38</f>
        <v/>
      </c>
      <c r="D13" s="32" t="n"/>
      <c r="E13" s="31">
        <f>'Water &amp; Sewer'!M38</f>
        <v/>
      </c>
      <c r="F13" s="33">
        <f>E13-D13</f>
        <v/>
      </c>
      <c r="G13" s="34">
        <f>IFERROR(E13/D13-1,0)</f>
        <v/>
      </c>
      <c r="H13" s="22" t="inlineStr">
        <is>
          <t>'Water &amp; Sewer' L38</t>
        </is>
      </c>
    </row>
    <row r="14" ht="15" customHeight="1">
      <c r="B14" s="21" t="inlineStr">
        <is>
          <t>Repairs &amp; Supplies</t>
        </is>
      </c>
      <c r="C14" s="31">
        <f>'Repairs &amp; Supplies'!D71</f>
        <v/>
      </c>
      <c r="D14" s="32" t="n"/>
      <c r="E14" s="31">
        <f>'Repairs &amp; Supplies'!M71</f>
        <v/>
      </c>
      <c r="F14" s="33">
        <f>E14-D14</f>
        <v/>
      </c>
      <c r="G14" s="34">
        <f>IFERROR(E14/D14-1,0)</f>
        <v/>
      </c>
      <c r="H14" s="22" t="inlineStr">
        <is>
          <t>'Repairs &amp; Supplies' L71</t>
        </is>
      </c>
    </row>
    <row r="15" ht="15" customHeight="1">
      <c r="B15" s="21" t="inlineStr">
        <is>
          <t>Professional Fees</t>
        </is>
      </c>
      <c r="C15" s="31">
        <f>'Gen &amp; Admin'!D17</f>
        <v/>
      </c>
      <c r="D15" s="32" t="n"/>
      <c r="E15" s="31">
        <f>'Gen &amp; Admin'!M17</f>
        <v/>
      </c>
      <c r="F15" s="33">
        <f>E15-D15</f>
        <v/>
      </c>
      <c r="G15" s="34">
        <f>IFERROR(E15/D15-1,0)</f>
        <v/>
      </c>
      <c r="H15" s="22" t="inlineStr">
        <is>
          <t>'Gen &amp; Admin' L17</t>
        </is>
      </c>
    </row>
    <row r="16" ht="15" customHeight="1">
      <c r="B16" s="21" t="inlineStr">
        <is>
          <t>Administrative &amp; Other</t>
        </is>
      </c>
      <c r="C16" s="31">
        <f>'Gen &amp; Admin'!D50</f>
        <v/>
      </c>
      <c r="D16" s="32" t="n"/>
      <c r="E16" s="31">
        <f>'Gen &amp; Admin'!M50</f>
        <v/>
      </c>
      <c r="F16" s="33">
        <f>E16-D16</f>
        <v/>
      </c>
      <c r="G16" s="34">
        <f>IFERROR(E16/D16-1,0)</f>
        <v/>
      </c>
      <c r="H16" s="22" t="inlineStr">
        <is>
          <t>'Gen &amp; Admin' L50</t>
        </is>
      </c>
    </row>
    <row r="17" ht="15" customHeight="1">
      <c r="B17" s="21" t="inlineStr">
        <is>
          <t>Insurance</t>
        </is>
      </c>
      <c r="C17" s="31">
        <f>'Insurance Schedule'!C21</f>
        <v/>
      </c>
      <c r="D17" s="32" t="n"/>
      <c r="E17" s="31">
        <f>'Insurance Schedule'!L21</f>
        <v/>
      </c>
      <c r="F17" s="33">
        <f>E17-D17</f>
        <v/>
      </c>
      <c r="G17" s="34">
        <f>IFERROR(E17/D17-1,0)</f>
        <v/>
      </c>
      <c r="H17" s="22" t="inlineStr">
        <is>
          <t>'Insurance Schedule' K21</t>
        </is>
      </c>
    </row>
    <row r="18" ht="15" customHeight="1">
      <c r="B18" s="21" t="inlineStr">
        <is>
          <t>Taxes (RE + Corp)</t>
        </is>
      </c>
      <c r="C18" s="31">
        <f>'Gen &amp; Admin'!D79</f>
        <v/>
      </c>
      <c r="D18" s="32" t="n"/>
      <c r="E18" s="31">
        <f>'Gen &amp; Admin'!M79</f>
        <v/>
      </c>
      <c r="F18" s="33">
        <f>E18-D18</f>
        <v/>
      </c>
      <c r="G18" s="34">
        <f>IFERROR(E18/D18-1,0)</f>
        <v/>
      </c>
      <c r="H18" s="22" t="inlineStr">
        <is>
          <t>'Gen &amp; Admin' L79</t>
        </is>
      </c>
    </row>
    <row r="19" ht="15" customHeight="1">
      <c r="B19" s="21" t="inlineStr">
        <is>
          <t>Financial Expenses</t>
        </is>
      </c>
      <c r="C19" s="31">
        <f>'Gen &amp; Admin'!D91</f>
        <v/>
      </c>
      <c r="D19" s="32" t="n"/>
      <c r="E19" s="31">
        <f>'Gen &amp; Admin'!M91</f>
        <v/>
      </c>
      <c r="F19" s="33">
        <f>E19-D19</f>
        <v/>
      </c>
      <c r="G19" s="34">
        <f>IFERROR(E19/D19-1,0)</f>
        <v/>
      </c>
      <c r="H19" s="22" t="inlineStr">
        <is>
          <t>'Gen &amp; Admin' L91</t>
        </is>
      </c>
    </row>
    <row r="20" ht="15" customHeight="1">
      <c r="B20" s="21" t="inlineStr">
        <is>
          <t>Capital Improvements</t>
        </is>
      </c>
      <c r="C20" s="33" t="n"/>
      <c r="D20" s="32" t="n"/>
      <c r="E20" s="33" t="n">
        <v>0</v>
      </c>
      <c r="F20" s="33">
        <f>E20-D20</f>
        <v/>
      </c>
      <c r="G20" s="34">
        <f>IFERROR(E20/D20-1,0)</f>
        <v/>
      </c>
      <c r="H20" s="22" t="inlineStr">
        <is>
          <t>Manual input</t>
        </is>
      </c>
    </row>
    <row r="21" ht="15" customHeight="1">
      <c r="B21" s="21" t="inlineStr">
        <is>
          <t>Reserve / Contingency</t>
        </is>
      </c>
      <c r="C21" s="33" t="n"/>
      <c r="D21" s="32" t="n"/>
      <c r="E21" s="33" t="n">
        <v>0</v>
      </c>
      <c r="F21" s="33">
        <f>E21-D21</f>
        <v/>
      </c>
      <c r="G21" s="34">
        <f>IFERROR(E21/D21-1,0)</f>
        <v/>
      </c>
      <c r="H21" s="22" t="inlineStr">
        <is>
          <t>Manual input</t>
        </is>
      </c>
    </row>
    <row r="22" ht="15" customHeight="1">
      <c r="A22" s="35" t="n"/>
      <c r="B22" s="35" t="inlineStr">
        <is>
          <t>TOTAL OPERATING EXPENSES</t>
        </is>
      </c>
      <c r="C22" s="36">
        <f>SUM(C11:C21)</f>
        <v/>
      </c>
      <c r="D22" s="36">
        <f>SUM(D11:D21)</f>
        <v/>
      </c>
      <c r="E22" s="36">
        <f>SUM(E11:E21)</f>
        <v/>
      </c>
      <c r="F22" s="36">
        <f>SUM(F11:F21)</f>
        <v/>
      </c>
      <c r="G22" s="37">
        <f>IFERROR(E22/D22-1,0)</f>
        <v/>
      </c>
      <c r="H22" s="35" t="n"/>
    </row>
    <row r="24" ht="15" customHeight="1">
      <c r="A24" s="38" t="n"/>
      <c r="B24" s="38" t="inlineStr">
        <is>
          <t>OPERATING SURPLUS / (DEFICIT)</t>
        </is>
      </c>
      <c r="C24" s="39">
        <f>C8-C22</f>
        <v/>
      </c>
      <c r="D24" s="39">
        <f>D8-D22</f>
        <v/>
      </c>
      <c r="E24" s="39">
        <f>E8-E22</f>
        <v/>
      </c>
      <c r="F24" s="39">
        <f>F8-F22</f>
        <v/>
      </c>
      <c r="G24" s="40" t="n"/>
      <c r="H24" s="40" t="n"/>
    </row>
    <row r="26" ht="15" customHeight="1">
      <c r="B26" s="5" t="inlineStr">
        <is>
          <t>PROPOSED MAINTENANCE INCREASE:</t>
        </is>
      </c>
      <c r="C26" s="81" t="n"/>
      <c r="D26" s="82" t="n"/>
      <c r="E26" s="18">
        <f>IFERROR(IF(E24&gt;=0,0,E24/D8*-1),0)</f>
        <v/>
      </c>
    </row>
  </sheetData>
  <mergeCells count="5">
    <mergeCell ref="A7:H7"/>
    <mergeCell ref="A2:H2"/>
    <mergeCell ref="A10:H10"/>
    <mergeCell ref="B26:D26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7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Income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MAINTENANCE INCOME CALCULATION</t>
        </is>
      </c>
    </row>
    <row r="6" ht="15" customHeight="1">
      <c r="A6" s="19" t="inlineStr">
        <is>
          <t>Total Shares</t>
        </is>
      </c>
      <c r="B6" s="41" t="n">
        <v>0</v>
      </c>
      <c r="C6" s="19" t="inlineStr">
        <is>
          <t>Prior Year $/Share/Mo</t>
        </is>
      </c>
      <c r="D6" s="42" t="n">
        <v>0</v>
      </c>
    </row>
    <row r="7" ht="15" customHeight="1">
      <c r="A7" s="19" t="inlineStr">
        <is>
          <t>Proposed Increase %</t>
        </is>
      </c>
      <c r="B7" s="43" t="n">
        <v>0</v>
      </c>
      <c r="C7" s="19" t="inlineStr">
        <is>
          <t>New $/Share/Mo</t>
        </is>
      </c>
      <c r="D7" s="44">
        <f>B6*(1+B7)</f>
        <v/>
      </c>
    </row>
    <row r="8" ht="15" customHeight="1">
      <c r="A8" s="19" t="inlineStr">
        <is>
          <t>Monthly Maintenance</t>
        </is>
      </c>
      <c r="B8" s="33">
        <f>B6*D7</f>
        <v/>
      </c>
      <c r="C8" s="19" t="inlineStr">
        <is>
          <t>Annual Maintenance</t>
        </is>
      </c>
      <c r="D8" s="33">
        <f>B8*12</f>
        <v/>
      </c>
    </row>
    <row r="10" ht="15" customHeight="1">
      <c r="A10" s="4" t="inlineStr">
        <is>
          <t>STORAGE ROOM INCOME CALCULATION</t>
        </is>
      </c>
    </row>
    <row r="11" ht="15" customHeight="1">
      <c r="A11" s="45" t="inlineStr">
        <is>
          <t>Size</t>
        </is>
      </c>
      <c r="B11" s="45" t="inlineStr">
        <is>
          <t># Units</t>
        </is>
      </c>
      <c r="C11" s="45" t="inlineStr">
        <is>
          <t># Occupied</t>
        </is>
      </c>
      <c r="D11" s="45" t="inlineStr">
        <is>
          <t>$/Month</t>
        </is>
      </c>
      <c r="E11" s="45" t="inlineStr">
        <is>
          <t>Monthly Total</t>
        </is>
      </c>
      <c r="F11" s="45" t="inlineStr">
        <is>
          <t>Annual</t>
        </is>
      </c>
    </row>
    <row r="12" ht="15" customHeight="1">
      <c r="A12" s="21" t="inlineStr">
        <is>
          <t>A (28-32 cf)</t>
        </is>
      </c>
      <c r="B12" s="41" t="n">
        <v>0</v>
      </c>
      <c r="C12" s="41" t="n">
        <v>0</v>
      </c>
      <c r="D12" s="46" t="n">
        <v>0</v>
      </c>
      <c r="E12" s="47">
        <f>C12*D12</f>
        <v/>
      </c>
      <c r="F12" s="33">
        <f>E12*12</f>
        <v/>
      </c>
    </row>
    <row r="13" ht="15" customHeight="1">
      <c r="A13" s="21" t="inlineStr">
        <is>
          <t>B (36 cf)</t>
        </is>
      </c>
      <c r="B13" s="41" t="n">
        <v>0</v>
      </c>
      <c r="C13" s="41" t="n">
        <v>0</v>
      </c>
      <c r="D13" s="46" t="n">
        <v>0</v>
      </c>
      <c r="E13" s="47">
        <f>C13*D13</f>
        <v/>
      </c>
      <c r="F13" s="33">
        <f>E13*12</f>
        <v/>
      </c>
    </row>
    <row r="14" ht="15" customHeight="1">
      <c r="A14" s="21" t="inlineStr">
        <is>
          <t>C (48 cf)</t>
        </is>
      </c>
      <c r="B14" s="41" t="n">
        <v>0</v>
      </c>
      <c r="C14" s="41" t="n">
        <v>0</v>
      </c>
      <c r="D14" s="46" t="n">
        <v>0</v>
      </c>
      <c r="E14" s="47">
        <f>C14*D14</f>
        <v/>
      </c>
      <c r="F14" s="33">
        <f>E14*12</f>
        <v/>
      </c>
    </row>
    <row r="15" ht="15" customHeight="1">
      <c r="A15" s="21" t="inlineStr">
        <is>
          <t>D</t>
        </is>
      </c>
      <c r="B15" s="41" t="n">
        <v>0</v>
      </c>
      <c r="C15" s="41" t="n">
        <v>0</v>
      </c>
      <c r="D15" s="46" t="n">
        <v>0</v>
      </c>
      <c r="E15" s="47">
        <f>C15*D15</f>
        <v/>
      </c>
      <c r="F15" s="33">
        <f>E15*12</f>
        <v/>
      </c>
    </row>
    <row r="16" ht="15" customHeight="1">
      <c r="A16" s="19" t="inlineStr">
        <is>
          <t>TOTAL STORAGE</t>
        </is>
      </c>
      <c r="B16" s="48">
        <f>SUM(B12:B15)</f>
        <v/>
      </c>
      <c r="C16" s="48">
        <f>SUM(C12:C15)</f>
        <v/>
      </c>
      <c r="E16" s="47">
        <f>SUM(E12:E15)</f>
        <v/>
      </c>
      <c r="F16" s="33">
        <f>SUM(F12:F15)</f>
        <v/>
      </c>
    </row>
    <row r="18" ht="15" customHeight="1">
      <c r="A18" s="4" t="inlineStr">
        <is>
          <t>BICYCLE STORAGE</t>
        </is>
      </c>
    </row>
    <row r="19" ht="15" customHeight="1">
      <c r="A19" s="21" t="inlineStr">
        <is>
          <t># Racks</t>
        </is>
      </c>
      <c r="B19" s="23" t="n">
        <v>0</v>
      </c>
      <c r="C19" s="21" t="inlineStr">
        <is>
          <t># Occupied</t>
        </is>
      </c>
      <c r="D19" s="23" t="n">
        <v>0</v>
      </c>
      <c r="E19" s="21" t="inlineStr">
        <is>
          <t>$/Month</t>
        </is>
      </c>
      <c r="F19" s="46" t="n">
        <v>0</v>
      </c>
    </row>
    <row r="20" ht="15" customHeight="1">
      <c r="A20" s="19" t="inlineStr">
        <is>
          <t>Annual Bicycle Income</t>
        </is>
      </c>
      <c r="F20" s="33">
        <f>D19*F19*12</f>
        <v/>
      </c>
    </row>
    <row r="22" ht="15" customHeight="1">
      <c r="A22" s="4" t="inlineStr">
        <is>
          <t>LAUNDRY / VENDING INCOME</t>
        </is>
      </c>
    </row>
    <row r="23" ht="15" customHeight="1">
      <c r="A23" s="21" t="inlineStr">
        <is>
          <t>Contract/Description</t>
        </is>
      </c>
      <c r="B23" s="23" t="n"/>
      <c r="C23" s="21" t="inlineStr">
        <is>
          <t>Monthly Amount</t>
        </is>
      </c>
      <c r="D23" s="46" t="n">
        <v>0</v>
      </c>
    </row>
    <row r="24" ht="15" customHeight="1">
      <c r="A24" s="19" t="inlineStr">
        <is>
          <t>Annual Laundry Income</t>
        </is>
      </c>
      <c r="D24" s="33">
        <f>D23*12</f>
        <v/>
      </c>
    </row>
    <row r="26" ht="23.25" customHeight="1">
      <c r="A26" s="30" t="inlineStr">
        <is>
          <t>GL Code</t>
        </is>
      </c>
      <c r="B26" s="30" t="inlineStr">
        <is>
          <t>Description</t>
        </is>
      </c>
      <c r="C26" s="30" t="inlineStr">
        <is>
          <t>Notes</t>
        </is>
      </c>
      <c r="D26" s="30" t="inlineStr">
        <is>
          <t>Prior Year
Actual</t>
        </is>
      </c>
      <c r="E26" s="30" t="inlineStr">
        <is>
          <t>YTD Actual</t>
        </is>
      </c>
      <c r="F26" s="30" t="inlineStr">
        <is>
          <t>Accrual
Adj</t>
        </is>
      </c>
      <c r="G26" s="30" t="inlineStr">
        <is>
          <t>Unpaid
Bills</t>
        </is>
      </c>
      <c r="H26" s="30" t="inlineStr">
        <is>
          <t>YTD Budget</t>
        </is>
      </c>
      <c r="I26" s="30" t="inlineStr">
        <is>
          <t>Sep-Dec
Estimate</t>
        </is>
      </c>
      <c r="J26" s="30" t="inlineStr">
        <is>
          <t>12 Month
Forecast</t>
        </is>
      </c>
      <c r="K26" s="30" t="inlineStr">
        <is>
          <t>Current Year
Budget</t>
        </is>
      </c>
      <c r="L26" s="30" t="inlineStr">
        <is>
          <t>Increase %</t>
        </is>
      </c>
      <c r="M26" s="30" t="inlineStr">
        <is>
          <t>Proposed
Budget</t>
        </is>
      </c>
      <c r="N26" s="30" t="inlineStr">
        <is>
          <t>$ Variance</t>
        </is>
      </c>
      <c r="O26" s="30" t="inlineStr">
        <is>
          <t>% Change</t>
        </is>
      </c>
    </row>
    <row r="27" ht="15" customHeight="1">
      <c r="A27" s="49" t="inlineStr">
        <is>
          <t>Yardi</t>
        </is>
      </c>
      <c r="B27" s="49" t="inlineStr">
        <is>
          <t>Yardi</t>
        </is>
      </c>
      <c r="C27" s="49" t="inlineStr">
        <is>
          <t>Input</t>
        </is>
      </c>
      <c r="D27" s="49" t="inlineStr">
        <is>
          <t>Yardi</t>
        </is>
      </c>
      <c r="E27" s="49" t="inlineStr">
        <is>
          <t>Yardi</t>
        </is>
      </c>
      <c r="F27" s="49" t="inlineStr">
        <is>
          <t>Input</t>
        </is>
      </c>
      <c r="G27" s="49" t="inlineStr">
        <is>
          <t>Input</t>
        </is>
      </c>
      <c r="H27" s="49" t="inlineStr">
        <is>
          <t>Yardi</t>
        </is>
      </c>
      <c r="I27" s="49" t="inlineStr">
        <is>
          <t>Formula</t>
        </is>
      </c>
      <c r="J27" s="49" t="inlineStr">
        <is>
          <t>Formula</t>
        </is>
      </c>
      <c r="K27" s="49" t="inlineStr">
        <is>
          <t>Yardi</t>
        </is>
      </c>
      <c r="L27" s="49" t="inlineStr">
        <is>
          <t>Input</t>
        </is>
      </c>
      <c r="M27" s="49" t="inlineStr">
        <is>
          <t>Formula</t>
        </is>
      </c>
      <c r="N27" s="49" t="inlineStr">
        <is>
          <t>Formula</t>
        </is>
      </c>
      <c r="O27" s="49" t="inlineStr">
        <is>
          <t>Formula</t>
        </is>
      </c>
    </row>
    <row r="28" ht="15" customHeight="1">
      <c r="A28" s="7" t="inlineStr">
        <is>
          <t>Recurring Income</t>
        </is>
      </c>
      <c r="B28" s="81" t="n"/>
      <c r="C28" s="81" t="n"/>
      <c r="D28" s="81" t="n"/>
      <c r="E28" s="81" t="n"/>
      <c r="F28" s="81" t="n"/>
      <c r="G28" s="81" t="n"/>
      <c r="H28" s="81" t="n"/>
      <c r="I28" s="81" t="n"/>
      <c r="J28" s="81" t="n"/>
      <c r="K28" s="81" t="n"/>
      <c r="L28" s="81" t="n"/>
      <c r="M28" s="81" t="n"/>
      <c r="N28" s="82" t="n"/>
    </row>
    <row r="29" ht="15" customHeight="1">
      <c r="A29" s="50" t="inlineStr">
        <is>
          <t>4010-0000</t>
        </is>
      </c>
      <c r="B29" s="50" t="inlineStr">
        <is>
          <t>Maintenance</t>
        </is>
      </c>
      <c r="C29" s="23" t="n"/>
      <c r="D29" s="51" t="n"/>
      <c r="E29" s="51" t="n"/>
      <c r="F29" s="32" t="n">
        <v>0</v>
      </c>
      <c r="G29" s="32" t="n">
        <v>0</v>
      </c>
      <c r="H29" s="51" t="n"/>
      <c r="I29" s="33">
        <f>IFERROR(IF((E29+F29+G29)&gt;=D29,(E29+F29+G29)/Setup!$B$10*Setup!$B$11,D29-(E29+F29+G29)),0)</f>
        <v/>
      </c>
      <c r="J29" s="33">
        <f>E29+F29+G29+I29</f>
        <v/>
      </c>
      <c r="K29" s="32" t="n"/>
      <c r="L29" s="52" t="n">
        <v>0</v>
      </c>
      <c r="M29" s="53">
        <f>D8</f>
        <v/>
      </c>
      <c r="N29" s="33">
        <f>M29-D29</f>
        <v/>
      </c>
      <c r="O29" s="34">
        <f>IFERROR(M29/D29-1,0)</f>
        <v/>
      </c>
    </row>
    <row r="30" ht="15" customHeight="1">
      <c r="A30" s="50" t="inlineStr">
        <is>
          <t>4010-0001</t>
        </is>
      </c>
      <c r="B30" s="50" t="inlineStr">
        <is>
          <t>Maintenance - Commercial</t>
        </is>
      </c>
      <c r="C30" s="23" t="n"/>
      <c r="D30" s="51" t="n"/>
      <c r="E30" s="51" t="n"/>
      <c r="F30" s="32" t="n">
        <v>0</v>
      </c>
      <c r="G30" s="32" t="n">
        <v>0</v>
      </c>
      <c r="H30" s="51" t="n"/>
      <c r="I30" s="33">
        <f>IFERROR(IF((E30+F30+G30)&gt;=D30,(E30+F30+G30)/Setup!$B$10*Setup!$B$11,D30-(E30+F30+G30)),0)</f>
        <v/>
      </c>
      <c r="J30" s="33">
        <f>E30+F30+G30+I30</f>
        <v/>
      </c>
      <c r="K30" s="32" t="n"/>
      <c r="L30" s="52" t="n">
        <v>0</v>
      </c>
      <c r="M30" s="54">
        <f>J30*(1+L30)</f>
        <v/>
      </c>
      <c r="N30" s="33">
        <f>M30-D30</f>
        <v/>
      </c>
      <c r="O30" s="34">
        <f>IFERROR(M30/D30-1,0)</f>
        <v/>
      </c>
    </row>
    <row r="31" ht="15" customHeight="1">
      <c r="A31" s="50" t="inlineStr">
        <is>
          <t>4040-0000</t>
        </is>
      </c>
      <c r="B31" s="50" t="inlineStr">
        <is>
          <t>Commercial Rent</t>
        </is>
      </c>
      <c r="C31" s="23" t="n"/>
      <c r="D31" s="51" t="n"/>
      <c r="E31" s="51" t="n"/>
      <c r="F31" s="32" t="n">
        <v>0</v>
      </c>
      <c r="G31" s="32" t="n">
        <v>0</v>
      </c>
      <c r="H31" s="51" t="n"/>
      <c r="I31" s="33">
        <f>IFERROR(IF((E31+F31+G31)&gt;=D31,(E31+F31+G31)/Setup!$B$10*Setup!$B$11,D31-(E31+F31+G31)),0)</f>
        <v/>
      </c>
      <c r="J31" s="33">
        <f>E31+F31+G31+I31</f>
        <v/>
      </c>
      <c r="K31" s="32" t="n"/>
      <c r="L31" s="52" t="n">
        <v>0</v>
      </c>
      <c r="M31" s="54">
        <f>J31*(1+L31)</f>
        <v/>
      </c>
      <c r="N31" s="33">
        <f>M31-D31</f>
        <v/>
      </c>
      <c r="O31" s="34">
        <f>IFERROR(M31/D31-1,0)</f>
        <v/>
      </c>
    </row>
    <row r="32" ht="15" customHeight="1">
      <c r="A32" s="50" t="inlineStr">
        <is>
          <t>4050-0000</t>
        </is>
      </c>
      <c r="B32" s="50" t="inlineStr">
        <is>
          <t>Parking / Garage Income</t>
        </is>
      </c>
      <c r="C32" s="23" t="n"/>
      <c r="D32" s="51" t="n"/>
      <c r="E32" s="51" t="n"/>
      <c r="F32" s="32" t="n">
        <v>0</v>
      </c>
      <c r="G32" s="32" t="n">
        <v>0</v>
      </c>
      <c r="H32" s="51" t="n"/>
      <c r="I32" s="33">
        <f>IFERROR(IF((E32+F32+G32)&gt;=D32,(E32+F32+G32)/Setup!$B$10*Setup!$B$11,D32-(E32+F32+G32)),0)</f>
        <v/>
      </c>
      <c r="J32" s="33">
        <f>E32+F32+G32+I32</f>
        <v/>
      </c>
      <c r="K32" s="32" t="n"/>
      <c r="L32" s="52" t="n">
        <v>0</v>
      </c>
      <c r="M32" s="54">
        <f>J32*(1+L32)</f>
        <v/>
      </c>
      <c r="N32" s="33">
        <f>M32-D32</f>
        <v/>
      </c>
      <c r="O32" s="34">
        <f>IFERROR(M32/D32-1,0)</f>
        <v/>
      </c>
    </row>
    <row r="33" ht="15" customHeight="1">
      <c r="A33" s="50" t="inlineStr">
        <is>
          <t>4060-0000</t>
        </is>
      </c>
      <c r="B33" s="50" t="inlineStr">
        <is>
          <t>Storage Room Income</t>
        </is>
      </c>
      <c r="C33" s="23" t="n"/>
      <c r="D33" s="51" t="n"/>
      <c r="E33" s="51" t="n"/>
      <c r="F33" s="32" t="n">
        <v>0</v>
      </c>
      <c r="G33" s="32" t="n">
        <v>0</v>
      </c>
      <c r="H33" s="51" t="n"/>
      <c r="I33" s="33">
        <f>IFERROR(IF((E33+F33+G33)&gt;=D33,(E33+F33+G33)/Setup!$B$10*Setup!$B$11,D33-(E33+F33+G33)),0)</f>
        <v/>
      </c>
      <c r="J33" s="33">
        <f>E33+F33+G33+I33</f>
        <v/>
      </c>
      <c r="K33" s="32" t="n"/>
      <c r="L33" s="52" t="n">
        <v>0</v>
      </c>
      <c r="M33" s="54">
        <f>J33*(1+L33)</f>
        <v/>
      </c>
      <c r="N33" s="33">
        <f>M33-D33</f>
        <v/>
      </c>
      <c r="O33" s="34">
        <f>IFERROR(M33/D33-1,0)</f>
        <v/>
      </c>
    </row>
    <row r="34" ht="15" customHeight="1">
      <c r="A34" s="50" t="inlineStr">
        <is>
          <t>4070-0000</t>
        </is>
      </c>
      <c r="B34" s="50" t="inlineStr">
        <is>
          <t>Prepaid Income</t>
        </is>
      </c>
      <c r="C34" s="23" t="n"/>
      <c r="D34" s="51" t="n"/>
      <c r="E34" s="51" t="n"/>
      <c r="F34" s="32" t="n">
        <v>0</v>
      </c>
      <c r="G34" s="32" t="n">
        <v>0</v>
      </c>
      <c r="H34" s="51" t="n"/>
      <c r="I34" s="33">
        <f>IFERROR(IF((E34+F34+G34)&gt;=D34,(E34+F34+G34)/Setup!$B$10*Setup!$B$11,D34-(E34+F34+G34)),0)</f>
        <v/>
      </c>
      <c r="J34" s="33">
        <f>E34+F34+G34+I34</f>
        <v/>
      </c>
      <c r="K34" s="32" t="n"/>
      <c r="L34" s="52" t="n">
        <v>0</v>
      </c>
      <c r="M34" s="54">
        <f>J34*(1+L34)</f>
        <v/>
      </c>
      <c r="N34" s="33">
        <f>M34-D34</f>
        <v/>
      </c>
      <c r="O34" s="34">
        <f>IFERROR(M34/D34-1,0)</f>
        <v/>
      </c>
    </row>
    <row r="35" ht="15" customHeight="1">
      <c r="A35" s="50" t="inlineStr">
        <is>
          <t>4105-0000</t>
        </is>
      </c>
      <c r="B35" s="50" t="inlineStr">
        <is>
          <t>Real Estate Tax Abatement</t>
        </is>
      </c>
      <c r="C35" s="23" t="n"/>
      <c r="D35" s="51" t="n"/>
      <c r="E35" s="51" t="n"/>
      <c r="F35" s="32" t="n">
        <v>0</v>
      </c>
      <c r="G35" s="32" t="n">
        <v>0</v>
      </c>
      <c r="H35" s="51" t="n"/>
      <c r="I35" s="33">
        <f>IFERROR(IF((E35+F35+G35)&gt;=D35,(E35+F35+G35)/Setup!$B$10*Setup!$B$11,D35-(E35+F35+G35)),0)</f>
        <v/>
      </c>
      <c r="J35" s="33">
        <f>E35+F35+G35+I35</f>
        <v/>
      </c>
      <c r="K35" s="32" t="n"/>
      <c r="L35" s="52" t="n">
        <v>0</v>
      </c>
      <c r="M35" s="54">
        <f>J35*(1+L35)</f>
        <v/>
      </c>
      <c r="N35" s="33">
        <f>M35-D35</f>
        <v/>
      </c>
      <c r="O35" s="34">
        <f>IFERROR(M35/D35-1,0)</f>
        <v/>
      </c>
    </row>
    <row r="36" ht="15" customHeight="1">
      <c r="A36" s="50" t="inlineStr">
        <is>
          <t>4110-0000</t>
        </is>
      </c>
      <c r="B36" s="50" t="inlineStr">
        <is>
          <t>STAR Exemption</t>
        </is>
      </c>
      <c r="C36" s="23" t="n"/>
      <c r="D36" s="51" t="n"/>
      <c r="E36" s="51" t="n"/>
      <c r="F36" s="32" t="n">
        <v>0</v>
      </c>
      <c r="G36" s="32" t="n">
        <v>0</v>
      </c>
      <c r="H36" s="51" t="n"/>
      <c r="I36" s="33">
        <f>IFERROR(IF((E36+F36+G36)&gt;=D36,(E36+F36+G36)/Setup!$B$10*Setup!$B$11,D36-(E36+F36+G36)),0)</f>
        <v/>
      </c>
      <c r="J36" s="33">
        <f>E36+F36+G36+I36</f>
        <v/>
      </c>
      <c r="K36" s="32" t="n"/>
      <c r="L36" s="52" t="n">
        <v>0</v>
      </c>
      <c r="M36" s="54">
        <f>J36*(1+L36)</f>
        <v/>
      </c>
      <c r="N36" s="33">
        <f>M36-D36</f>
        <v/>
      </c>
      <c r="O36" s="34">
        <f>IFERROR(M36/D36-1,0)</f>
        <v/>
      </c>
    </row>
    <row r="37" ht="15" customHeight="1">
      <c r="A37" s="50" t="inlineStr">
        <is>
          <t>4115-0000</t>
        </is>
      </c>
      <c r="B37" s="50" t="inlineStr">
        <is>
          <t>Veterans Exemption</t>
        </is>
      </c>
      <c r="C37" s="23" t="n"/>
      <c r="D37" s="51" t="n"/>
      <c r="E37" s="51" t="n"/>
      <c r="F37" s="32" t="n">
        <v>0</v>
      </c>
      <c r="G37" s="32" t="n">
        <v>0</v>
      </c>
      <c r="H37" s="51" t="n"/>
      <c r="I37" s="33">
        <f>IFERROR(IF((E37+F37+G37)&gt;=D37,(E37+F37+G37)/Setup!$B$10*Setup!$B$11,D37-(E37+F37+G37)),0)</f>
        <v/>
      </c>
      <c r="J37" s="33">
        <f>E37+F37+G37+I37</f>
        <v/>
      </c>
      <c r="K37" s="32" t="n"/>
      <c r="L37" s="52" t="n">
        <v>0</v>
      </c>
      <c r="M37" s="54">
        <f>J37*(1+L37)</f>
        <v/>
      </c>
      <c r="N37" s="33">
        <f>M37-D37</f>
        <v/>
      </c>
      <c r="O37" s="34">
        <f>IFERROR(M37/D37-1,0)</f>
        <v/>
      </c>
    </row>
    <row r="38" ht="15" customHeight="1">
      <c r="A38" s="50" t="inlineStr">
        <is>
          <t>4125-0000</t>
        </is>
      </c>
      <c r="B38" s="50" t="inlineStr">
        <is>
          <t>SCHE</t>
        </is>
      </c>
      <c r="C38" s="23" t="n"/>
      <c r="D38" s="51" t="n"/>
      <c r="E38" s="51" t="n"/>
      <c r="F38" s="32" t="n">
        <v>0</v>
      </c>
      <c r="G38" s="32" t="n">
        <v>0</v>
      </c>
      <c r="H38" s="51" t="n"/>
      <c r="I38" s="33">
        <f>IFERROR(IF((E38+F38+G38)&gt;=D38,(E38+F38+G38)/Setup!$B$10*Setup!$B$11,D38-(E38+F38+G38)),0)</f>
        <v/>
      </c>
      <c r="J38" s="33">
        <f>E38+F38+G38+I38</f>
        <v/>
      </c>
      <c r="K38" s="32" t="n"/>
      <c r="L38" s="52" t="n">
        <v>0</v>
      </c>
      <c r="M38" s="54">
        <f>J38*(1+L38)</f>
        <v/>
      </c>
      <c r="N38" s="33">
        <f>M38-D38</f>
        <v/>
      </c>
      <c r="O38" s="34">
        <f>IFERROR(M38/D38-1,0)</f>
        <v/>
      </c>
    </row>
    <row r="39" ht="15" customHeight="1">
      <c r="A39" s="50" t="inlineStr">
        <is>
          <t>4130-0010</t>
        </is>
      </c>
      <c r="B39" s="50" t="inlineStr">
        <is>
          <t>Storage Room Rental</t>
        </is>
      </c>
      <c r="C39" s="23" t="n"/>
      <c r="D39" s="51" t="n"/>
      <c r="E39" s="51" t="n"/>
      <c r="F39" s="32" t="n">
        <v>0</v>
      </c>
      <c r="G39" s="32" t="n">
        <v>0</v>
      </c>
      <c r="H39" s="51" t="n"/>
      <c r="I39" s="33">
        <f>IFERROR(IF((E39+F39+G39)&gt;=D39,(E39+F39+G39)/Setup!$B$10*Setup!$B$11,D39-(E39+F39+G39)),0)</f>
        <v/>
      </c>
      <c r="J39" s="33">
        <f>E39+F39+G39+I39</f>
        <v/>
      </c>
      <c r="K39" s="32" t="n"/>
      <c r="L39" s="52" t="n">
        <v>0</v>
      </c>
      <c r="M39" s="53">
        <f>F16</f>
        <v/>
      </c>
      <c r="N39" s="33">
        <f>M39-D39</f>
        <v/>
      </c>
      <c r="O39" s="34">
        <f>IFERROR(M39/D39-1,0)</f>
        <v/>
      </c>
    </row>
    <row r="40" ht="15" customHeight="1">
      <c r="A40" s="50" t="inlineStr">
        <is>
          <t>4130-0015</t>
        </is>
      </c>
      <c r="B40" s="50" t="inlineStr">
        <is>
          <t>Bicycle Charge</t>
        </is>
      </c>
      <c r="C40" s="23" t="n"/>
      <c r="D40" s="51" t="n"/>
      <c r="E40" s="51" t="n"/>
      <c r="F40" s="32" t="n">
        <v>0</v>
      </c>
      <c r="G40" s="32" t="n">
        <v>0</v>
      </c>
      <c r="H40" s="51" t="n"/>
      <c r="I40" s="33">
        <f>IFERROR(IF((E40+F40+G40)&gt;=D40,(E40+F40+G40)/Setup!$B$10*Setup!$B$11,D40-(E40+F40+G40)),0)</f>
        <v/>
      </c>
      <c r="J40" s="33">
        <f>E40+F40+G40+I40</f>
        <v/>
      </c>
      <c r="K40" s="32" t="n"/>
      <c r="L40" s="52" t="n">
        <v>0</v>
      </c>
      <c r="M40" s="53">
        <f>F20</f>
        <v/>
      </c>
      <c r="N40" s="33">
        <f>M40-D40</f>
        <v/>
      </c>
      <c r="O40" s="34">
        <f>IFERROR(M40/D40-1,0)</f>
        <v/>
      </c>
    </row>
    <row r="41" ht="15" customHeight="1">
      <c r="A41" s="50" t="inlineStr">
        <is>
          <t>4130-0030</t>
        </is>
      </c>
      <c r="B41" s="50" t="inlineStr">
        <is>
          <t>Laundry</t>
        </is>
      </c>
      <c r="C41" s="23" t="n"/>
      <c r="D41" s="51" t="n"/>
      <c r="E41" s="51" t="n"/>
      <c r="F41" s="32" t="n">
        <v>0</v>
      </c>
      <c r="G41" s="32" t="n">
        <v>0</v>
      </c>
      <c r="H41" s="51" t="n"/>
      <c r="I41" s="33">
        <f>IFERROR(IF((E41+F41+G41)&gt;=D41,(E41+F41+G41)/Setup!$B$10*Setup!$B$11,D41-(E41+F41+G41)),0)</f>
        <v/>
      </c>
      <c r="J41" s="33">
        <f>E41+F41+G41+I41</f>
        <v/>
      </c>
      <c r="K41" s="32" t="n"/>
      <c r="L41" s="52" t="n">
        <v>0</v>
      </c>
      <c r="M41" s="53">
        <f>D24</f>
        <v/>
      </c>
      <c r="N41" s="33">
        <f>M41-D41</f>
        <v/>
      </c>
      <c r="O41" s="34">
        <f>IFERROR(M41/D41-1,0)</f>
        <v/>
      </c>
    </row>
    <row r="42" ht="15" customHeight="1">
      <c r="A42" s="50" t="inlineStr">
        <is>
          <t>4200-0000</t>
        </is>
      </c>
      <c r="B42" s="50" t="inlineStr">
        <is>
          <t>Assessment - Operating</t>
        </is>
      </c>
      <c r="C42" s="23" t="n"/>
      <c r="D42" s="51" t="n"/>
      <c r="E42" s="51" t="n"/>
      <c r="F42" s="32" t="n">
        <v>0</v>
      </c>
      <c r="G42" s="32" t="n">
        <v>0</v>
      </c>
      <c r="H42" s="51" t="n"/>
      <c r="I42" s="33">
        <f>IFERROR(IF((E42+F42+G42)&gt;=D42,(E42+F42+G42)/Setup!$B$10*Setup!$B$11,D42-(E42+F42+G42)),0)</f>
        <v/>
      </c>
      <c r="J42" s="33">
        <f>E42+F42+G42+I42</f>
        <v/>
      </c>
      <c r="K42" s="32" t="n"/>
      <c r="L42" s="52" t="n">
        <v>0</v>
      </c>
      <c r="M42" s="54">
        <f>J42*(1+L42)</f>
        <v/>
      </c>
      <c r="N42" s="33">
        <f>M42-D42</f>
        <v/>
      </c>
      <c r="O42" s="34">
        <f>IFERROR(M42/D42-1,0)</f>
        <v/>
      </c>
    </row>
    <row r="43" ht="15" customHeight="1">
      <c r="A43" s="50" t="inlineStr">
        <is>
          <t>4250-0010</t>
        </is>
      </c>
      <c r="B43" s="50" t="inlineStr">
        <is>
          <t>Cable TV</t>
        </is>
      </c>
      <c r="C43" s="23" t="n"/>
      <c r="D43" s="51" t="n"/>
      <c r="E43" s="51" t="n"/>
      <c r="F43" s="32" t="n">
        <v>0</v>
      </c>
      <c r="G43" s="32" t="n">
        <v>0</v>
      </c>
      <c r="H43" s="51" t="n"/>
      <c r="I43" s="33">
        <f>IFERROR(IF((E43+F43+G43)&gt;=D43,(E43+F43+G43)/Setup!$B$10*Setup!$B$11,D43-(E43+F43+G43)),0)</f>
        <v/>
      </c>
      <c r="J43" s="33">
        <f>E43+F43+G43+I43</f>
        <v/>
      </c>
      <c r="K43" s="32" t="n"/>
      <c r="L43" s="52" t="n">
        <v>0</v>
      </c>
      <c r="M43" s="54">
        <f>J43*(1+L43)</f>
        <v/>
      </c>
      <c r="N43" s="33">
        <f>M43-D43</f>
        <v/>
      </c>
      <c r="O43" s="34">
        <f>IFERROR(M43/D43-1,0)</f>
        <v/>
      </c>
    </row>
    <row r="44" ht="15" customHeight="1">
      <c r="A44" s="50" t="inlineStr">
        <is>
          <t>4250-0035</t>
        </is>
      </c>
      <c r="B44" s="50" t="inlineStr">
        <is>
          <t>Dryer</t>
        </is>
      </c>
      <c r="C44" s="23" t="n"/>
      <c r="D44" s="51" t="n"/>
      <c r="E44" s="51" t="n"/>
      <c r="F44" s="32" t="n">
        <v>0</v>
      </c>
      <c r="G44" s="32" t="n">
        <v>0</v>
      </c>
      <c r="H44" s="51" t="n"/>
      <c r="I44" s="33">
        <f>IFERROR(IF((E44+F44+G44)&gt;=D44,(E44+F44+G44)/Setup!$B$10*Setup!$B$11,D44-(E44+F44+G44)),0)</f>
        <v/>
      </c>
      <c r="J44" s="33">
        <f>E44+F44+G44+I44</f>
        <v/>
      </c>
      <c r="K44" s="32" t="n"/>
      <c r="L44" s="52" t="n">
        <v>0</v>
      </c>
      <c r="M44" s="54">
        <f>J44*(1+L44)</f>
        <v/>
      </c>
      <c r="N44" s="33">
        <f>M44-D44</f>
        <v/>
      </c>
      <c r="O44" s="34">
        <f>IFERROR(M44/D44-1,0)</f>
        <v/>
      </c>
    </row>
    <row r="45" ht="15" customHeight="1">
      <c r="A45" s="50" t="inlineStr">
        <is>
          <t>4135-0010</t>
        </is>
      </c>
      <c r="B45" s="50" t="inlineStr">
        <is>
          <t>Garage</t>
        </is>
      </c>
      <c r="C45" s="23" t="n"/>
      <c r="D45" s="51" t="n"/>
      <c r="E45" s="51" t="n"/>
      <c r="F45" s="32" t="n">
        <v>0</v>
      </c>
      <c r="G45" s="32" t="n">
        <v>0</v>
      </c>
      <c r="H45" s="51" t="n"/>
      <c r="I45" s="33">
        <f>IFERROR(IF((E45+F45+G45)&gt;=D45,(E45+F45+G45)/Setup!$B$10*Setup!$B$11,D45-(E45+F45+G45)),0)</f>
        <v/>
      </c>
      <c r="J45" s="33">
        <f>E45+F45+G45+I45</f>
        <v/>
      </c>
      <c r="K45" s="32" t="n"/>
      <c r="L45" s="52" t="n">
        <v>0</v>
      </c>
      <c r="M45" s="54">
        <f>J45*(1+L45)</f>
        <v/>
      </c>
      <c r="N45" s="33">
        <f>M45-D45</f>
        <v/>
      </c>
      <c r="O45" s="34">
        <f>IFERROR(M45/D45-1,0)</f>
        <v/>
      </c>
    </row>
    <row r="46" ht="15" customHeight="1">
      <c r="A46" s="50" t="inlineStr">
        <is>
          <t>4520-0000</t>
        </is>
      </c>
      <c r="B46" s="50" t="inlineStr">
        <is>
          <t>Commercial Real Estate Tax</t>
        </is>
      </c>
      <c r="C46" s="23" t="n"/>
      <c r="D46" s="51" t="n">
        <v>0</v>
      </c>
      <c r="E46" s="51" t="n">
        <v>0</v>
      </c>
      <c r="F46" s="32" t="n">
        <v>0</v>
      </c>
      <c r="G46" s="32" t="n">
        <v>0</v>
      </c>
      <c r="H46" s="51" t="n">
        <v>0</v>
      </c>
      <c r="I46" s="33">
        <f>IFERROR(D46-(E46+F46+G46),0)</f>
        <v/>
      </c>
      <c r="J46" s="33">
        <f>E46+F46+G46+I46</f>
        <v/>
      </c>
      <c r="K46" s="52" t="n"/>
      <c r="L46" s="52" t="n">
        <v>0</v>
      </c>
      <c r="M46" s="54">
        <f>J46*(1+L46)</f>
        <v/>
      </c>
      <c r="N46" s="33">
        <f>M46-D46</f>
        <v/>
      </c>
      <c r="O46" s="34">
        <f>IFERROR(M46/D46-1,0)</f>
        <v/>
      </c>
    </row>
    <row r="47" ht="15" customHeight="1">
      <c r="A47" s="50" t="inlineStr">
        <is>
          <t>4020-0000</t>
        </is>
      </c>
      <c r="B47" s="50" t="inlineStr">
        <is>
          <t>Common Charges</t>
        </is>
      </c>
      <c r="C47" s="23" t="n"/>
      <c r="D47" s="51" t="n">
        <v>0</v>
      </c>
      <c r="E47" s="51" t="n">
        <v>0</v>
      </c>
      <c r="F47" s="32" t="n">
        <v>0</v>
      </c>
      <c r="G47" s="32" t="n">
        <v>0</v>
      </c>
      <c r="H47" s="51" t="n">
        <v>0</v>
      </c>
      <c r="I47" s="33">
        <f>IFERROR(D47-(E47+F47+G47),0)</f>
        <v/>
      </c>
      <c r="J47" s="33">
        <f>E47+F47+G47+I47</f>
        <v/>
      </c>
      <c r="K47" s="52" t="n"/>
      <c r="L47" s="52" t="n">
        <v>0</v>
      </c>
      <c r="M47" s="54">
        <f>J47*(1+L47)</f>
        <v/>
      </c>
      <c r="N47" s="33">
        <f>M47-D47</f>
        <v/>
      </c>
      <c r="O47" s="34">
        <f>IFERROR(M47/D47-1,0)</f>
        <v/>
      </c>
    </row>
    <row r="48" ht="15" customHeight="1">
      <c r="A48" t="inlineStr">
        <is>
          <t>4250-0025</t>
        </is>
      </c>
      <c r="B48" t="inlineStr">
        <is>
          <t>Electric</t>
        </is>
      </c>
    </row>
    <row r="49">
      <c r="A49" t="inlineStr">
        <is>
          <t>4250-0030</t>
        </is>
      </c>
      <c r="B49" t="inlineStr">
        <is>
          <t>Washing Machine</t>
        </is>
      </c>
    </row>
    <row r="50" ht="15" customHeight="1">
      <c r="A50" s="35" t="n"/>
      <c r="B50" s="35" t="inlineStr">
        <is>
          <t>Total Recurring Income</t>
        </is>
      </c>
      <c r="C50" s="35" t="n"/>
      <c r="D50" s="36">
        <f>SUM(D29:D47)</f>
        <v/>
      </c>
      <c r="E50" s="36">
        <f>SUM(E29:E47)</f>
        <v/>
      </c>
      <c r="F50" s="36">
        <f>SUM(F29:F47)</f>
        <v/>
      </c>
      <c r="G50" s="36">
        <f>SUM(G29:G47)</f>
        <v/>
      </c>
      <c r="H50" s="36">
        <f>SUM(H29:H47)</f>
        <v/>
      </c>
      <c r="I50" s="36">
        <f>SUM(I29:I47)</f>
        <v/>
      </c>
      <c r="J50" s="36">
        <f>SUM(J29:J47)</f>
        <v/>
      </c>
      <c r="K50" s="35">
        <f>SUM(K29:K47)</f>
        <v/>
      </c>
      <c r="L50" s="35" t="n"/>
      <c r="M50" s="36">
        <f>SUM(M29:M47)</f>
        <v/>
      </c>
      <c r="N50" s="36">
        <f>SUM(N29:N47)</f>
        <v/>
      </c>
      <c r="O50" s="37">
        <f>IFERROR(M48/D48-1,0)</f>
        <v/>
      </c>
    </row>
    <row r="51" ht="15" customHeight="1"/>
    <row r="52" ht="15" customHeight="1">
      <c r="A52" s="7" t="inlineStr">
        <is>
          <t>Non-Recurring Income</t>
        </is>
      </c>
      <c r="B52" s="81" t="n"/>
      <c r="C52" s="81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2" t="n"/>
    </row>
    <row r="53" ht="15" customHeight="1">
      <c r="A53" s="50" t="inlineStr">
        <is>
          <t>4710-0000</t>
        </is>
      </c>
      <c r="B53" s="50" t="inlineStr">
        <is>
          <t>Legal Fees</t>
        </is>
      </c>
      <c r="C53" s="23" t="n"/>
      <c r="D53" s="51" t="n"/>
      <c r="E53" s="51" t="n"/>
      <c r="F53" s="32" t="n">
        <v>0</v>
      </c>
      <c r="G53" s="32" t="n">
        <v>0</v>
      </c>
      <c r="H53" s="51" t="n"/>
      <c r="I53" s="33">
        <f>IFERROR(IF((E51+F51+G51)&gt;=D51,(E51+F51+G51)/Setup!$B$10*Setup!$B$11,D51-(E51+F51+G51)),0)</f>
        <v/>
      </c>
      <c r="J53" s="33">
        <f>E51+F51+G51+I51</f>
        <v/>
      </c>
      <c r="K53" s="32" t="n"/>
      <c r="L53" s="52" t="n">
        <v>0</v>
      </c>
      <c r="M53" s="54">
        <f>J51*(1+L51)</f>
        <v/>
      </c>
      <c r="N53" s="33">
        <f>M51-D51</f>
        <v/>
      </c>
      <c r="O53" s="34">
        <f>IFERROR(M51/D51-1,0)</f>
        <v/>
      </c>
    </row>
    <row r="54" ht="15" customHeight="1">
      <c r="A54" s="50" t="inlineStr">
        <is>
          <t>4705-0000</t>
        </is>
      </c>
      <c r="B54" s="50" t="inlineStr">
        <is>
          <t>Late Charges</t>
        </is>
      </c>
      <c r="C54" s="23" t="n"/>
      <c r="D54" s="51" t="n"/>
      <c r="E54" s="51" t="n"/>
      <c r="F54" s="32" t="n">
        <v>0</v>
      </c>
      <c r="G54" s="32" t="n">
        <v>0</v>
      </c>
      <c r="H54" s="51" t="n"/>
      <c r="I54" s="33">
        <f>IFERROR(IF((E52+F52+G52)&gt;=D52,(E52+F52+G52)/Setup!$B$10*Setup!$B$11,D52-(E52+F52+G52)),0)</f>
        <v/>
      </c>
      <c r="J54" s="33">
        <f>E52+F52+G52+I52</f>
        <v/>
      </c>
      <c r="K54" s="32" t="n"/>
      <c r="L54" s="52" t="n">
        <v>0</v>
      </c>
      <c r="M54" s="54">
        <f>J52*(1+L52)</f>
        <v/>
      </c>
      <c r="N54" s="33">
        <f>M52-D52</f>
        <v/>
      </c>
      <c r="O54" s="34">
        <f>IFERROR(M52/D52-1,0)</f>
        <v/>
      </c>
    </row>
    <row r="55" ht="15" customHeight="1">
      <c r="A55" s="50" t="inlineStr">
        <is>
          <t>4715-0000</t>
        </is>
      </c>
      <c r="B55" s="50" t="inlineStr">
        <is>
          <t>Bounce Check Fee</t>
        </is>
      </c>
      <c r="C55" s="23" t="n"/>
      <c r="D55" s="51" t="n"/>
      <c r="E55" s="51" t="n"/>
      <c r="F55" s="32" t="n">
        <v>0</v>
      </c>
      <c r="G55" s="32" t="n">
        <v>0</v>
      </c>
      <c r="H55" s="51" t="n"/>
      <c r="I55" s="33">
        <f>IFERROR(IF((E53+F53+G53)&gt;=D53,(E53+F53+G53)/Setup!$B$10*Setup!$B$11,D53-(E53+F53+G53)),0)</f>
        <v/>
      </c>
      <c r="J55" s="33">
        <f>E53+F53+G53+I53</f>
        <v/>
      </c>
      <c r="K55" s="32" t="n"/>
      <c r="L55" s="52" t="n">
        <v>0</v>
      </c>
      <c r="M55" s="54">
        <f>J53*(1+L53)</f>
        <v/>
      </c>
      <c r="N55" s="33">
        <f>M53-D53</f>
        <v/>
      </c>
      <c r="O55" s="34">
        <f>IFERROR(M53/D53-1,0)</f>
        <v/>
      </c>
    </row>
    <row r="56" ht="15" customHeight="1">
      <c r="A56" s="50" t="inlineStr">
        <is>
          <t>4725-0025</t>
        </is>
      </c>
      <c r="B56" s="50" t="inlineStr">
        <is>
          <t>Move-In Out Fees</t>
        </is>
      </c>
      <c r="C56" s="23" t="n"/>
      <c r="D56" s="51" t="n"/>
      <c r="E56" s="51" t="n"/>
      <c r="F56" s="32" t="n">
        <v>0</v>
      </c>
      <c r="G56" s="32" t="n">
        <v>0</v>
      </c>
      <c r="H56" s="51" t="n"/>
      <c r="I56" s="33">
        <f>IFERROR(IF((E54+F54+G54)&gt;=D54,(E54+F54+G54)/Setup!$B$10*Setup!$B$11,D54-(E54+F54+G54)),0)</f>
        <v/>
      </c>
      <c r="J56" s="33">
        <f>E54+F54+G54+I54</f>
        <v/>
      </c>
      <c r="K56" s="32" t="n"/>
      <c r="L56" s="52" t="n">
        <v>0</v>
      </c>
      <c r="M56" s="54">
        <f>J54*(1+L54)</f>
        <v/>
      </c>
      <c r="N56" s="33">
        <f>M54-D54</f>
        <v/>
      </c>
      <c r="O56" s="34">
        <f>IFERROR(M54/D54-1,0)</f>
        <v/>
      </c>
    </row>
    <row r="57" ht="15" customHeight="1">
      <c r="A57" s="50" t="inlineStr">
        <is>
          <t>4725-0035</t>
        </is>
      </c>
      <c r="B57" s="50" t="inlineStr">
        <is>
          <t>Sublet Fees</t>
        </is>
      </c>
      <c r="C57" s="23" t="n"/>
      <c r="D57" s="51" t="n"/>
      <c r="E57" s="51" t="n"/>
      <c r="F57" s="32" t="n">
        <v>0</v>
      </c>
      <c r="G57" s="32" t="n">
        <v>0</v>
      </c>
      <c r="H57" s="51" t="n"/>
      <c r="I57" s="33">
        <f>IFERROR(IF((E55+F55+G55)&gt;=D55,(E55+F55+G55)/Setup!$B$10*Setup!$B$11,D55-(E55+F55+G55)),0)</f>
        <v/>
      </c>
      <c r="J57" s="33">
        <f>E55+F55+G55+I55</f>
        <v/>
      </c>
      <c r="K57" s="32" t="n"/>
      <c r="L57" s="52" t="n">
        <v>0</v>
      </c>
      <c r="M57" s="54">
        <f>J55*(1+L55)</f>
        <v/>
      </c>
      <c r="N57" s="33">
        <f>M55-D55</f>
        <v/>
      </c>
      <c r="O57" s="34">
        <f>IFERROR(M55/D55-1,0)</f>
        <v/>
      </c>
    </row>
    <row r="58" ht="15" customHeight="1">
      <c r="A58" s="50" t="inlineStr">
        <is>
          <t>4803-0000</t>
        </is>
      </c>
      <c r="B58" s="50" t="inlineStr">
        <is>
          <t>Dividend Income</t>
        </is>
      </c>
      <c r="C58" s="23" t="n"/>
      <c r="D58" s="51" t="n"/>
      <c r="E58" s="51" t="n"/>
      <c r="F58" s="32" t="n">
        <v>0</v>
      </c>
      <c r="G58" s="32" t="n">
        <v>0</v>
      </c>
      <c r="H58" s="51" t="n"/>
      <c r="I58" s="33">
        <f>IFERROR(IF((E56+F56+G56)&gt;=D56,(E56+F56+G56)/Setup!$B$10*Setup!$B$11,D56-(E56+F56+G56)),0)</f>
        <v/>
      </c>
      <c r="J58" s="33">
        <f>E56+F56+G56+I56</f>
        <v/>
      </c>
      <c r="K58" s="32" t="n"/>
      <c r="L58" s="52" t="n">
        <v>0</v>
      </c>
      <c r="M58" s="54">
        <f>J56*(1+L56)</f>
        <v/>
      </c>
      <c r="N58" s="33">
        <f>M56-D56</f>
        <v/>
      </c>
      <c r="O58" s="34">
        <f>IFERROR(M56/D56-1,0)</f>
        <v/>
      </c>
    </row>
    <row r="59" ht="15" customHeight="1">
      <c r="A59" s="50" t="inlineStr">
        <is>
          <t>4922-0000</t>
        </is>
      </c>
      <c r="B59" s="50" t="inlineStr">
        <is>
          <t>Alteration Agreement Fees</t>
        </is>
      </c>
      <c r="C59" s="23" t="n"/>
      <c r="D59" s="51" t="n"/>
      <c r="E59" s="51" t="n"/>
      <c r="F59" s="32" t="n">
        <v>0</v>
      </c>
      <c r="G59" s="32" t="n">
        <v>0</v>
      </c>
      <c r="H59" s="51" t="n"/>
      <c r="I59" s="33">
        <f>IFERROR(IF((E57+F57+G57)&gt;=D57,(E57+F57+G57)/Setup!$B$10*Setup!$B$11,D57-(E57+F57+G57)),0)</f>
        <v/>
      </c>
      <c r="J59" s="33">
        <f>E57+F57+G57+I57</f>
        <v/>
      </c>
      <c r="K59" s="32" t="n"/>
      <c r="L59" s="52" t="n">
        <v>0</v>
      </c>
      <c r="M59" s="54">
        <f>J57*(1+L57)</f>
        <v/>
      </c>
      <c r="N59" s="33">
        <f>M57-D57</f>
        <v/>
      </c>
      <c r="O59" s="34">
        <f>IFERROR(M57/D57-1,0)</f>
        <v/>
      </c>
    </row>
    <row r="60" ht="15" customHeight="1">
      <c r="A60" s="50" t="inlineStr">
        <is>
          <t>4932-0000</t>
        </is>
      </c>
      <c r="B60" s="50" t="inlineStr">
        <is>
          <t>Application Fees</t>
        </is>
      </c>
      <c r="C60" s="23" t="n"/>
      <c r="D60" s="51" t="n"/>
      <c r="E60" s="51" t="n"/>
      <c r="F60" s="32" t="n">
        <v>0</v>
      </c>
      <c r="G60" s="32" t="n">
        <v>0</v>
      </c>
      <c r="H60" s="51" t="n"/>
      <c r="I60" s="33">
        <f>IFERROR(IF((E58+F58+G58)&gt;=D58,(E58+F58+G58)/Setup!$B$10*Setup!$B$11,D58-(E58+F58+G58)),0)</f>
        <v/>
      </c>
      <c r="J60" s="33">
        <f>E58+F58+G58+I58</f>
        <v/>
      </c>
      <c r="K60" s="32" t="n"/>
      <c r="L60" s="52" t="n">
        <v>0</v>
      </c>
      <c r="M60" s="54">
        <f>J58*(1+L58)</f>
        <v/>
      </c>
      <c r="N60" s="33">
        <f>M58-D58</f>
        <v/>
      </c>
      <c r="O60" s="34">
        <f>IFERROR(M58/D58-1,0)</f>
        <v/>
      </c>
    </row>
    <row r="61" ht="15" customHeight="1">
      <c r="A61" s="50" t="inlineStr">
        <is>
          <t>4933-0000</t>
        </is>
      </c>
      <c r="B61" s="50" t="inlineStr">
        <is>
          <t>Transfer Fees</t>
        </is>
      </c>
      <c r="C61" s="23" t="n"/>
      <c r="D61" s="51" t="n"/>
      <c r="E61" s="51" t="n"/>
      <c r="F61" s="32" t="n">
        <v>0</v>
      </c>
      <c r="G61" s="32" t="n">
        <v>0</v>
      </c>
      <c r="H61" s="51" t="n"/>
      <c r="I61" s="33">
        <f>IFERROR(IF((E59+F59+G59)&gt;=D59,(E59+F59+G59)/Setup!$B$10*Setup!$B$11,D59-(E59+F59+G59)),0)</f>
        <v/>
      </c>
      <c r="J61" s="33">
        <f>E59+F59+G59+I59</f>
        <v/>
      </c>
      <c r="K61" s="32" t="n"/>
      <c r="L61" s="52" t="n">
        <v>0</v>
      </c>
      <c r="M61" s="54">
        <f>J59*(1+L59)</f>
        <v/>
      </c>
      <c r="N61" s="33">
        <f>M59-D59</f>
        <v/>
      </c>
      <c r="O61" s="34">
        <f>IFERROR(M59/D59-1,0)</f>
        <v/>
      </c>
    </row>
    <row r="62" ht="15" customHeight="1">
      <c r="A62" s="50" t="inlineStr">
        <is>
          <t>4935-0000</t>
        </is>
      </c>
      <c r="B62" s="50" t="inlineStr">
        <is>
          <t>Flip Tax Income</t>
        </is>
      </c>
      <c r="C62" s="23" t="n"/>
      <c r="D62" s="51" t="n"/>
      <c r="E62" s="51" t="n"/>
      <c r="F62" s="32" t="n">
        <v>0</v>
      </c>
      <c r="G62" s="32" t="n">
        <v>0</v>
      </c>
      <c r="H62" s="51" t="n"/>
      <c r="I62" s="33">
        <f>IFERROR(IF((E60+F60+G60)&gt;=D60,(E60+F60+G60)/Setup!$B$10*Setup!$B$11,D60-(E60+F60+G60)),0)</f>
        <v/>
      </c>
      <c r="J62" s="33">
        <f>E60+F60+G60+I60</f>
        <v/>
      </c>
      <c r="K62" s="32" t="n"/>
      <c r="L62" s="52" t="n">
        <v>0</v>
      </c>
      <c r="M62" s="54">
        <f>J60*(1+L60)</f>
        <v/>
      </c>
      <c r="N62" s="33">
        <f>M60-D60</f>
        <v/>
      </c>
      <c r="O62" s="34">
        <f>IFERROR(M60/D60-1,0)</f>
        <v/>
      </c>
    </row>
    <row r="63" ht="15" customHeight="1">
      <c r="A63" s="50" t="inlineStr">
        <is>
          <t>4990-0000</t>
        </is>
      </c>
      <c r="B63" s="50" t="inlineStr">
        <is>
          <t>Other Non-Recurring Income</t>
        </is>
      </c>
      <c r="C63" s="23" t="n"/>
      <c r="D63" s="51" t="n"/>
      <c r="E63" s="51" t="n"/>
      <c r="F63" s="32" t="n">
        <v>0</v>
      </c>
      <c r="G63" s="32" t="n">
        <v>0</v>
      </c>
      <c r="H63" s="51" t="n"/>
      <c r="I63" s="33">
        <f>IFERROR(IF((E61+F61+G61)&gt;=D61,(E61+F61+G61)/Setup!$B$10*Setup!$B$11,D61-(E61+F61+G61)),0)</f>
        <v/>
      </c>
      <c r="J63" s="33">
        <f>E61+F61+G61+I61</f>
        <v/>
      </c>
      <c r="K63" s="32" t="n"/>
      <c r="L63" s="52" t="n">
        <v>0</v>
      </c>
      <c r="M63" s="54">
        <f>J61*(1+L61)</f>
        <v/>
      </c>
      <c r="N63" s="33">
        <f>M61-D61</f>
        <v/>
      </c>
      <c r="O63" s="34">
        <f>IFERROR(M61/D61-1,0)</f>
        <v/>
      </c>
    </row>
    <row r="64" ht="15" customHeight="1">
      <c r="A64" s="50" t="inlineStr">
        <is>
          <t>4605-0000</t>
        </is>
      </c>
      <c r="B64" s="50" t="inlineStr">
        <is>
          <t>Conference Room</t>
        </is>
      </c>
      <c r="C64" s="23" t="n"/>
      <c r="D64" s="51" t="n"/>
      <c r="E64" s="51" t="n"/>
      <c r="F64" s="32" t="n">
        <v>0</v>
      </c>
      <c r="G64" s="32" t="n">
        <v>0</v>
      </c>
      <c r="H64" s="51" t="n"/>
      <c r="I64" s="33">
        <f>IFERROR(IF((E62+F62+G62)&gt;=D62,(E62+F62+G62)/Setup!$B$10*Setup!$B$11,D62-(E62+F62+G62)),0)</f>
        <v/>
      </c>
      <c r="J64" s="33">
        <f>E62+F62+G62+I62</f>
        <v/>
      </c>
      <c r="K64" s="32" t="n"/>
      <c r="L64" s="52" t="n">
        <v>0</v>
      </c>
      <c r="M64" s="54">
        <f>J62*(1+L62)</f>
        <v/>
      </c>
      <c r="N64" s="33">
        <f>M62-D62</f>
        <v/>
      </c>
      <c r="O64" s="34">
        <f>IFERROR(M62/D62-1,0)</f>
        <v/>
      </c>
    </row>
    <row r="65" ht="15" customHeight="1">
      <c r="A65" s="50" t="inlineStr">
        <is>
          <t>4720-0010</t>
        </is>
      </c>
      <c r="B65" s="50" t="inlineStr">
        <is>
          <t>Architectural/Engineering Fees</t>
        </is>
      </c>
      <c r="C65" s="23" t="n"/>
      <c r="D65" s="51" t="n"/>
      <c r="E65" s="51" t="n"/>
      <c r="F65" s="32" t="n">
        <v>0</v>
      </c>
      <c r="G65" s="32" t="n">
        <v>0</v>
      </c>
      <c r="H65" s="51" t="n"/>
      <c r="I65" s="33">
        <f>IFERROR(IF((E63+F63+G63)&gt;=D63,(E63+F63+G63)/Setup!$B$10*Setup!$B$11,D63-(E63+F63+G63)),0)</f>
        <v/>
      </c>
      <c r="J65" s="33">
        <f>E63+F63+G63+I63</f>
        <v/>
      </c>
      <c r="K65" s="32" t="n"/>
      <c r="L65" s="52" t="n">
        <v>0</v>
      </c>
      <c r="M65" s="54">
        <f>J63*(1+L63)</f>
        <v/>
      </c>
      <c r="N65" s="33">
        <f>M63-D63</f>
        <v/>
      </c>
      <c r="O65" s="34">
        <f>IFERROR(M63/D63-1,0)</f>
        <v/>
      </c>
    </row>
    <row r="66" ht="15" customHeight="1">
      <c r="A66" s="50" t="inlineStr">
        <is>
          <t>4720-0030</t>
        </is>
      </c>
      <c r="B66" s="50" t="inlineStr">
        <is>
          <t>Plumbing Repair</t>
        </is>
      </c>
      <c r="C66" s="23" t="n"/>
      <c r="D66" s="51" t="n"/>
      <c r="E66" s="51" t="n"/>
      <c r="F66" s="32" t="n">
        <v>0</v>
      </c>
      <c r="G66" s="32" t="n">
        <v>0</v>
      </c>
      <c r="H66" s="51" t="n"/>
      <c r="I66" s="33">
        <f>IFERROR(IF((E64+F64+G64)&gt;=D64,(E64+F64+G64)/Setup!$B$10*Setup!$B$11,D64-(E64+F64+G64)),0)</f>
        <v/>
      </c>
      <c r="J66" s="33">
        <f>E64+F64+G64+I64</f>
        <v/>
      </c>
      <c r="K66" s="32" t="n"/>
      <c r="L66" s="52" t="n">
        <v>0</v>
      </c>
      <c r="M66" s="54">
        <f>J64*(1+L64)</f>
        <v/>
      </c>
      <c r="N66" s="33">
        <f>M64-D64</f>
        <v/>
      </c>
      <c r="O66" s="34">
        <f>IFERROR(M64/D64-1,0)</f>
        <v/>
      </c>
    </row>
    <row r="67" ht="15" customHeight="1">
      <c r="A67" s="50" t="inlineStr">
        <is>
          <t>4720-0050</t>
        </is>
      </c>
      <c r="B67" s="50" t="inlineStr">
        <is>
          <t>Electrical Repairs</t>
        </is>
      </c>
      <c r="C67" s="23" t="n"/>
      <c r="D67" s="51" t="n"/>
      <c r="E67" s="51" t="n"/>
      <c r="F67" s="32" t="n">
        <v>0</v>
      </c>
      <c r="G67" s="32" t="n">
        <v>0</v>
      </c>
      <c r="H67" s="51" t="n"/>
      <c r="I67" s="33">
        <f>IFERROR(IF((E65+F65+G65)&gt;=D65,(E65+F65+G65)/Setup!$B$10*Setup!$B$11,D65-(E65+F65+G65)),0)</f>
        <v/>
      </c>
      <c r="J67" s="33">
        <f>E65+F65+G65+I65</f>
        <v/>
      </c>
      <c r="K67" s="32" t="n"/>
      <c r="L67" s="52" t="n">
        <v>0</v>
      </c>
      <c r="M67" s="54">
        <f>J65*(1+L65)</f>
        <v/>
      </c>
      <c r="N67" s="33">
        <f>M65-D65</f>
        <v/>
      </c>
      <c r="O67" s="34">
        <f>IFERROR(M65/D65-1,0)</f>
        <v/>
      </c>
    </row>
    <row r="68" ht="15" customHeight="1">
      <c r="A68" s="50" t="inlineStr">
        <is>
          <t>4725-0015</t>
        </is>
      </c>
      <c r="B68" s="50" t="inlineStr">
        <is>
          <t>Violations</t>
        </is>
      </c>
      <c r="C68" s="23" t="n"/>
      <c r="D68" s="51" t="n"/>
      <c r="E68" s="51" t="n"/>
      <c r="F68" s="32" t="n">
        <v>0</v>
      </c>
      <c r="G68" s="32" t="n">
        <v>0</v>
      </c>
      <c r="H68" s="51" t="n"/>
      <c r="I68" s="33">
        <f>IFERROR(IF((E66+F66+G66)&gt;=D66,(E66+F66+G66)/Setup!$B$10*Setup!$B$11,D66-(E66+F66+G66)),0)</f>
        <v/>
      </c>
      <c r="J68" s="33">
        <f>E66+F66+G66+I66</f>
        <v/>
      </c>
      <c r="K68" s="32" t="n"/>
      <c r="L68" s="52" t="n">
        <v>0</v>
      </c>
      <c r="M68" s="54">
        <f>J66*(1+L66)</f>
        <v/>
      </c>
      <c r="N68" s="33">
        <f>M66-D66</f>
        <v/>
      </c>
      <c r="O68" s="34">
        <f>IFERROR(M66/D66-1,0)</f>
        <v/>
      </c>
    </row>
    <row r="69" ht="15" customHeight="1">
      <c r="A69" s="50" t="inlineStr">
        <is>
          <t>4725-0040</t>
        </is>
      </c>
      <c r="B69" s="50" t="inlineStr">
        <is>
          <t>Working Capital Contribution</t>
        </is>
      </c>
      <c r="C69" s="23" t="n"/>
      <c r="D69" s="51" t="n"/>
      <c r="E69" s="51" t="n"/>
      <c r="F69" s="32" t="n">
        <v>0</v>
      </c>
      <c r="G69" s="32" t="n">
        <v>0</v>
      </c>
      <c r="H69" s="51" t="n"/>
      <c r="I69" s="33">
        <f>IFERROR(IF((E67+F67+G67)&gt;=D67,(E67+F67+G67)/Setup!$B$10*Setup!$B$11,D67-(E67+F67+G67)),0)</f>
        <v/>
      </c>
      <c r="J69" s="33">
        <f>E67+F67+G67+I67</f>
        <v/>
      </c>
      <c r="K69" s="32" t="n"/>
      <c r="L69" s="52" t="n">
        <v>0</v>
      </c>
      <c r="M69" s="54">
        <f>J67*(1+L67)</f>
        <v/>
      </c>
      <c r="N69" s="33">
        <f>M67-D67</f>
        <v/>
      </c>
      <c r="O69" s="34">
        <f>IFERROR(M67/D67-1,0)</f>
        <v/>
      </c>
    </row>
    <row r="70" ht="15" customHeight="1">
      <c r="A70" s="50" t="inlineStr">
        <is>
          <t>4800-0000</t>
        </is>
      </c>
      <c r="B70" s="50" t="inlineStr">
        <is>
          <t>Interest Income</t>
        </is>
      </c>
      <c r="C70" s="23" t="n"/>
      <c r="D70" s="51" t="n"/>
      <c r="E70" s="51" t="n"/>
      <c r="F70" s="32" t="n">
        <v>0</v>
      </c>
      <c r="G70" s="32" t="n">
        <v>0</v>
      </c>
      <c r="H70" s="51" t="n"/>
      <c r="I70" s="33">
        <f>IFERROR(IF((E68+F68+G68)&gt;=D68,(E68+F68+G68)/Setup!$B$10*Setup!$B$11,D68-(E68+F68+G68)),0)</f>
        <v/>
      </c>
      <c r="J70" s="33">
        <f>E68+F68+G68+I68</f>
        <v/>
      </c>
      <c r="K70" s="32" t="n"/>
      <c r="L70" s="52" t="n">
        <v>0</v>
      </c>
      <c r="M70" s="54">
        <f>J68*(1+L68)</f>
        <v/>
      </c>
      <c r="N70" s="33">
        <f>M68-D68</f>
        <v/>
      </c>
      <c r="O70" s="34">
        <f>IFERROR(M68/D68-1,0)</f>
        <v/>
      </c>
    </row>
    <row r="71" ht="15" customHeight="1">
      <c r="A71" s="50" t="inlineStr">
        <is>
          <t>4917-0000</t>
        </is>
      </c>
      <c r="B71" s="50" t="inlineStr">
        <is>
          <t>Credit Check Fees</t>
        </is>
      </c>
      <c r="C71" s="23" t="n"/>
      <c r="D71" s="51" t="n"/>
      <c r="E71" s="51" t="n"/>
      <c r="F71" s="32" t="n">
        <v>0</v>
      </c>
      <c r="G71" s="32" t="n">
        <v>0</v>
      </c>
      <c r="H71" s="51" t="n"/>
      <c r="I71" s="33">
        <f>IFERROR(IF((E69+F69+G69)&gt;=D69,(E69+F69+G69)/Setup!$B$10*Setup!$B$11,D69-(E69+F69+G69)),0)</f>
        <v/>
      </c>
      <c r="J71" s="33">
        <f>E69+F69+G69+I69</f>
        <v/>
      </c>
      <c r="K71" s="32" t="n"/>
      <c r="L71" s="52" t="n">
        <v>0</v>
      </c>
      <c r="M71" s="54">
        <f>J69*(1+L69)</f>
        <v/>
      </c>
      <c r="N71" s="33">
        <f>M69-D69</f>
        <v/>
      </c>
      <c r="O71" s="34">
        <f>IFERROR(M69/D69-1,0)</f>
        <v/>
      </c>
    </row>
    <row r="72" ht="15" customHeight="1">
      <c r="A72" s="50" t="inlineStr">
        <is>
          <t>4926-0000</t>
        </is>
      </c>
      <c r="B72" s="50" t="inlineStr">
        <is>
          <t>Administrative Fees</t>
        </is>
      </c>
      <c r="C72" s="23" t="n"/>
      <c r="D72" s="51" t="n"/>
      <c r="E72" s="51" t="n"/>
      <c r="F72" s="32" t="n">
        <v>0</v>
      </c>
      <c r="G72" s="32" t="n">
        <v>0</v>
      </c>
      <c r="H72" s="51" t="n"/>
      <c r="I72" s="33">
        <f>IFERROR(IF((E70+F70+G70)&gt;=D70,(E70+F70+G70)/Setup!$B$10*Setup!$B$11,D70-(E70+F70+G70)),0)</f>
        <v/>
      </c>
      <c r="J72" s="33">
        <f>E70+F70+G70+I70</f>
        <v/>
      </c>
      <c r="K72" s="32" t="n"/>
      <c r="L72" s="52" t="n">
        <v>0</v>
      </c>
      <c r="M72" s="54">
        <f>J70*(1+L70)</f>
        <v/>
      </c>
      <c r="N72" s="33">
        <f>M70-D70</f>
        <v/>
      </c>
      <c r="O72" s="34">
        <f>IFERROR(M70/D70-1,0)</f>
        <v/>
      </c>
    </row>
    <row r="73" ht="15" customHeight="1">
      <c r="A73" s="50" t="inlineStr">
        <is>
          <t>4956-0000</t>
        </is>
      </c>
      <c r="B73" s="50" t="inlineStr">
        <is>
          <t>Security Account Admin.</t>
        </is>
      </c>
      <c r="C73" s="23" t="n"/>
      <c r="D73" s="51" t="n"/>
      <c r="E73" s="51" t="n"/>
      <c r="F73" s="32" t="n">
        <v>0</v>
      </c>
      <c r="G73" s="32" t="n">
        <v>0</v>
      </c>
      <c r="H73" s="51" t="n"/>
      <c r="I73" s="33">
        <f>IFERROR(IF((E71+F71+G71)&gt;=D71,(E71+F71+G71)/Setup!$B$10*Setup!$B$11,D71-(E71+F71+G71)),0)</f>
        <v/>
      </c>
      <c r="J73" s="33">
        <f>E71+F71+G71+I71</f>
        <v/>
      </c>
      <c r="K73" s="32" t="n"/>
      <c r="L73" s="52" t="n">
        <v>0</v>
      </c>
      <c r="M73" s="54">
        <f>J71*(1+L71)</f>
        <v/>
      </c>
      <c r="N73" s="33">
        <f>M71-D71</f>
        <v/>
      </c>
      <c r="O73" s="34">
        <f>IFERROR(M71/D71-1,0)</f>
        <v/>
      </c>
    </row>
    <row r="74" ht="15" customHeight="1">
      <c r="A74" s="50" t="inlineStr">
        <is>
          <t>4720-0000</t>
        </is>
      </c>
      <c r="B74" s="50" t="inlineStr">
        <is>
          <t>Apartment Repair Income</t>
        </is>
      </c>
      <c r="C74" s="23" t="n"/>
      <c r="D74" s="51" t="n"/>
      <c r="E74" s="51" t="n"/>
      <c r="F74" s="32" t="n">
        <v>0</v>
      </c>
      <c r="G74" s="32" t="n">
        <v>0</v>
      </c>
      <c r="H74" s="51" t="n"/>
      <c r="I74" s="33">
        <f>IFERROR(IF((E72+F72+G72)&gt;=D72,(E72+F72+G72)/Setup!$B$10*Setup!$B$11,D72-(E72+F72+G72)),0)</f>
        <v/>
      </c>
      <c r="J74" s="33">
        <f>E72+F72+G72+I72</f>
        <v/>
      </c>
      <c r="K74" s="32" t="n"/>
      <c r="L74" s="52" t="n">
        <v>0</v>
      </c>
      <c r="M74" s="54">
        <f>J72*(1+L72)</f>
        <v/>
      </c>
      <c r="N74" s="33">
        <f>M72-D72</f>
        <v/>
      </c>
      <c r="O74" s="34">
        <f>IFERROR(M72/D72-1,0)</f>
        <v/>
      </c>
    </row>
    <row r="75" ht="15" customHeight="1">
      <c r="A75" s="50" t="inlineStr">
        <is>
          <t>4725-0030</t>
        </is>
      </c>
      <c r="B75" s="50" t="inlineStr">
        <is>
          <t>Locks &amp; Keys</t>
        </is>
      </c>
      <c r="C75" s="23" t="n"/>
      <c r="D75" s="51" t="n"/>
      <c r="E75" s="51" t="n"/>
      <c r="F75" s="32" t="n">
        <v>0</v>
      </c>
      <c r="G75" s="32" t="n">
        <v>0</v>
      </c>
      <c r="H75" s="51" t="n"/>
      <c r="I75" s="33">
        <f>IFERROR(IF((E73+F73+G73)&gt;=D73,(E73+F73+G73)/Setup!$B$10*Setup!$B$11,D73-(E73+F73+G73)),0)</f>
        <v/>
      </c>
      <c r="J75" s="33">
        <f>E73+F73+G73+I73</f>
        <v/>
      </c>
      <c r="K75" s="32" t="n"/>
      <c r="L75" s="52" t="n">
        <v>0</v>
      </c>
      <c r="M75" s="54">
        <f>J73*(1+L73)</f>
        <v/>
      </c>
      <c r="N75" s="33">
        <f>M73-D73</f>
        <v/>
      </c>
      <c r="O75" s="34">
        <f>IFERROR(M73/D73-1,0)</f>
        <v/>
      </c>
    </row>
    <row r="76">
      <c r="A76" s="50" t="inlineStr">
        <is>
          <t>4809-0000</t>
        </is>
      </c>
      <c r="B76" s="50" t="inlineStr">
        <is>
          <t>Real Estate Tax Refunds</t>
        </is>
      </c>
      <c r="C76" s="23" t="n"/>
      <c r="D76" s="51" t="n">
        <v>0</v>
      </c>
      <c r="E76" s="51" t="n">
        <v>0</v>
      </c>
      <c r="F76" s="32" t="n">
        <v>0</v>
      </c>
      <c r="G76" s="32" t="n">
        <v>0</v>
      </c>
      <c r="H76" s="51" t="n">
        <v>0</v>
      </c>
      <c r="I76" s="33">
        <f>IFERROR(D74-(E74+F74+G74),0)</f>
        <v/>
      </c>
      <c r="J76" s="33">
        <f>E74+F74+G74+I74</f>
        <v/>
      </c>
      <c r="K76" s="52" t="n"/>
      <c r="L76" s="52" t="n">
        <v>0</v>
      </c>
      <c r="M76" s="54">
        <f>J74*(1+L74)</f>
        <v/>
      </c>
      <c r="N76" s="33">
        <f>M74-D74</f>
        <v/>
      </c>
      <c r="O76" s="34">
        <f>IFERROR(M74/D74-1,0)</f>
        <v/>
      </c>
    </row>
    <row r="77" ht="15" customHeight="1">
      <c r="A77" t="inlineStr">
        <is>
          <t>4812-0000</t>
        </is>
      </c>
      <c r="B77" t="inlineStr">
        <is>
          <t>Corporation Tax Refunds</t>
        </is>
      </c>
    </row>
    <row r="78">
      <c r="A78" t="inlineStr">
        <is>
          <t>4830-0000</t>
        </is>
      </c>
      <c r="B78" t="inlineStr">
        <is>
          <t>Water &amp; Sewer Refunds</t>
        </is>
      </c>
    </row>
    <row r="79" ht="15" customHeight="1">
      <c r="A79" t="inlineStr">
        <is>
          <t>4925-0000</t>
        </is>
      </c>
      <c r="B79" t="inlineStr">
        <is>
          <t>Pet Fees</t>
        </is>
      </c>
    </row>
    <row r="80" ht="15" customHeight="1">
      <c r="A80" s="35" t="n"/>
      <c r="B80" s="35" t="inlineStr">
        <is>
          <t>Total Non-Recurring Income</t>
        </is>
      </c>
      <c r="C80" s="35" t="n"/>
      <c r="D80" s="36">
        <f>SUM(D51:D74)</f>
        <v/>
      </c>
      <c r="E80" s="36">
        <f>SUM(E51:E74)</f>
        <v/>
      </c>
      <c r="F80" s="36">
        <f>SUM(F51:F74)</f>
        <v/>
      </c>
      <c r="G80" s="36">
        <f>SUM(G51:G74)</f>
        <v/>
      </c>
      <c r="H80" s="36">
        <f>SUM(H51:H74)</f>
        <v/>
      </c>
      <c r="I80" s="36">
        <f>SUM(I51:I74)</f>
        <v/>
      </c>
      <c r="J80" s="36">
        <f>SUM(J51:J74)</f>
        <v/>
      </c>
      <c r="K80" s="35">
        <f>SUM(K51:K74)</f>
        <v/>
      </c>
      <c r="L80" s="35" t="n"/>
      <c r="M80" s="36">
        <f>SUM(M51:M74)</f>
        <v/>
      </c>
      <c r="N80" s="36">
        <f>SUM(N51:N74)</f>
        <v/>
      </c>
      <c r="O80" s="37">
        <f>IFERROR(M75/D75-1,0)</f>
        <v/>
      </c>
    </row>
    <row r="81" ht="15" customHeight="1"/>
    <row r="82" ht="15" customHeight="1">
      <c r="A82" s="55" t="n"/>
      <c r="B82" s="55" t="inlineStr">
        <is>
          <t>TOTAL OPERATING INCOME</t>
        </is>
      </c>
      <c r="C82" s="56" t="n"/>
      <c r="D82" s="57">
        <f>D48+D75</f>
        <v/>
      </c>
      <c r="E82" s="57">
        <f>E48+E75</f>
        <v/>
      </c>
      <c r="F82" s="57">
        <f>F48+F75</f>
        <v/>
      </c>
      <c r="G82" s="57">
        <f>G48+G75</f>
        <v/>
      </c>
      <c r="H82" s="57">
        <f>H48+H75</f>
        <v/>
      </c>
      <c r="I82" s="57">
        <f>I48+I75</f>
        <v/>
      </c>
      <c r="J82" s="57">
        <f>J48+J75</f>
        <v/>
      </c>
      <c r="K82" s="56">
        <f>K48+K75</f>
        <v/>
      </c>
      <c r="L82" s="56" t="n"/>
      <c r="M82" s="57">
        <f>M48+M75</f>
        <v/>
      </c>
      <c r="N82" s="57">
        <f>N48+N75</f>
        <v/>
      </c>
      <c r="O82" s="58">
        <f>IFERROR(M77/D77-1,0)</f>
        <v/>
      </c>
    </row>
    <row r="83"/>
    <row r="84">
      <c r="A84" s="28" t="inlineStr">
        <is>
          <t>NOTES</t>
        </is>
      </c>
    </row>
    <row r="85">
      <c r="A85" s="22" t="inlineStr">
        <is>
          <t>Maintenance Income: set Shares, $/Share, Increase % in calculation area above. Override GL 4010-0000 Proposed Budget if needed.</t>
        </is>
      </c>
    </row>
    <row r="86">
      <c r="A86" s="22" t="inlineStr">
        <is>
          <t>Storage/Bicycle/Laundry: set unit counts and rates in calculation areas above. Override GL lines if needed.</t>
        </is>
      </c>
    </row>
    <row r="87">
      <c r="A87" s="22" t="inlineStr">
        <is>
          <t>Orange cells = paste from Yardi. Yellow/Blue = manual input. Black = formula (do not overwrite).</t>
        </is>
      </c>
    </row>
  </sheetData>
  <mergeCells count="11">
    <mergeCell ref="A80:N80"/>
    <mergeCell ref="A10:F10"/>
    <mergeCell ref="A50:N50"/>
    <mergeCell ref="A5:F5"/>
    <mergeCell ref="A2:N2"/>
    <mergeCell ref="A82:N82"/>
    <mergeCell ref="A81:N81"/>
    <mergeCell ref="A22:F22"/>
    <mergeCell ref="A18:F18"/>
    <mergeCell ref="A28:N28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1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8" customWidth="1" min="1" max="1"/>
    <col width="12" customWidth="1" min="2" max="2"/>
    <col width="14" customWidth="1" min="3" max="10"/>
    <col width="12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Payroll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PAYROLL ASSUMPTIONS — Update rates here, all calculations auto-recalculate</t>
        </is>
      </c>
    </row>
    <row r="6" ht="15" customHeight="1">
      <c r="A6" s="2" t="inlineStr">
        <is>
          <t>Payroll Tax Rates</t>
        </is>
      </c>
      <c r="B6" s="81" t="n"/>
      <c r="C6" s="82" t="n"/>
      <c r="F6" s="2" t="inlineStr">
        <is>
          <t>32BJ Union Benefit Rates</t>
        </is>
      </c>
      <c r="G6" s="81" t="n"/>
      <c r="H6" s="82" t="n"/>
      <c r="K6" s="2" t="n"/>
      <c r="L6" s="82" t="n"/>
    </row>
    <row r="7" ht="15" customHeight="1">
      <c r="A7" s="21" t="inlineStr">
        <is>
          <t>FICA</t>
        </is>
      </c>
      <c r="B7" s="59" t="n">
        <v>0</v>
      </c>
      <c r="C7" s="60" t="inlineStr">
        <is>
          <t>of gross wages</t>
        </is>
      </c>
      <c r="F7" s="21" t="inlineStr">
        <is>
          <t>Welfare</t>
        </is>
      </c>
      <c r="G7" s="60" t="inlineStr">
        <is>
          <t>$1,072.55/mo/man</t>
        </is>
      </c>
      <c r="H7" s="61" t="n">
        <v>0</v>
      </c>
      <c r="K7" s="21" t="n"/>
      <c r="L7" s="21" t="inlineStr">
        <is>
          <t>Workers Comp %</t>
        </is>
      </c>
      <c r="M7" s="43" t="n">
        <v>0</v>
      </c>
    </row>
    <row r="8" ht="15" customHeight="1">
      <c r="A8" s="21" t="inlineStr">
        <is>
          <t>SUI</t>
        </is>
      </c>
      <c r="B8" s="62" t="n">
        <v>0</v>
      </c>
      <c r="C8" s="60" t="inlineStr">
        <is>
          <t>of first $12,000</t>
        </is>
      </c>
      <c r="F8" s="21" t="inlineStr">
        <is>
          <t>Pension</t>
        </is>
      </c>
      <c r="G8" s="60" t="inlineStr">
        <is>
          <t>$82.75/wk/man</t>
        </is>
      </c>
      <c r="H8" s="61" t="n">
        <v>0</v>
      </c>
      <c r="K8" s="21" t="n"/>
      <c r="L8" s="21" t="inlineStr">
        <is>
          <t>Union Increase %</t>
        </is>
      </c>
      <c r="M8" s="43" t="n">
        <v>0</v>
      </c>
    </row>
    <row r="9" ht="15" customHeight="1">
      <c r="A9" s="21" t="inlineStr">
        <is>
          <t>FUI</t>
        </is>
      </c>
      <c r="B9" s="63" t="n">
        <v>0</v>
      </c>
      <c r="C9" s="60" t="inlineStr">
        <is>
          <t>of first $7,000</t>
        </is>
      </c>
      <c r="F9" s="21" t="inlineStr">
        <is>
          <t>Supp. Retirement</t>
        </is>
      </c>
      <c r="G9" s="60" t="inlineStr">
        <is>
          <t>$10.00/wk/man</t>
        </is>
      </c>
      <c r="H9" s="61" t="n">
        <v>0</v>
      </c>
      <c r="K9" s="21" t="n"/>
      <c r="L9" s="21" t="inlineStr">
        <is>
          <t>Increase Effective</t>
        </is>
      </c>
      <c r="M9" s="23" t="inlineStr">
        <is>
          <t>Wk 16</t>
        </is>
      </c>
    </row>
    <row r="10" ht="15" customHeight="1">
      <c r="A10" s="21" t="inlineStr">
        <is>
          <t>MTA</t>
        </is>
      </c>
      <c r="B10" s="59" t="n">
        <v>0</v>
      </c>
      <c r="C10" s="60" t="inlineStr">
        <is>
          <t>of gross wages</t>
        </is>
      </c>
      <c r="F10" s="21" t="inlineStr">
        <is>
          <t>Legal Fund</t>
        </is>
      </c>
      <c r="G10" s="60" t="inlineStr">
        <is>
          <t>$16.63/mo/man</t>
        </is>
      </c>
      <c r="H10" s="61" t="n">
        <v>0</v>
      </c>
      <c r="K10" s="21" t="n"/>
      <c r="L10" s="21" t="inlineStr">
        <is>
          <t>Pre-increase Weeks</t>
        </is>
      </c>
      <c r="M10" s="41" t="n">
        <v>0</v>
      </c>
    </row>
    <row r="11" ht="15" customHeight="1">
      <c r="A11" s="21" t="inlineStr">
        <is>
          <t>NYS Disability</t>
        </is>
      </c>
      <c r="B11" s="41" t="n">
        <v>0</v>
      </c>
      <c r="C11" s="60" t="inlineStr">
        <is>
          <t>per employee/year</t>
        </is>
      </c>
      <c r="F11" s="21" t="inlineStr">
        <is>
          <t>Training Fund</t>
        </is>
      </c>
      <c r="G11" s="60" t="inlineStr">
        <is>
          <t>$14.13/mo/man</t>
        </is>
      </c>
      <c r="H11" s="61" t="n">
        <v>0</v>
      </c>
      <c r="K11" s="21" t="n"/>
      <c r="L11" s="21" t="inlineStr">
        <is>
          <t>Post-increase Weeks</t>
        </is>
      </c>
      <c r="M11" s="41" t="n">
        <v>0</v>
      </c>
    </row>
    <row r="12" ht="15" customHeight="1">
      <c r="A12" s="21" t="inlineStr">
        <is>
          <t>Paid Family Leave</t>
        </is>
      </c>
      <c r="B12" s="62" t="n">
        <v>0</v>
      </c>
      <c r="C12" s="60" t="inlineStr">
        <is>
          <t>of gross wages</t>
        </is>
      </c>
      <c r="F12" s="21" t="inlineStr">
        <is>
          <t>Profit Sharing</t>
        </is>
      </c>
      <c r="G12" s="60" t="inlineStr">
        <is>
          <t>$130.00/qtr/man</t>
        </is>
      </c>
      <c r="H12" s="61" t="n">
        <v>0</v>
      </c>
      <c r="K12" s="21" t="n"/>
      <c r="L12" s="21" t="inlineStr">
        <is>
          <t>Total Weeks</t>
        </is>
      </c>
      <c r="M12" s="41" t="n">
        <v>0</v>
      </c>
    </row>
    <row r="14" ht="15" customHeight="1">
      <c r="A14" s="4" t="inlineStr">
        <is>
          <t>EMPLOYEE ROSTER &amp; WAGE CALCULATION</t>
        </is>
      </c>
    </row>
    <row r="15" ht="23.25" customHeight="1">
      <c r="A15" s="30" t="inlineStr">
        <is>
          <t>Position</t>
        </is>
      </c>
      <c r="B15" s="30" t="inlineStr">
        <is>
          <t>#</t>
        </is>
      </c>
      <c r="C15" s="30" t="inlineStr">
        <is>
          <t>Hourly Rate</t>
        </is>
      </c>
      <c r="D15" s="30" t="inlineStr">
        <is>
          <t>Weekly Pay</t>
        </is>
      </c>
      <c r="E15" s="30" t="inlineStr">
        <is>
          <t>Pre-Incr Wks</t>
        </is>
      </c>
      <c r="F15" s="30" t="inlineStr">
        <is>
          <t>Pre-Incr Wages</t>
        </is>
      </c>
      <c r="G15" s="30" t="inlineStr">
        <is>
          <t>Post-Incr Rate</t>
        </is>
      </c>
      <c r="H15" s="30" t="inlineStr">
        <is>
          <t>Post-Incr Wks</t>
        </is>
      </c>
      <c r="I15" s="30" t="inlineStr">
        <is>
          <t>Post-Incr Wages</t>
        </is>
      </c>
      <c r="J15" s="30" t="inlineStr">
        <is>
          <t>Annual Base</t>
        </is>
      </c>
      <c r="K15" s="30" t="n"/>
      <c r="L15" s="30" t="inlineStr">
        <is>
          <t>OT (0.2%)</t>
        </is>
      </c>
      <c r="M15" s="30" t="inlineStr">
        <is>
          <t>Vac/Sick/Hol</t>
        </is>
      </c>
    </row>
    <row r="16" ht="15" customHeight="1">
      <c r="A16" s="49" t="inlineStr">
        <is>
          <t>Position</t>
        </is>
      </c>
      <c r="B16" s="49" t="inlineStr">
        <is>
          <t>Input</t>
        </is>
      </c>
      <c r="C16" s="49" t="inlineStr">
        <is>
          <t>Input</t>
        </is>
      </c>
      <c r="D16" s="49" t="inlineStr">
        <is>
          <t>Formula</t>
        </is>
      </c>
      <c r="E16" s="49" t="inlineStr">
        <is>
          <t>Assumption</t>
        </is>
      </c>
      <c r="F16" s="49" t="inlineStr">
        <is>
          <t>Formula</t>
        </is>
      </c>
      <c r="G16" s="49" t="inlineStr">
        <is>
          <t>Formula</t>
        </is>
      </c>
      <c r="H16" s="49" t="inlineStr">
        <is>
          <t>Assumption</t>
        </is>
      </c>
      <c r="I16" s="49" t="inlineStr">
        <is>
          <t>Formula</t>
        </is>
      </c>
      <c r="J16" s="49" t="inlineStr">
        <is>
          <t>Formula</t>
        </is>
      </c>
      <c r="K16" s="49" t="n"/>
      <c r="L16" s="49" t="inlineStr">
        <is>
          <t>Formula</t>
        </is>
      </c>
      <c r="M16" s="49" t="inlineStr">
        <is>
          <t>Formula</t>
        </is>
      </c>
    </row>
    <row r="17" ht="15" customHeight="1">
      <c r="A17" s="21" t="inlineStr">
        <is>
          <t>Resident Manager</t>
        </is>
      </c>
      <c r="B17" s="41" t="n">
        <v>0</v>
      </c>
      <c r="C17" s="64" t="n">
        <v>0</v>
      </c>
      <c r="D17" s="65">
        <f>C17*40</f>
        <v/>
      </c>
      <c r="E17" s="48">
        <f>$L$10</f>
        <v/>
      </c>
      <c r="F17" s="33">
        <f>D17*E17*B17</f>
        <v/>
      </c>
      <c r="G17" s="65">
        <f>C17*(1+$L$8)</f>
        <v/>
      </c>
      <c r="H17" s="48">
        <f>$L$11</f>
        <v/>
      </c>
      <c r="I17" s="33">
        <f>(G17*40)*H17*B17</f>
        <v/>
      </c>
      <c r="J17" s="33">
        <f>F17+I17</f>
        <v/>
      </c>
      <c r="K17" s="33" t="n"/>
      <c r="L17" s="33">
        <f>J17*0.002</f>
        <v/>
      </c>
      <c r="M17" s="33">
        <f>J17*0.1</f>
        <v/>
      </c>
    </row>
    <row r="18" ht="15" customHeight="1">
      <c r="A18" s="21" t="inlineStr">
        <is>
          <t>Handyman</t>
        </is>
      </c>
      <c r="B18" s="41" t="n">
        <v>0</v>
      </c>
      <c r="C18" s="64" t="n">
        <v>0</v>
      </c>
      <c r="D18" s="65">
        <f>C18*40</f>
        <v/>
      </c>
      <c r="E18" s="48">
        <f>$L$10</f>
        <v/>
      </c>
      <c r="F18" s="33">
        <f>D18*E18*B18</f>
        <v/>
      </c>
      <c r="G18" s="65">
        <f>C18*(1+$L$8)</f>
        <v/>
      </c>
      <c r="H18" s="48">
        <f>$L$11</f>
        <v/>
      </c>
      <c r="I18" s="33">
        <f>(G18*40)*H18*B18</f>
        <v/>
      </c>
      <c r="J18" s="33">
        <f>F18+I18</f>
        <v/>
      </c>
      <c r="K18" s="33" t="n"/>
      <c r="L18" s="33">
        <f>J18*0.002</f>
        <v/>
      </c>
      <c r="M18" s="33">
        <f>J18*0.1</f>
        <v/>
      </c>
    </row>
    <row r="19" ht="15" customHeight="1">
      <c r="A19" s="21" t="inlineStr">
        <is>
          <t>Porter / Doorman</t>
        </is>
      </c>
      <c r="B19" s="41" t="n">
        <v>0</v>
      </c>
      <c r="C19" s="64" t="n">
        <v>0</v>
      </c>
      <c r="D19" s="65">
        <f>C19*40</f>
        <v/>
      </c>
      <c r="E19" s="48">
        <f>$L$10</f>
        <v/>
      </c>
      <c r="F19" s="33">
        <f>D19*E19*B19</f>
        <v/>
      </c>
      <c r="G19" s="65">
        <f>C19*(1+$L$8)</f>
        <v/>
      </c>
      <c r="H19" s="48">
        <f>$L$11</f>
        <v/>
      </c>
      <c r="I19" s="33">
        <f>(G19*40)*H19*B19</f>
        <v/>
      </c>
      <c r="J19" s="33">
        <f>F19+I19</f>
        <v/>
      </c>
      <c r="K19" s="33" t="n"/>
      <c r="L19" s="33">
        <f>J19*0.002</f>
        <v/>
      </c>
      <c r="M19" s="33">
        <f>J19*0.1</f>
        <v/>
      </c>
    </row>
    <row r="20" ht="15" customHeight="1">
      <c r="A20" s="21" t="inlineStr">
        <is>
          <t>Porter (80%)</t>
        </is>
      </c>
      <c r="B20" s="41" t="n">
        <v>0</v>
      </c>
      <c r="C20" s="64" t="n">
        <v>0</v>
      </c>
      <c r="D20" s="65">
        <f>C20*40</f>
        <v/>
      </c>
      <c r="E20" s="48">
        <f>$L$10</f>
        <v/>
      </c>
      <c r="F20" s="33">
        <f>D20*E20*B20</f>
        <v/>
      </c>
      <c r="G20" s="65">
        <f>C20*(1+$L$8)</f>
        <v/>
      </c>
      <c r="H20" s="48">
        <f>$L$11</f>
        <v/>
      </c>
      <c r="I20" s="33">
        <f>(G20*40)*H20*B20</f>
        <v/>
      </c>
      <c r="J20" s="33">
        <f>F20+I20</f>
        <v/>
      </c>
      <c r="K20" s="33" t="n"/>
      <c r="L20" s="33">
        <f>J20*0.002</f>
        <v/>
      </c>
      <c r="M20" s="33">
        <f>J20*0.1</f>
        <v/>
      </c>
    </row>
    <row r="21" ht="15" customHeight="1">
      <c r="A21" s="21" t="inlineStr">
        <is>
          <t>Employee 5</t>
        </is>
      </c>
      <c r="B21" s="41" t="n">
        <v>0</v>
      </c>
      <c r="C21" s="64" t="n">
        <v>0</v>
      </c>
      <c r="D21" s="65">
        <f>C21*40</f>
        <v/>
      </c>
      <c r="E21" s="48">
        <f>$L$10</f>
        <v/>
      </c>
      <c r="F21" s="33">
        <f>D21*E21*B21</f>
        <v/>
      </c>
      <c r="G21" s="65">
        <f>C21*(1+$L$8)</f>
        <v/>
      </c>
      <c r="H21" s="48">
        <f>$L$11</f>
        <v/>
      </c>
      <c r="I21" s="33">
        <f>(G21*40)*H21*B21</f>
        <v/>
      </c>
      <c r="J21" s="33">
        <f>F21+I21</f>
        <v/>
      </c>
      <c r="K21" s="33" t="n"/>
      <c r="L21" s="33">
        <f>J21*0.002</f>
        <v/>
      </c>
      <c r="M21" s="33">
        <f>J21*0.1</f>
        <v/>
      </c>
    </row>
    <row r="22" ht="15" customHeight="1">
      <c r="A22" s="21" t="inlineStr">
        <is>
          <t>Employee 6</t>
        </is>
      </c>
      <c r="B22" s="41" t="n">
        <v>0</v>
      </c>
      <c r="C22" s="64" t="n">
        <v>0</v>
      </c>
      <c r="D22" s="65">
        <f>C22*40</f>
        <v/>
      </c>
      <c r="E22" s="48">
        <f>$L$10</f>
        <v/>
      </c>
      <c r="F22" s="33">
        <f>D22*E22*B22</f>
        <v/>
      </c>
      <c r="G22" s="65">
        <f>C22*(1+$L$8)</f>
        <v/>
      </c>
      <c r="H22" s="48">
        <f>$L$11</f>
        <v/>
      </c>
      <c r="I22" s="33">
        <f>(G22*40)*H22*B22</f>
        <v/>
      </c>
      <c r="J22" s="33">
        <f>F22+I22</f>
        <v/>
      </c>
      <c r="K22" s="33" t="n"/>
      <c r="L22" s="33">
        <f>J22*0.002</f>
        <v/>
      </c>
      <c r="M22" s="33">
        <f>J22*0.1</f>
        <v/>
      </c>
    </row>
    <row r="23" ht="15" customHeight="1">
      <c r="A23" s="21" t="inlineStr">
        <is>
          <t>Employee 7</t>
        </is>
      </c>
      <c r="B23" s="41" t="n">
        <v>0</v>
      </c>
      <c r="C23" s="64" t="n">
        <v>0</v>
      </c>
      <c r="D23" s="65">
        <f>C23*40</f>
        <v/>
      </c>
      <c r="E23" s="48">
        <f>$L$10</f>
        <v/>
      </c>
      <c r="F23" s="33">
        <f>D23*E23*B23</f>
        <v/>
      </c>
      <c r="G23" s="65">
        <f>C23*(1+$L$8)</f>
        <v/>
      </c>
      <c r="H23" s="48">
        <f>$L$11</f>
        <v/>
      </c>
      <c r="I23" s="33">
        <f>(G23*40)*H23*B23</f>
        <v/>
      </c>
      <c r="J23" s="33">
        <f>F23+I23</f>
        <v/>
      </c>
      <c r="K23" s="33" t="n"/>
      <c r="L23" s="33">
        <f>J23*0.002</f>
        <v/>
      </c>
      <c r="M23" s="33">
        <f>J23*0.1</f>
        <v/>
      </c>
    </row>
    <row r="24" ht="15" customHeight="1">
      <c r="A24" s="21" t="inlineStr">
        <is>
          <t>Employee 8</t>
        </is>
      </c>
      <c r="B24" s="41" t="n">
        <v>0</v>
      </c>
      <c r="C24" s="64" t="n">
        <v>0</v>
      </c>
      <c r="D24" s="65">
        <f>C24*40</f>
        <v/>
      </c>
      <c r="E24" s="48">
        <f>$L$10</f>
        <v/>
      </c>
      <c r="F24" s="33">
        <f>D24*E24*B24</f>
        <v/>
      </c>
      <c r="G24" s="65">
        <f>C24*(1+$L$8)</f>
        <v/>
      </c>
      <c r="H24" s="48">
        <f>$L$11</f>
        <v/>
      </c>
      <c r="I24" s="33">
        <f>(G24*40)*H24*B24</f>
        <v/>
      </c>
      <c r="J24" s="33">
        <f>F24+I24</f>
        <v/>
      </c>
      <c r="K24" s="33" t="n"/>
      <c r="L24" s="33">
        <f>J24*0.002</f>
        <v/>
      </c>
      <c r="M24" s="33">
        <f>J24*0.1</f>
        <v/>
      </c>
    </row>
    <row r="25" ht="15" customHeight="1">
      <c r="A25" s="35" t="inlineStr">
        <is>
          <t>TOTAL</t>
        </is>
      </c>
      <c r="B25" s="36">
        <f>SUM(B17:B24)</f>
        <v/>
      </c>
      <c r="C25" s="35" t="n"/>
      <c r="D25" s="35" t="n"/>
      <c r="E25" s="35" t="n"/>
      <c r="F25" s="36">
        <f>SUM(F17:F24)</f>
        <v/>
      </c>
      <c r="G25" s="35" t="n"/>
      <c r="H25" s="35" t="n"/>
      <c r="I25" s="36">
        <f>SUM(I17:I24)</f>
        <v/>
      </c>
      <c r="J25" s="36">
        <f>SUM(J17:J24)</f>
        <v/>
      </c>
      <c r="K25" s="36" t="n"/>
      <c r="L25" s="36">
        <f>SUM(K17:K24)</f>
        <v/>
      </c>
      <c r="M25" s="36">
        <f>SUM(M17:M24)</f>
        <v/>
      </c>
    </row>
    <row r="27" ht="15" customHeight="1">
      <c r="A27" s="4" t="inlineStr">
        <is>
          <t>PAYROLL TAXES, WORKERS COMP &amp; UNION BENEFITS</t>
        </is>
      </c>
    </row>
    <row r="28" ht="15" customHeight="1">
      <c r="A28" s="45" t="inlineStr">
        <is>
          <t>Category</t>
        </is>
      </c>
      <c r="B28" s="45" t="inlineStr">
        <is>
          <t>Rate</t>
        </is>
      </c>
      <c r="C28" s="45" t="inlineStr">
        <is>
          <t>Basis</t>
        </is>
      </c>
      <c r="D28" s="45" t="n"/>
      <c r="E28" s="45" t="n"/>
      <c r="F28" s="45" t="n"/>
      <c r="G28" s="45" t="n"/>
      <c r="H28" s="45" t="inlineStr">
        <is>
          <t>Total</t>
        </is>
      </c>
    </row>
    <row r="29" ht="15" customHeight="1">
      <c r="A29" s="21" t="inlineStr">
        <is>
          <t>FICA</t>
        </is>
      </c>
      <c r="B29" s="66">
        <f>$B$7</f>
        <v/>
      </c>
      <c r="C29" s="60" t="inlineStr">
        <is>
          <t>Gross × Rate</t>
        </is>
      </c>
      <c r="H29" s="33">
        <f>(J25+K25+L25)*B29</f>
        <v/>
      </c>
    </row>
    <row r="30" ht="15" customHeight="1">
      <c r="A30" s="21" t="inlineStr">
        <is>
          <t>SUI</t>
        </is>
      </c>
      <c r="B30" s="67">
        <f>$B$8</f>
        <v/>
      </c>
      <c r="C30" s="60" t="inlineStr">
        <is>
          <t>$12K × Rate × # Emp</t>
        </is>
      </c>
      <c r="H30" s="33">
        <f>12000*B30*B25</f>
        <v/>
      </c>
    </row>
    <row r="31" ht="15" customHeight="1">
      <c r="A31" s="21" t="inlineStr">
        <is>
          <t>FUI</t>
        </is>
      </c>
      <c r="B31" s="68">
        <f>$B$9</f>
        <v/>
      </c>
      <c r="C31" s="60" t="inlineStr">
        <is>
          <t>$7K × Rate × # Emp</t>
        </is>
      </c>
      <c r="H31" s="33">
        <f>7000*B31*B25</f>
        <v/>
      </c>
    </row>
    <row r="32" ht="15" customHeight="1">
      <c r="A32" s="21" t="inlineStr">
        <is>
          <t>MTA</t>
        </is>
      </c>
      <c r="B32" s="66">
        <f>$B$10</f>
        <v/>
      </c>
      <c r="C32" s="60" t="inlineStr">
        <is>
          <t>Gross × Rate</t>
        </is>
      </c>
      <c r="H32" s="33">
        <f>(J25+K25+L25)*B32</f>
        <v/>
      </c>
    </row>
    <row r="33" ht="15" customHeight="1">
      <c r="A33" s="21" t="inlineStr">
        <is>
          <t>NYS Disability</t>
        </is>
      </c>
      <c r="B33" s="48">
        <f>$B$11</f>
        <v/>
      </c>
      <c r="C33" s="60" t="inlineStr">
        <is>
          <t>$ per Employee</t>
        </is>
      </c>
      <c r="H33" s="33">
        <f>B33*B25</f>
        <v/>
      </c>
    </row>
    <row r="34" ht="15" customHeight="1">
      <c r="A34" s="21" t="inlineStr">
        <is>
          <t>Paid Family Leave</t>
        </is>
      </c>
      <c r="B34" s="67">
        <f>$B$12</f>
        <v/>
      </c>
      <c r="C34" s="60" t="inlineStr">
        <is>
          <t>Gross × Rate</t>
        </is>
      </c>
      <c r="H34" s="33">
        <f>(J25+K25+L25)*B34</f>
        <v/>
      </c>
    </row>
    <row r="35" ht="15" customHeight="1">
      <c r="A35" s="69" t="inlineStr">
        <is>
          <t>Total Payroll Taxes</t>
        </is>
      </c>
      <c r="B35" s="69" t="n"/>
      <c r="C35" s="69" t="n"/>
      <c r="D35" s="69" t="n"/>
      <c r="E35" s="69" t="n"/>
      <c r="F35" s="69" t="n"/>
      <c r="G35" s="69" t="n"/>
      <c r="H35" s="70">
        <f>SUM(H29:H34)</f>
        <v/>
      </c>
    </row>
    <row r="37" ht="15" customHeight="1">
      <c r="A37" s="19" t="inlineStr">
        <is>
          <t>Workers Compensation</t>
        </is>
      </c>
      <c r="B37" s="71">
        <f>$L$7</f>
        <v/>
      </c>
      <c r="C37" s="60" t="inlineStr">
        <is>
          <t>Gross × Rate</t>
        </is>
      </c>
      <c r="H37" s="33">
        <f>L7*(J25+K25+L25)</f>
        <v/>
      </c>
    </row>
    <row r="39" ht="15" customHeight="1">
      <c r="A39" s="4" t="inlineStr">
        <is>
          <t>UNION BENEFITS</t>
        </is>
      </c>
    </row>
    <row r="40" ht="15" customHeight="1">
      <c r="A40" s="45" t="inlineStr">
        <is>
          <t>Benefit</t>
        </is>
      </c>
      <c r="B40" s="45" t="inlineStr">
        <is>
          <t>Annual/Man</t>
        </is>
      </c>
      <c r="C40" s="45" t="inlineStr">
        <is>
          <t>Basis</t>
        </is>
      </c>
      <c r="D40" s="45" t="n"/>
      <c r="E40" s="45" t="n"/>
      <c r="F40" s="45" t="n"/>
      <c r="G40" s="45" t="n"/>
      <c r="H40" s="45" t="inlineStr">
        <is>
          <t>Total</t>
        </is>
      </c>
    </row>
    <row r="41" ht="15" customHeight="1">
      <c r="A41" s="21" t="inlineStr">
        <is>
          <t>Welfare</t>
        </is>
      </c>
      <c r="B41" s="72">
        <f>$H$7</f>
        <v/>
      </c>
      <c r="C41" s="60" t="inlineStr">
        <is>
          <t>$/mo × # emp × 12</t>
        </is>
      </c>
      <c r="H41" s="33">
        <f>H7*B25</f>
        <v/>
      </c>
    </row>
    <row r="42" ht="15" customHeight="1">
      <c r="A42" s="21" t="inlineStr">
        <is>
          <t>Pension</t>
        </is>
      </c>
      <c r="B42" s="72">
        <f>$H$8</f>
        <v/>
      </c>
      <c r="C42" s="60" t="inlineStr">
        <is>
          <t>$/wk × # emp × 52</t>
        </is>
      </c>
      <c r="H42" s="33">
        <f>H8*B25</f>
        <v/>
      </c>
    </row>
    <row r="43" ht="15" customHeight="1">
      <c r="A43" s="21" t="inlineStr">
        <is>
          <t>Supp. Retirement</t>
        </is>
      </c>
      <c r="B43" s="72">
        <f>$H$9</f>
        <v/>
      </c>
      <c r="C43" s="60" t="inlineStr">
        <is>
          <t>$/wk × # emp × 52</t>
        </is>
      </c>
      <c r="H43" s="33">
        <f>H9*B25</f>
        <v/>
      </c>
    </row>
    <row r="44" ht="15" customHeight="1">
      <c r="A44" s="21" t="inlineStr">
        <is>
          <t>Legal Fund</t>
        </is>
      </c>
      <c r="B44" s="72">
        <f>$H$10</f>
        <v/>
      </c>
      <c r="C44" s="60" t="inlineStr">
        <is>
          <t>$/mo × # emp × 12</t>
        </is>
      </c>
      <c r="H44" s="33">
        <f>H10*B25</f>
        <v/>
      </c>
    </row>
    <row r="45" ht="15" customHeight="1">
      <c r="A45" s="21" t="inlineStr">
        <is>
          <t>Training Fund</t>
        </is>
      </c>
      <c r="B45" s="72">
        <f>$H$11</f>
        <v/>
      </c>
      <c r="C45" s="60" t="inlineStr">
        <is>
          <t>$/mo × # emp × 12</t>
        </is>
      </c>
      <c r="H45" s="33">
        <f>H11*B25</f>
        <v/>
      </c>
    </row>
    <row r="46" ht="15" customHeight="1">
      <c r="A46" s="21" t="inlineStr">
        <is>
          <t>Profit Sharing</t>
        </is>
      </c>
      <c r="B46" s="72">
        <f>$H$12</f>
        <v/>
      </c>
      <c r="C46" s="60" t="inlineStr">
        <is>
          <t>$/qtr × # emp × 4</t>
        </is>
      </c>
      <c r="H46" s="33">
        <f>H12*B25</f>
        <v/>
      </c>
    </row>
    <row r="47" ht="15" customHeight="1">
      <c r="A47" s="69" t="inlineStr">
        <is>
          <t>Total Union Benefits</t>
        </is>
      </c>
      <c r="B47" s="69" t="n"/>
      <c r="C47" s="69" t="n"/>
      <c r="D47" s="69" t="n"/>
      <c r="E47" s="69" t="n"/>
      <c r="F47" s="69" t="n"/>
      <c r="G47" s="69" t="n"/>
      <c r="H47" s="70">
        <f>SUM(H41:H46)</f>
        <v/>
      </c>
    </row>
    <row r="49" ht="15" customHeight="1">
      <c r="A49" s="40" t="inlineStr">
        <is>
          <t>TOTAL LABOR &amp; RELATED (from calculations above)</t>
        </is>
      </c>
      <c r="B49" s="83" t="n"/>
      <c r="C49" s="83" t="n"/>
      <c r="D49" s="83" t="n"/>
      <c r="E49" s="83" t="n"/>
      <c r="F49" s="83" t="n"/>
      <c r="G49" s="84" t="n"/>
      <c r="H49" s="73">
        <f>J25+K25+L25+H35+H37+H47</f>
        <v/>
      </c>
    </row>
    <row r="52" ht="23.25" customHeight="1">
      <c r="A52" s="30" t="inlineStr">
        <is>
          <t>GL Code</t>
        </is>
      </c>
      <c r="B52" s="30" t="inlineStr">
        <is>
          <t>Description</t>
        </is>
      </c>
      <c r="C52" s="30" t="inlineStr">
        <is>
          <t>Notes</t>
        </is>
      </c>
      <c r="D52" s="30" t="inlineStr">
        <is>
          <t>Prior Year
Actual</t>
        </is>
      </c>
      <c r="E52" s="30" t="inlineStr">
        <is>
          <t>YTD Actual</t>
        </is>
      </c>
      <c r="F52" s="30" t="inlineStr">
        <is>
          <t>Accrual
Adj</t>
        </is>
      </c>
      <c r="G52" s="30" t="inlineStr">
        <is>
          <t>Unpaid
Bills</t>
        </is>
      </c>
      <c r="H52" s="30" t="inlineStr">
        <is>
          <t>YTD Budget</t>
        </is>
      </c>
      <c r="I52" s="30" t="inlineStr">
        <is>
          <t>Sep-Dec
Estimate</t>
        </is>
      </c>
      <c r="J52" s="30" t="inlineStr">
        <is>
          <t>12 Month
Forecast</t>
        </is>
      </c>
      <c r="K52" s="30" t="inlineStr">
        <is>
          <t>Current Year
Budget</t>
        </is>
      </c>
      <c r="L52" s="30" t="inlineStr">
        <is>
          <t>Increase %</t>
        </is>
      </c>
      <c r="M52" s="30" t="inlineStr">
        <is>
          <t>Proposed
Budget</t>
        </is>
      </c>
      <c r="N52" s="30" t="inlineStr">
        <is>
          <t>$ Variance</t>
        </is>
      </c>
      <c r="O52" s="30" t="inlineStr">
        <is>
          <t>% Change</t>
        </is>
      </c>
    </row>
    <row r="53" ht="15" customHeight="1">
      <c r="A53" s="49" t="inlineStr">
        <is>
          <t>Yardi</t>
        </is>
      </c>
      <c r="B53" s="49" t="inlineStr">
        <is>
          <t>Yardi</t>
        </is>
      </c>
      <c r="C53" s="49" t="inlineStr">
        <is>
          <t>Input</t>
        </is>
      </c>
      <c r="D53" s="49" t="inlineStr">
        <is>
          <t>Yardi</t>
        </is>
      </c>
      <c r="E53" s="49" t="inlineStr">
        <is>
          <t>Yardi</t>
        </is>
      </c>
      <c r="F53" s="49" t="inlineStr">
        <is>
          <t>Input</t>
        </is>
      </c>
      <c r="G53" s="49" t="inlineStr">
        <is>
          <t>Input</t>
        </is>
      </c>
      <c r="H53" s="49" t="inlineStr">
        <is>
          <t>Yardi</t>
        </is>
      </c>
      <c r="I53" s="49" t="inlineStr">
        <is>
          <t>Formula</t>
        </is>
      </c>
      <c r="J53" s="49" t="inlineStr">
        <is>
          <t>Formula</t>
        </is>
      </c>
      <c r="K53" s="49" t="inlineStr">
        <is>
          <t>Yardi</t>
        </is>
      </c>
      <c r="L53" s="49" t="inlineStr">
        <is>
          <t>Input</t>
        </is>
      </c>
      <c r="M53" s="49" t="inlineStr">
        <is>
          <t>Formula</t>
        </is>
      </c>
      <c r="N53" s="49" t="inlineStr">
        <is>
          <t>Formula</t>
        </is>
      </c>
      <c r="O53" s="49" t="inlineStr">
        <is>
          <t>Formula</t>
        </is>
      </c>
    </row>
    <row r="54" ht="15" customHeight="1">
      <c r="A54" s="7" t="inlineStr">
        <is>
          <t>Wages</t>
        </is>
      </c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2" t="n"/>
    </row>
    <row r="55" ht="15" customHeight="1">
      <c r="A55" s="50" t="inlineStr">
        <is>
          <t>5105-0000</t>
        </is>
      </c>
      <c r="B55" s="50" t="inlineStr">
        <is>
          <t>Gross Payroll</t>
        </is>
      </c>
      <c r="C55" s="23" t="n"/>
      <c r="D55" s="51" t="n"/>
      <c r="E55" s="51" t="n"/>
      <c r="F55" s="32" t="n">
        <v>0</v>
      </c>
      <c r="G55" s="32" t="n">
        <v>0</v>
      </c>
      <c r="H55" s="51" t="n"/>
      <c r="I55" s="33">
        <f>IFERROR(IF((E55+F55+G55)&gt;=D55,(E55+F55+G55)/Setup!$B$10*Setup!$B$11,D55-(E55+F55+G55)),0)</f>
        <v/>
      </c>
      <c r="J55" s="33">
        <f>E55+F55+G55+I55</f>
        <v/>
      </c>
      <c r="K55" s="32" t="n"/>
      <c r="L55" s="52">
        <f>$L$8</f>
        <v/>
      </c>
      <c r="M55" s="54">
        <f>J55*(1+L55)</f>
        <v/>
      </c>
      <c r="N55" s="33">
        <f>M55-D55</f>
        <v/>
      </c>
      <c r="O55" s="34">
        <f>IFERROR(M55/D55-1,0)</f>
        <v/>
      </c>
    </row>
    <row r="56" ht="15" customHeight="1">
      <c r="A56" s="50" t="inlineStr">
        <is>
          <t>5105-0010</t>
        </is>
      </c>
      <c r="B56" s="50" t="inlineStr">
        <is>
          <t>Overtime Pay</t>
        </is>
      </c>
      <c r="C56" s="23" t="n"/>
      <c r="D56" s="51" t="n"/>
      <c r="E56" s="51" t="n"/>
      <c r="F56" s="32" t="n">
        <v>0</v>
      </c>
      <c r="G56" s="32" t="n">
        <v>0</v>
      </c>
      <c r="H56" s="51" t="n"/>
      <c r="I56" s="33">
        <f>IFERROR(IF((E56+F56+G56)&gt;=D56,(E56+F56+G56)/Setup!$B$10*Setup!$B$11,D56-(E56+F56+G56)),0)</f>
        <v/>
      </c>
      <c r="J56" s="33">
        <f>E56+F56+G56+I56</f>
        <v/>
      </c>
      <c r="K56" s="32" t="n"/>
      <c r="L56" s="52">
        <f>$L$8</f>
        <v/>
      </c>
      <c r="M56" s="54">
        <f>J56*(1+L56)</f>
        <v/>
      </c>
      <c r="N56" s="33">
        <f>M56-D56</f>
        <v/>
      </c>
      <c r="O56" s="34">
        <f>IFERROR(M56/D56-1,0)</f>
        <v/>
      </c>
    </row>
    <row r="57" ht="15" customHeight="1">
      <c r="A57" s="50" t="inlineStr">
        <is>
          <t>5105-0015</t>
        </is>
      </c>
      <c r="B57" s="50" t="inlineStr">
        <is>
          <t>Vacation Pay</t>
        </is>
      </c>
      <c r="C57" s="23" t="n"/>
      <c r="D57" s="51" t="n"/>
      <c r="E57" s="51" t="n"/>
      <c r="F57" s="32" t="n">
        <v>0</v>
      </c>
      <c r="G57" s="32" t="n">
        <v>0</v>
      </c>
      <c r="H57" s="51" t="n"/>
      <c r="I57" s="33">
        <f>IFERROR(IF((E57+F57+G57)&gt;=D57,(E57+F57+G57)/Setup!$B$10*Setup!$B$11,D57-(E57+F57+G57)),0)</f>
        <v/>
      </c>
      <c r="J57" s="33">
        <f>E57+F57+G57+I57</f>
        <v/>
      </c>
      <c r="K57" s="32" t="n"/>
      <c r="L57" s="52">
        <f>$L$8</f>
        <v/>
      </c>
      <c r="M57" s="54">
        <f>J57*(1+L57)</f>
        <v/>
      </c>
      <c r="N57" s="33">
        <f>M57-D57</f>
        <v/>
      </c>
      <c r="O57" s="34">
        <f>IFERROR(M57/D57-1,0)</f>
        <v/>
      </c>
    </row>
    <row r="58" ht="15" customHeight="1">
      <c r="A58" s="50" t="inlineStr">
        <is>
          <t>5105-0020</t>
        </is>
      </c>
      <c r="B58" s="50" t="inlineStr">
        <is>
          <t>Holiday Pay</t>
        </is>
      </c>
      <c r="C58" s="23" t="n"/>
      <c r="D58" s="51" t="n"/>
      <c r="E58" s="51" t="n"/>
      <c r="F58" s="32" t="n">
        <v>0</v>
      </c>
      <c r="G58" s="32" t="n">
        <v>0</v>
      </c>
      <c r="H58" s="51" t="n"/>
      <c r="I58" s="33">
        <f>IFERROR(IF((E58+F58+G58)&gt;=D58,(E58+F58+G58)/Setup!$B$10*Setup!$B$11,D58-(E58+F58+G58)),0)</f>
        <v/>
      </c>
      <c r="J58" s="33">
        <f>E58+F58+G58+I58</f>
        <v/>
      </c>
      <c r="K58" s="32" t="n"/>
      <c r="L58" s="52">
        <f>$L$8</f>
        <v/>
      </c>
      <c r="M58" s="54">
        <f>J58*(1+L58)</f>
        <v/>
      </c>
      <c r="N58" s="33">
        <f>M58-D58</f>
        <v/>
      </c>
      <c r="O58" s="34">
        <f>IFERROR(M58/D58-1,0)</f>
        <v/>
      </c>
    </row>
    <row r="59" ht="15" customHeight="1">
      <c r="A59" s="50" t="inlineStr">
        <is>
          <t>5105-0021</t>
        </is>
      </c>
      <c r="B59" s="50" t="inlineStr">
        <is>
          <t>Holiday Premium Pay</t>
        </is>
      </c>
      <c r="C59" s="23" t="n"/>
      <c r="D59" s="51" t="n"/>
      <c r="E59" s="51" t="n"/>
      <c r="F59" s="32" t="n">
        <v>0</v>
      </c>
      <c r="G59" s="32" t="n">
        <v>0</v>
      </c>
      <c r="H59" s="51" t="n"/>
      <c r="I59" s="33">
        <f>IFERROR(IF((E59+F59+G59)&gt;=D59,(E59+F59+G59)/Setup!$B$10*Setup!$B$11,D59-(E59+F59+G59)),0)</f>
        <v/>
      </c>
      <c r="J59" s="33">
        <f>E59+F59+G59+I59</f>
        <v/>
      </c>
      <c r="K59" s="32" t="n"/>
      <c r="L59" s="52">
        <f>$L$8</f>
        <v/>
      </c>
      <c r="M59" s="54">
        <f>J59*(1+L59)</f>
        <v/>
      </c>
      <c r="N59" s="33">
        <f>M59-D59</f>
        <v/>
      </c>
      <c r="O59" s="34">
        <f>IFERROR(M59/D59-1,0)</f>
        <v/>
      </c>
    </row>
    <row r="60" ht="15" customHeight="1">
      <c r="A60" s="50" t="inlineStr">
        <is>
          <t>5105-0025</t>
        </is>
      </c>
      <c r="B60" s="50" t="inlineStr">
        <is>
          <t>Sick Pay</t>
        </is>
      </c>
      <c r="C60" s="23" t="n"/>
      <c r="D60" s="51" t="n"/>
      <c r="E60" s="51" t="n"/>
      <c r="F60" s="32" t="n">
        <v>0</v>
      </c>
      <c r="G60" s="32" t="n">
        <v>0</v>
      </c>
      <c r="H60" s="51" t="n"/>
      <c r="I60" s="33">
        <f>IFERROR(IF((E60+F60+G60)&gt;=D60,(E60+F60+G60)/Setup!$B$10*Setup!$B$11,D60-(E60+F60+G60)),0)</f>
        <v/>
      </c>
      <c r="J60" s="33">
        <f>E60+F60+G60+I60</f>
        <v/>
      </c>
      <c r="K60" s="32" t="n"/>
      <c r="L60" s="52">
        <f>$L$8</f>
        <v/>
      </c>
      <c r="M60" s="54">
        <f>J60*(1+L60)</f>
        <v/>
      </c>
      <c r="N60" s="33">
        <f>M60-D60</f>
        <v/>
      </c>
      <c r="O60" s="34">
        <f>IFERROR(M60/D60-1,0)</f>
        <v/>
      </c>
    </row>
    <row r="61" ht="15" customHeight="1">
      <c r="A61" s="50" t="inlineStr">
        <is>
          <t>5105-0030</t>
        </is>
      </c>
      <c r="B61" s="50" t="inlineStr">
        <is>
          <t>Miscellaneous Pay</t>
        </is>
      </c>
      <c r="C61" s="23" t="n"/>
      <c r="D61" s="51" t="n"/>
      <c r="E61" s="51" t="n"/>
      <c r="F61" s="32" t="n">
        <v>0</v>
      </c>
      <c r="G61" s="32" t="n">
        <v>0</v>
      </c>
      <c r="H61" s="51" t="n"/>
      <c r="I61" s="33">
        <f>IFERROR(IF((E61+F61+G61)&gt;=D61,(E61+F61+G61)/Setup!$B$10*Setup!$B$11,D61-(E61+F61+G61)),0)</f>
        <v/>
      </c>
      <c r="J61" s="33">
        <f>E61+F61+G61+I61</f>
        <v/>
      </c>
      <c r="K61" s="32" t="n"/>
      <c r="L61" s="52">
        <f>$L$8</f>
        <v/>
      </c>
      <c r="M61" s="54">
        <f>J61*(1+L61)</f>
        <v/>
      </c>
      <c r="N61" s="33">
        <f>M61-D61</f>
        <v/>
      </c>
      <c r="O61" s="34">
        <f>IFERROR(M61/D61-1,0)</f>
        <v/>
      </c>
    </row>
    <row r="62" ht="15" customHeight="1">
      <c r="A62" s="50" t="inlineStr">
        <is>
          <t>5105-0035</t>
        </is>
      </c>
      <c r="B62" s="50" t="inlineStr">
        <is>
          <t>Bonus</t>
        </is>
      </c>
      <c r="C62" s="23" t="n"/>
      <c r="D62" s="51" t="n"/>
      <c r="E62" s="51" t="n"/>
      <c r="F62" s="32" t="n">
        <v>0</v>
      </c>
      <c r="G62" s="32" t="n">
        <v>0</v>
      </c>
      <c r="H62" s="51" t="n"/>
      <c r="I62" s="33">
        <f>IFERROR(IF((E62+F62+G62)&gt;=D62,(E62+F62+G62)/Setup!$B$10*Setup!$B$11,D62-(E62+F62+G62)),0)</f>
        <v/>
      </c>
      <c r="J62" s="33">
        <f>E62+F62+G62+I62</f>
        <v/>
      </c>
      <c r="K62" s="32" t="n"/>
      <c r="L62" s="52">
        <f>$L$8</f>
        <v/>
      </c>
      <c r="M62" s="54">
        <f>J62*(1+L62)</f>
        <v/>
      </c>
      <c r="N62" s="33">
        <f>M62-D62</f>
        <v/>
      </c>
      <c r="O62" s="34">
        <f>IFERROR(M62/D62-1,0)</f>
        <v/>
      </c>
    </row>
    <row r="63" ht="15" customHeight="1">
      <c r="A63" s="50" t="inlineStr">
        <is>
          <t>5105-0027</t>
        </is>
      </c>
      <c r="B63" s="50" t="inlineStr">
        <is>
          <t>Meal Reimbursement - Payroll</t>
        </is>
      </c>
      <c r="C63" s="23" t="n"/>
      <c r="D63" s="51" t="n"/>
      <c r="E63" s="51" t="n"/>
      <c r="F63" s="32" t="n">
        <v>0</v>
      </c>
      <c r="G63" s="32" t="n">
        <v>0</v>
      </c>
      <c r="H63" s="51" t="n"/>
      <c r="I63" s="33">
        <f>IFERROR(IF((E63+F63+G63)&gt;=D63,(E63+F63+G63)/Setup!$B$10*Setup!$B$11,D63-(E63+F63+G63)),0)</f>
        <v/>
      </c>
      <c r="J63" s="33">
        <f>E63+F63+G63+I63</f>
        <v/>
      </c>
      <c r="K63" s="32" t="n"/>
      <c r="L63" s="52">
        <f>$L$8</f>
        <v/>
      </c>
      <c r="M63" s="54">
        <f>J63*(1+L63)</f>
        <v/>
      </c>
      <c r="N63" s="33">
        <f>M63-D63</f>
        <v/>
      </c>
      <c r="O63" s="34">
        <f>IFERROR(M63/D63-1,0)</f>
        <v/>
      </c>
    </row>
    <row r="64" ht="15" customHeight="1">
      <c r="A64" s="50" t="n"/>
      <c r="B64" s="50" t="n"/>
      <c r="C64" s="23" t="n"/>
      <c r="D64" s="51" t="n">
        <v>0</v>
      </c>
      <c r="E64" s="51" t="n">
        <v>0</v>
      </c>
      <c r="F64" s="32" t="n">
        <v>0</v>
      </c>
      <c r="G64" s="32" t="n">
        <v>0</v>
      </c>
      <c r="H64" s="51" t="n">
        <v>0</v>
      </c>
      <c r="I64" s="33">
        <f>IFERROR(D64-(E64+F64+G64),0)</f>
        <v/>
      </c>
      <c r="J64" s="33">
        <f>E64+F64+G64+I64</f>
        <v/>
      </c>
      <c r="K64" s="52" t="n"/>
      <c r="L64" s="52" t="n">
        <v>0</v>
      </c>
      <c r="M64" s="54">
        <f>J64*(1+L64)</f>
        <v/>
      </c>
      <c r="N64" s="33">
        <f>M64-D64</f>
        <v/>
      </c>
      <c r="O64" s="34">
        <f>IFERROR(M64/D64-1,0)</f>
        <v/>
      </c>
    </row>
    <row r="65" ht="15" customHeight="1">
      <c r="A65" s="50" t="n"/>
      <c r="B65" s="50" t="n"/>
      <c r="C65" s="23" t="n"/>
      <c r="D65" s="51" t="n">
        <v>0</v>
      </c>
      <c r="E65" s="51" t="n">
        <v>0</v>
      </c>
      <c r="F65" s="32" t="n">
        <v>0</v>
      </c>
      <c r="G65" s="32" t="n">
        <v>0</v>
      </c>
      <c r="H65" s="51" t="n">
        <v>0</v>
      </c>
      <c r="I65" s="33">
        <f>IFERROR(D65-(E65+F65+G65),0)</f>
        <v/>
      </c>
      <c r="J65" s="33">
        <f>E65+F65+G65+I65</f>
        <v/>
      </c>
      <c r="K65" s="52" t="n"/>
      <c r="L65" s="52" t="n">
        <v>0</v>
      </c>
      <c r="M65" s="54">
        <f>J65*(1+L65)</f>
        <v/>
      </c>
      <c r="N65" s="33">
        <f>M65-D65</f>
        <v/>
      </c>
      <c r="O65" s="34">
        <f>IFERROR(M65/D65-1,0)</f>
        <v/>
      </c>
    </row>
    <row r="66" ht="15" customHeight="1">
      <c r="A66" s="35" t="n"/>
      <c r="B66" s="35" t="inlineStr">
        <is>
          <t>Total Wages</t>
        </is>
      </c>
      <c r="C66" s="35" t="n"/>
      <c r="D66" s="36">
        <f>SUM(D55:D65)</f>
        <v/>
      </c>
      <c r="E66" s="36">
        <f>SUM(E55:E65)</f>
        <v/>
      </c>
      <c r="F66" s="36">
        <f>SUM(F55:F65)</f>
        <v/>
      </c>
      <c r="G66" s="36">
        <f>SUM(G55:G65)</f>
        <v/>
      </c>
      <c r="H66" s="36">
        <f>SUM(H55:H65)</f>
        <v/>
      </c>
      <c r="I66" s="36">
        <f>SUM(I55:I65)</f>
        <v/>
      </c>
      <c r="J66" s="36">
        <f>SUM(J55:J65)</f>
        <v/>
      </c>
      <c r="K66" s="35">
        <f>SUM(K55:K65)</f>
        <v/>
      </c>
      <c r="L66" s="35" t="n"/>
      <c r="M66" s="36">
        <f>SUM(M55:M65)</f>
        <v/>
      </c>
      <c r="N66" s="36">
        <f>SUM(N55:N65)</f>
        <v/>
      </c>
      <c r="O66" s="37">
        <f>IFERROR(M66/D66-1,0)</f>
        <v/>
      </c>
    </row>
    <row r="67"/>
    <row r="68" ht="15" customHeight="1">
      <c r="A68" s="7" t="inlineStr">
        <is>
          <t>Payroll Taxes</t>
        </is>
      </c>
      <c r="B68" s="81" t="n"/>
      <c r="C68" s="81" t="n"/>
      <c r="D68" s="81" t="n"/>
      <c r="E68" s="81" t="n"/>
      <c r="F68" s="81" t="n"/>
      <c r="G68" s="81" t="n"/>
      <c r="H68" s="81" t="n"/>
      <c r="I68" s="81" t="n"/>
      <c r="J68" s="81" t="n"/>
      <c r="K68" s="81" t="n"/>
      <c r="L68" s="81" t="n"/>
      <c r="M68" s="81" t="n"/>
      <c r="N68" s="82" t="n"/>
    </row>
    <row r="69" ht="15" customHeight="1">
      <c r="A69" s="50" t="inlineStr">
        <is>
          <t>5145-0000</t>
        </is>
      </c>
      <c r="B69" s="50" t="inlineStr">
        <is>
          <t>Employer Payroll Taxes</t>
        </is>
      </c>
      <c r="C69" s="23" t="n"/>
      <c r="D69" s="51" t="n"/>
      <c r="E69" s="51" t="n"/>
      <c r="F69" s="32" t="n">
        <v>0</v>
      </c>
      <c r="G69" s="32" t="n">
        <v>0</v>
      </c>
      <c r="H69" s="51" t="n"/>
      <c r="I69" s="33">
        <f>IFERROR(IF((E69+F69+G69)&gt;=D69,(E69+F69+G69)/Setup!$B$10*Setup!$B$11,D69-(E69+F69+G69)),0)</f>
        <v/>
      </c>
      <c r="J69" s="33">
        <f>E69+F69+G69+I69</f>
        <v/>
      </c>
      <c r="K69" s="32" t="n"/>
      <c r="L69" s="52">
        <f>$L$8</f>
        <v/>
      </c>
      <c r="M69" s="54">
        <f>J69*(1+L69)</f>
        <v/>
      </c>
      <c r="N69" s="33">
        <f>M69-D69</f>
        <v/>
      </c>
      <c r="O69" s="34">
        <f>IFERROR(M69/D69-1,0)</f>
        <v/>
      </c>
    </row>
    <row r="70" ht="15" customHeight="1">
      <c r="A70" s="50" t="inlineStr">
        <is>
          <t>5140-0015</t>
        </is>
      </c>
      <c r="B70" s="50" t="inlineStr">
        <is>
          <t>Federal withholding Taxes</t>
        </is>
      </c>
      <c r="C70" s="23" t="n"/>
      <c r="D70" s="51" t="n"/>
      <c r="E70" s="51" t="n"/>
      <c r="F70" s="32" t="n">
        <v>0</v>
      </c>
      <c r="G70" s="32" t="n">
        <v>0</v>
      </c>
      <c r="H70" s="51" t="n"/>
      <c r="I70" s="33">
        <f>IFERROR(IF((E70+F70+G70)&gt;=D70,(E70+F70+G70)/Setup!$B$10*Setup!$B$11,D70-(E70+F70+G70)),0)</f>
        <v/>
      </c>
      <c r="J70" s="33">
        <f>E70+F70+G70+I70</f>
        <v/>
      </c>
      <c r="K70" s="32" t="n"/>
      <c r="L70" s="52">
        <f>$L$8</f>
        <v/>
      </c>
      <c r="M70" s="54">
        <f>J70*(1+L70)</f>
        <v/>
      </c>
      <c r="N70" s="33">
        <f>M70-D70</f>
        <v/>
      </c>
      <c r="O70" s="34">
        <f>IFERROR(M70/D70-1,0)</f>
        <v/>
      </c>
    </row>
    <row r="71" ht="15" customHeight="1">
      <c r="A71" s="50" t="inlineStr">
        <is>
          <t>5140-0020</t>
        </is>
      </c>
      <c r="B71" s="50" t="inlineStr">
        <is>
          <t>NYS withholding Taxes</t>
        </is>
      </c>
      <c r="C71" s="23" t="n"/>
      <c r="D71" s="51" t="n"/>
      <c r="E71" s="51" t="n"/>
      <c r="F71" s="32" t="n">
        <v>0</v>
      </c>
      <c r="G71" s="32" t="n">
        <v>0</v>
      </c>
      <c r="H71" s="51" t="n"/>
      <c r="I71" s="33">
        <f>IFERROR(IF((E71+F71+G71)&gt;=D71,(E71+F71+G71)/Setup!$B$10*Setup!$B$11,D71-(E71+F71+G71)),0)</f>
        <v/>
      </c>
      <c r="J71" s="33">
        <f>E71+F71+G71+I71</f>
        <v/>
      </c>
      <c r="K71" s="32" t="n"/>
      <c r="L71" s="52">
        <f>$L$8</f>
        <v/>
      </c>
      <c r="M71" s="54">
        <f>J71*(1+L71)</f>
        <v/>
      </c>
      <c r="N71" s="33">
        <f>M71-D71</f>
        <v/>
      </c>
      <c r="O71" s="34">
        <f>IFERROR(M71/D71-1,0)</f>
        <v/>
      </c>
    </row>
    <row r="72" ht="15" customHeight="1">
      <c r="A72" s="50" t="inlineStr">
        <is>
          <t>5140-0025</t>
        </is>
      </c>
      <c r="B72" s="50" t="inlineStr">
        <is>
          <t>NYC withholding Taxes</t>
        </is>
      </c>
      <c r="C72" s="23" t="n"/>
      <c r="D72" s="51" t="n"/>
      <c r="E72" s="51" t="n"/>
      <c r="F72" s="32" t="n">
        <v>0</v>
      </c>
      <c r="G72" s="32" t="n">
        <v>0</v>
      </c>
      <c r="H72" s="51" t="n"/>
      <c r="I72" s="33">
        <f>IFERROR(IF((E72+F72+G72)&gt;=D72,(E72+F72+G72)/Setup!$B$10*Setup!$B$11,D72-(E72+F72+G72)),0)</f>
        <v/>
      </c>
      <c r="J72" s="33">
        <f>E72+F72+G72+I72</f>
        <v/>
      </c>
      <c r="K72" s="32" t="n"/>
      <c r="L72" s="52">
        <f>$L$8</f>
        <v/>
      </c>
      <c r="M72" s="54">
        <f>J72*(1+L72)</f>
        <v/>
      </c>
      <c r="N72" s="33">
        <f>M72-D72</f>
        <v/>
      </c>
      <c r="O72" s="34">
        <f>IFERROR(M72/D72-1,0)</f>
        <v/>
      </c>
    </row>
    <row r="73" ht="15" customHeight="1">
      <c r="A73" s="50" t="inlineStr">
        <is>
          <t>5145-0015</t>
        </is>
      </c>
      <c r="B73" s="50" t="inlineStr">
        <is>
          <t>SUI - State Unemployment Insurance</t>
        </is>
      </c>
      <c r="C73" s="23" t="n"/>
      <c r="D73" s="51" t="n">
        <v>0</v>
      </c>
      <c r="E73" s="51" t="n">
        <v>0</v>
      </c>
      <c r="F73" s="32" t="n">
        <v>0</v>
      </c>
      <c r="G73" s="32" t="n">
        <v>0</v>
      </c>
      <c r="H73" s="51" t="n">
        <v>0</v>
      </c>
      <c r="I73" s="33">
        <f>IFERROR(D73-(E73+F73+G73),0)</f>
        <v/>
      </c>
      <c r="J73" s="33">
        <f>E73+F73+G73+I73</f>
        <v/>
      </c>
      <c r="K73" s="52" t="n"/>
      <c r="L73" s="52" t="n">
        <v>0</v>
      </c>
      <c r="M73" s="54">
        <f>J73*(1+L73)</f>
        <v/>
      </c>
      <c r="N73" s="33">
        <f>M73-D73</f>
        <v/>
      </c>
      <c r="O73" s="34">
        <f>IFERROR(M73/D73-1,0)</f>
        <v/>
      </c>
    </row>
    <row r="74" ht="15" customHeight="1">
      <c r="A74" s="50" t="n"/>
      <c r="B74" s="50" t="n"/>
      <c r="C74" s="23" t="n"/>
      <c r="D74" s="51" t="n">
        <v>0</v>
      </c>
      <c r="E74" s="51" t="n">
        <v>0</v>
      </c>
      <c r="F74" s="32" t="n">
        <v>0</v>
      </c>
      <c r="G74" s="32" t="n">
        <v>0</v>
      </c>
      <c r="H74" s="51" t="n">
        <v>0</v>
      </c>
      <c r="I74" s="33">
        <f>IFERROR(D74-(E74+F74+G74),0)</f>
        <v/>
      </c>
      <c r="J74" s="33">
        <f>E74+F74+G74+I74</f>
        <v/>
      </c>
      <c r="K74" s="52" t="n"/>
      <c r="L74" s="52" t="n">
        <v>0</v>
      </c>
      <c r="M74" s="54">
        <f>J74*(1+L74)</f>
        <v/>
      </c>
      <c r="N74" s="33">
        <f>M74-D74</f>
        <v/>
      </c>
      <c r="O74" s="34">
        <f>IFERROR(M74/D74-1,0)</f>
        <v/>
      </c>
    </row>
    <row r="75" ht="15" customHeight="1">
      <c r="A75" s="50" t="n"/>
      <c r="B75" s="50" t="n"/>
      <c r="C75" s="23" t="n"/>
      <c r="D75" s="51" t="n">
        <v>0</v>
      </c>
      <c r="E75" s="51" t="n">
        <v>0</v>
      </c>
      <c r="F75" s="32" t="n">
        <v>0</v>
      </c>
      <c r="G75" s="32" t="n">
        <v>0</v>
      </c>
      <c r="H75" s="51" t="n">
        <v>0</v>
      </c>
      <c r="I75" s="33">
        <f>IFERROR(D75-(E75+F75+G75),0)</f>
        <v/>
      </c>
      <c r="J75" s="33">
        <f>E75+F75+G75+I75</f>
        <v/>
      </c>
      <c r="K75" s="52" t="n"/>
      <c r="L75" s="52" t="n">
        <v>0</v>
      </c>
      <c r="M75" s="54">
        <f>J75*(1+L75)</f>
        <v/>
      </c>
      <c r="N75" s="33">
        <f>M75-D75</f>
        <v/>
      </c>
      <c r="O75" s="34">
        <f>IFERROR(M75/D75-1,0)</f>
        <v/>
      </c>
    </row>
    <row r="76" ht="15" customHeight="1">
      <c r="A76" s="35" t="n"/>
      <c r="B76" s="35" t="inlineStr">
        <is>
          <t>Total Payroll Taxes</t>
        </is>
      </c>
      <c r="C76" s="35" t="n"/>
      <c r="D76" s="36">
        <f>SUM(D69:D75)</f>
        <v/>
      </c>
      <c r="E76" s="36">
        <f>SUM(E69:E75)</f>
        <v/>
      </c>
      <c r="F76" s="36">
        <f>SUM(F69:F75)</f>
        <v/>
      </c>
      <c r="G76" s="36">
        <f>SUM(G69:G75)</f>
        <v/>
      </c>
      <c r="H76" s="36">
        <f>SUM(H69:H75)</f>
        <v/>
      </c>
      <c r="I76" s="36">
        <f>SUM(I69:I75)</f>
        <v/>
      </c>
      <c r="J76" s="36">
        <f>SUM(J69:J75)</f>
        <v/>
      </c>
      <c r="K76" s="35">
        <f>SUM(K69:K75)</f>
        <v/>
      </c>
      <c r="L76" s="35" t="n"/>
      <c r="M76" s="36">
        <f>SUM(M69:M75)</f>
        <v/>
      </c>
      <c r="N76" s="36">
        <f>SUM(N69:N75)</f>
        <v/>
      </c>
      <c r="O76" s="37">
        <f>IFERROR(M76/D76-1,0)</f>
        <v/>
      </c>
    </row>
    <row r="77"/>
    <row r="78" ht="15" customHeight="1">
      <c r="A78" s="7" t="inlineStr">
        <is>
          <t>Benefits</t>
        </is>
      </c>
      <c r="B78" s="81" t="n"/>
      <c r="C78" s="81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81" t="n"/>
      <c r="N78" s="82" t="n"/>
    </row>
    <row r="79" ht="15" customHeight="1">
      <c r="A79" s="50" t="inlineStr">
        <is>
          <t>5155-0015</t>
        </is>
      </c>
      <c r="B79" s="50" t="inlineStr">
        <is>
          <t>Health Insurance</t>
        </is>
      </c>
      <c r="C79" s="23" t="n"/>
      <c r="D79" s="51" t="n"/>
      <c r="E79" s="51" t="n"/>
      <c r="F79" s="32" t="n">
        <v>0</v>
      </c>
      <c r="G79" s="32" t="n">
        <v>0</v>
      </c>
      <c r="H79" s="51" t="n"/>
      <c r="I79" s="33">
        <f>IFERROR(IF((E79+F79+G79)&gt;=D79,(E79+F79+G79)/Setup!$B$10*Setup!$B$11,D79-(E79+F79+G79)),0)</f>
        <v/>
      </c>
      <c r="J79" s="33">
        <f>E79+F79+G79+I79</f>
        <v/>
      </c>
      <c r="K79" s="32" t="n"/>
      <c r="L79" s="52">
        <f>$L$8</f>
        <v/>
      </c>
      <c r="M79" s="54">
        <f>J79*(1+L79)</f>
        <v/>
      </c>
      <c r="N79" s="33">
        <f>M79-D79</f>
        <v/>
      </c>
      <c r="O79" s="34">
        <f>IFERROR(M79/D79-1,0)</f>
        <v/>
      </c>
    </row>
    <row r="80" ht="15" customHeight="1">
      <c r="A80" s="50" t="inlineStr">
        <is>
          <t>5160-0010</t>
        </is>
      </c>
      <c r="B80" s="50" t="inlineStr">
        <is>
          <t>Pension Fund</t>
        </is>
      </c>
      <c r="C80" s="23" t="n"/>
      <c r="D80" s="51" t="n"/>
      <c r="E80" s="51" t="n"/>
      <c r="F80" s="32" t="n">
        <v>0</v>
      </c>
      <c r="G80" s="32" t="n">
        <v>0</v>
      </c>
      <c r="H80" s="51" t="n"/>
      <c r="I80" s="33">
        <f>IFERROR(IF((E80+F80+G80)&gt;=D80,(E80+F80+G80)/Setup!$B$10*Setup!$B$11,D80-(E80+F80+G80)),0)</f>
        <v/>
      </c>
      <c r="J80" s="33">
        <f>E80+F80+G80+I80</f>
        <v/>
      </c>
      <c r="K80" s="32" t="n"/>
      <c r="L80" s="52">
        <f>$L$8</f>
        <v/>
      </c>
      <c r="M80" s="54">
        <f>J80*(1+L80)</f>
        <v/>
      </c>
      <c r="N80" s="33">
        <f>M80-D80</f>
        <v/>
      </c>
      <c r="O80" s="34">
        <f>IFERROR(M80/D80-1,0)</f>
        <v/>
      </c>
    </row>
    <row r="81" ht="15" customHeight="1">
      <c r="A81" s="50" t="inlineStr">
        <is>
          <t>5160-0015</t>
        </is>
      </c>
      <c r="B81" s="50" t="inlineStr">
        <is>
          <t>Health Fund</t>
        </is>
      </c>
      <c r="C81" s="23" t="n"/>
      <c r="D81" s="51" t="n"/>
      <c r="E81" s="51" t="n"/>
      <c r="F81" s="32" t="n">
        <v>0</v>
      </c>
      <c r="G81" s="32" t="n">
        <v>0</v>
      </c>
      <c r="H81" s="51" t="n"/>
      <c r="I81" s="33">
        <f>IFERROR(IF((E81+F81+G81)&gt;=D81,(E81+F81+G81)/Setup!$B$10*Setup!$B$11,D81-(E81+F81+G81)),0)</f>
        <v/>
      </c>
      <c r="J81" s="33">
        <f>E81+F81+G81+I81</f>
        <v/>
      </c>
      <c r="K81" s="32" t="n"/>
      <c r="L81" s="52">
        <f>$L$8</f>
        <v/>
      </c>
      <c r="M81" s="54">
        <f>J81*(1+L81)</f>
        <v/>
      </c>
      <c r="N81" s="33">
        <f>M81-D81</f>
        <v/>
      </c>
      <c r="O81" s="34">
        <f>IFERROR(M81/D81-1,0)</f>
        <v/>
      </c>
    </row>
    <row r="82" ht="15" customHeight="1">
      <c r="A82" s="50" t="inlineStr">
        <is>
          <t>5160-0020</t>
        </is>
      </c>
      <c r="B82" s="50" t="inlineStr">
        <is>
          <t>Annuity Fund</t>
        </is>
      </c>
      <c r="C82" s="23" t="n"/>
      <c r="D82" s="51" t="n"/>
      <c r="E82" s="51" t="n"/>
      <c r="F82" s="32" t="n">
        <v>0</v>
      </c>
      <c r="G82" s="32" t="n">
        <v>0</v>
      </c>
      <c r="H82" s="51" t="n"/>
      <c r="I82" s="33">
        <f>IFERROR(IF((E82+F82+G82)&gt;=D82,(E82+F82+G82)/Setup!$B$10*Setup!$B$11,D82-(E82+F82+G82)),0)</f>
        <v/>
      </c>
      <c r="J82" s="33">
        <f>E82+F82+G82+I82</f>
        <v/>
      </c>
      <c r="K82" s="32" t="n"/>
      <c r="L82" s="52">
        <f>$L$8</f>
        <v/>
      </c>
      <c r="M82" s="54">
        <f>J82*(1+L82)</f>
        <v/>
      </c>
      <c r="N82" s="33">
        <f>M82-D82</f>
        <v/>
      </c>
      <c r="O82" s="34">
        <f>IFERROR(M82/D82-1,0)</f>
        <v/>
      </c>
    </row>
    <row r="83" ht="15" customHeight="1">
      <c r="A83" s="50" t="inlineStr">
        <is>
          <t>5160-0025</t>
        </is>
      </c>
      <c r="B83" s="50" t="inlineStr">
        <is>
          <t>Legal Fund</t>
        </is>
      </c>
      <c r="C83" s="23" t="n"/>
      <c r="D83" s="51" t="n"/>
      <c r="E83" s="51" t="n"/>
      <c r="F83" s="32" t="n">
        <v>0</v>
      </c>
      <c r="G83" s="32" t="n">
        <v>0</v>
      </c>
      <c r="H83" s="51" t="n"/>
      <c r="I83" s="33">
        <f>IFERROR(IF((E83+F83+G83)&gt;=D83,(E83+F83+G83)/Setup!$B$10*Setup!$B$11,D83-(E83+F83+G83)),0)</f>
        <v/>
      </c>
      <c r="J83" s="33">
        <f>E83+F83+G83+I83</f>
        <v/>
      </c>
      <c r="K83" s="32" t="n"/>
      <c r="L83" s="52">
        <f>$L$8</f>
        <v/>
      </c>
      <c r="M83" s="54">
        <f>J83*(1+L83)</f>
        <v/>
      </c>
      <c r="N83" s="33">
        <f>M83-D83</f>
        <v/>
      </c>
      <c r="O83" s="34">
        <f>IFERROR(M83/D83-1,0)</f>
        <v/>
      </c>
    </row>
    <row r="84" ht="15" customHeight="1">
      <c r="A84" s="50" t="inlineStr">
        <is>
          <t>5160-0030</t>
        </is>
      </c>
      <c r="B84" s="50" t="inlineStr">
        <is>
          <t>Training Fund</t>
        </is>
      </c>
      <c r="C84" s="23" t="n"/>
      <c r="D84" s="51" t="n"/>
      <c r="E84" s="51" t="n"/>
      <c r="F84" s="32" t="n">
        <v>0</v>
      </c>
      <c r="G84" s="32" t="n">
        <v>0</v>
      </c>
      <c r="H84" s="51" t="n"/>
      <c r="I84" s="33">
        <f>IFERROR(IF((E84+F84+G84)&gt;=D84,(E84+F84+G84)/Setup!$B$10*Setup!$B$11,D84-(E84+F84+G84)),0)</f>
        <v/>
      </c>
      <c r="J84" s="33">
        <f>E84+F84+G84+I84</f>
        <v/>
      </c>
      <c r="K84" s="32" t="n"/>
      <c r="L84" s="52">
        <f>$L$8</f>
        <v/>
      </c>
      <c r="M84" s="54">
        <f>J84*(1+L84)</f>
        <v/>
      </c>
      <c r="N84" s="33">
        <f>M84-D84</f>
        <v/>
      </c>
      <c r="O84" s="34">
        <f>IFERROR(M84/D84-1,0)</f>
        <v/>
      </c>
    </row>
    <row r="85" ht="15" customHeight="1">
      <c r="A85" s="50" t="inlineStr">
        <is>
          <t>5160-0035</t>
        </is>
      </c>
      <c r="B85" s="50" t="inlineStr">
        <is>
          <t>Profit Sharing</t>
        </is>
      </c>
      <c r="C85" s="23" t="n"/>
      <c r="D85" s="51" t="n"/>
      <c r="E85" s="51" t="n"/>
      <c r="F85" s="32" t="n">
        <v>0</v>
      </c>
      <c r="G85" s="32" t="n">
        <v>0</v>
      </c>
      <c r="H85" s="51" t="n"/>
      <c r="I85" s="33">
        <f>IFERROR(IF((E85+F85+G85)&gt;=D85,(E85+F85+G85)/Setup!$B$10*Setup!$B$11,D85-(E85+F85+G85)),0)</f>
        <v/>
      </c>
      <c r="J85" s="33">
        <f>E85+F85+G85+I85</f>
        <v/>
      </c>
      <c r="K85" s="32" t="n"/>
      <c r="L85" s="52">
        <f>$L$8</f>
        <v/>
      </c>
      <c r="M85" s="54">
        <f>J85*(1+L85)</f>
        <v/>
      </c>
      <c r="N85" s="33">
        <f>M85-D85</f>
        <v/>
      </c>
      <c r="O85" s="34">
        <f>IFERROR(M85/D85-1,0)</f>
        <v/>
      </c>
    </row>
    <row r="86" ht="15" customHeight="1">
      <c r="A86" s="50" t="inlineStr">
        <is>
          <t>5150-0000</t>
        </is>
      </c>
      <c r="B86" s="50" t="inlineStr">
        <is>
          <t>401K</t>
        </is>
      </c>
      <c r="C86" s="23" t="n"/>
      <c r="D86" s="51" t="n"/>
      <c r="E86" s="51" t="n"/>
      <c r="F86" s="32" t="n">
        <v>0</v>
      </c>
      <c r="G86" s="32" t="n">
        <v>0</v>
      </c>
      <c r="H86" s="51" t="n"/>
      <c r="I86" s="33">
        <f>IFERROR(IF((E86+F86+G86)&gt;=D86,(E86+F86+G86)/Setup!$B$10*Setup!$B$11,D86-(E86+F86+G86)),0)</f>
        <v/>
      </c>
      <c r="J86" s="33">
        <f>E86+F86+G86+I86</f>
        <v/>
      </c>
      <c r="K86" s="32" t="n"/>
      <c r="L86" s="52">
        <f>$L$8</f>
        <v/>
      </c>
      <c r="M86" s="54">
        <f>J86*(1+L86)</f>
        <v/>
      </c>
      <c r="N86" s="33">
        <f>M86-D86</f>
        <v/>
      </c>
      <c r="O86" s="34">
        <f>IFERROR(M86/D86-1,0)</f>
        <v/>
      </c>
    </row>
    <row r="87" ht="15" customHeight="1">
      <c r="A87" s="50" t="inlineStr">
        <is>
          <t>5160-0000</t>
        </is>
      </c>
      <c r="B87" s="50" t="inlineStr">
        <is>
          <t>Union Benefit Funds</t>
        </is>
      </c>
      <c r="C87" s="23" t="n"/>
      <c r="D87" s="51" t="n"/>
      <c r="E87" s="51" t="n"/>
      <c r="F87" s="32" t="n">
        <v>0</v>
      </c>
      <c r="G87" s="32" t="n">
        <v>0</v>
      </c>
      <c r="H87" s="51" t="n"/>
      <c r="I87" s="33">
        <f>IFERROR(IF((E87+F87+G87)&gt;=D87,(E87+F87+G87)/Setup!$B$10*Setup!$B$11,D87-(E87+F87+G87)),0)</f>
        <v/>
      </c>
      <c r="J87" s="33">
        <f>E87+F87+G87+I87</f>
        <v/>
      </c>
      <c r="K87" s="32" t="n"/>
      <c r="L87" s="52">
        <f>$L$8</f>
        <v/>
      </c>
      <c r="M87" s="54">
        <f>J87*(1+L87)</f>
        <v/>
      </c>
      <c r="N87" s="33">
        <f>M87-D87</f>
        <v/>
      </c>
      <c r="O87" s="34">
        <f>IFERROR(M87/D87-1,0)</f>
        <v/>
      </c>
    </row>
    <row r="88" ht="15" customHeight="1">
      <c r="A88" s="50" t="inlineStr">
        <is>
          <t>5155-0010</t>
        </is>
      </c>
      <c r="B88" s="50" t="inlineStr">
        <is>
          <t>Union Dues</t>
        </is>
      </c>
      <c r="C88" s="23" t="n"/>
      <c r="D88" s="51" t="n">
        <v>0</v>
      </c>
      <c r="E88" s="51" t="n">
        <v>0</v>
      </c>
      <c r="F88" s="32" t="n">
        <v>0</v>
      </c>
      <c r="G88" s="32" t="n">
        <v>0</v>
      </c>
      <c r="H88" s="51" t="n">
        <v>0</v>
      </c>
      <c r="I88" s="33">
        <f>IFERROR(D88-(E88+F88+G88),0)</f>
        <v/>
      </c>
      <c r="J88" s="33">
        <f>E88+F88+G88+I88</f>
        <v/>
      </c>
      <c r="K88" s="52" t="n"/>
      <c r="L88" s="52" t="n">
        <v>0</v>
      </c>
      <c r="M88" s="54">
        <f>J88*(1+L88)</f>
        <v/>
      </c>
      <c r="N88" s="33">
        <f>M88-D88</f>
        <v/>
      </c>
      <c r="O88" s="34">
        <f>IFERROR(M88/D88-1,0)</f>
        <v/>
      </c>
    </row>
    <row r="89" ht="15" customHeight="1">
      <c r="A89" s="50" t="n"/>
      <c r="B89" s="50" t="n"/>
      <c r="C89" s="23" t="n"/>
      <c r="D89" s="51" t="n">
        <v>0</v>
      </c>
      <c r="E89" s="51" t="n">
        <v>0</v>
      </c>
      <c r="F89" s="32" t="n">
        <v>0</v>
      </c>
      <c r="G89" s="32" t="n">
        <v>0</v>
      </c>
      <c r="H89" s="51" t="n">
        <v>0</v>
      </c>
      <c r="I89" s="33">
        <f>IFERROR(D89-(E89+F89+G89),0)</f>
        <v/>
      </c>
      <c r="J89" s="33">
        <f>E89+F89+G89+I89</f>
        <v/>
      </c>
      <c r="K89" s="52" t="n"/>
      <c r="L89" s="52" t="n">
        <v>0</v>
      </c>
      <c r="M89" s="54">
        <f>J89*(1+L89)</f>
        <v/>
      </c>
      <c r="N89" s="33">
        <f>M89-D89</f>
        <v/>
      </c>
      <c r="O89" s="34">
        <f>IFERROR(M89/D89-1,0)</f>
        <v/>
      </c>
    </row>
    <row r="90" ht="15" customHeight="1">
      <c r="A90" s="50" t="n"/>
      <c r="B90" s="50" t="n"/>
      <c r="C90" s="23" t="n"/>
      <c r="D90" s="51" t="n">
        <v>0</v>
      </c>
      <c r="E90" s="51" t="n">
        <v>0</v>
      </c>
      <c r="F90" s="32" t="n">
        <v>0</v>
      </c>
      <c r="G90" s="32" t="n">
        <v>0</v>
      </c>
      <c r="H90" s="51" t="n">
        <v>0</v>
      </c>
      <c r="I90" s="33">
        <f>IFERROR(D90-(E90+F90+G90),0)</f>
        <v/>
      </c>
      <c r="J90" s="33">
        <f>E90+F90+G90+I90</f>
        <v/>
      </c>
      <c r="K90" s="52" t="n"/>
      <c r="L90" s="52" t="n">
        <v>0</v>
      </c>
      <c r="M90" s="54">
        <f>J90*(1+L90)</f>
        <v/>
      </c>
      <c r="N90" s="33">
        <f>M90-D90</f>
        <v/>
      </c>
      <c r="O90" s="34">
        <f>IFERROR(M90/D90-1,0)</f>
        <v/>
      </c>
    </row>
    <row r="91" ht="15" customHeight="1">
      <c r="A91" s="35" t="n"/>
      <c r="B91" s="35" t="inlineStr">
        <is>
          <t>Total Benefits</t>
        </is>
      </c>
      <c r="C91" s="35" t="n"/>
      <c r="D91" s="36">
        <f>SUM(D79:D90)</f>
        <v/>
      </c>
      <c r="E91" s="36">
        <f>SUM(E79:E90)</f>
        <v/>
      </c>
      <c r="F91" s="36">
        <f>SUM(F79:F90)</f>
        <v/>
      </c>
      <c r="G91" s="36">
        <f>SUM(G79:G90)</f>
        <v/>
      </c>
      <c r="H91" s="36">
        <f>SUM(H79:H90)</f>
        <v/>
      </c>
      <c r="I91" s="36">
        <f>SUM(I79:I90)</f>
        <v/>
      </c>
      <c r="J91" s="36">
        <f>SUM(J79:J90)</f>
        <v/>
      </c>
      <c r="K91" s="35">
        <f>SUM(K79:K90)</f>
        <v/>
      </c>
      <c r="L91" s="35" t="n"/>
      <c r="M91" s="36">
        <f>SUM(M79:M90)</f>
        <v/>
      </c>
      <c r="N91" s="36">
        <f>SUM(N79:N90)</f>
        <v/>
      </c>
      <c r="O91" s="37">
        <f>IFERROR(M91/D91-1,0)</f>
        <v/>
      </c>
    </row>
    <row r="92"/>
    <row r="93" ht="15" customHeight="1">
      <c r="A93" s="7" t="inlineStr">
        <is>
          <t>Other Payroll</t>
        </is>
      </c>
      <c r="B93" s="81" t="n"/>
      <c r="C93" s="81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2" t="n"/>
    </row>
    <row r="94" ht="15" customHeight="1">
      <c r="A94" s="50" t="inlineStr">
        <is>
          <t>5162-0000</t>
        </is>
      </c>
      <c r="B94" s="50" t="inlineStr">
        <is>
          <t>Workers Compensation</t>
        </is>
      </c>
      <c r="C94" s="23" t="n"/>
      <c r="D94" s="51" t="n"/>
      <c r="E94" s="51" t="n"/>
      <c r="F94" s="32" t="n">
        <v>0</v>
      </c>
      <c r="G94" s="32" t="n">
        <v>0</v>
      </c>
      <c r="H94" s="51" t="n"/>
      <c r="I94" s="33">
        <f>IFERROR(IF((E94+F94+G94)&gt;=D94,(E94+F94+G94)/Setup!$B$10*Setup!$B$11,D94-(E94+F94+G94)),0)</f>
        <v/>
      </c>
      <c r="J94" s="33">
        <f>E94+F94+G94+I94</f>
        <v/>
      </c>
      <c r="K94" s="32" t="n"/>
      <c r="L94" s="52">
        <f>$L$8</f>
        <v/>
      </c>
      <c r="M94" s="54">
        <f>J94*(1+L94)</f>
        <v/>
      </c>
      <c r="N94" s="33">
        <f>M94-D94</f>
        <v/>
      </c>
      <c r="O94" s="34">
        <f>IFERROR(M94/D94-1,0)</f>
        <v/>
      </c>
    </row>
    <row r="95" ht="15" customHeight="1">
      <c r="A95" s="50" t="inlineStr">
        <is>
          <t>5165-0000</t>
        </is>
      </c>
      <c r="B95" s="50" t="inlineStr">
        <is>
          <t>Workers Compensation Insurance</t>
        </is>
      </c>
      <c r="C95" s="23" t="n"/>
      <c r="D95" s="51" t="n"/>
      <c r="E95" s="51" t="n"/>
      <c r="F95" s="32" t="n">
        <v>0</v>
      </c>
      <c r="G95" s="32" t="n">
        <v>0</v>
      </c>
      <c r="H95" s="51" t="n"/>
      <c r="I95" s="33">
        <f>IFERROR(IF((E95+F95+G95)&gt;=D95,(E95+F95+G95)/Setup!$B$10*Setup!$B$11,D95-(E95+F95+G95)),0)</f>
        <v/>
      </c>
      <c r="J95" s="33">
        <f>E95+F95+G95+I95</f>
        <v/>
      </c>
      <c r="K95" s="32" t="n"/>
      <c r="L95" s="52">
        <f>$L$8</f>
        <v/>
      </c>
      <c r="M95" s="54">
        <f>J95*(1+L95)</f>
        <v/>
      </c>
      <c r="N95" s="33">
        <f>M95-D95</f>
        <v/>
      </c>
      <c r="O95" s="34">
        <f>IFERROR(M95/D95-1,0)</f>
        <v/>
      </c>
    </row>
    <row r="96" ht="15" customHeight="1">
      <c r="A96" s="50" t="inlineStr">
        <is>
          <t>5166-0000</t>
        </is>
      </c>
      <c r="B96" s="50" t="inlineStr">
        <is>
          <t>Disability Insurance</t>
        </is>
      </c>
      <c r="C96" s="23" t="n"/>
      <c r="D96" s="51" t="n"/>
      <c r="E96" s="51" t="n"/>
      <c r="F96" s="32" t="n">
        <v>0</v>
      </c>
      <c r="G96" s="32" t="n">
        <v>0</v>
      </c>
      <c r="H96" s="51" t="n"/>
      <c r="I96" s="33">
        <f>IFERROR(IF((E96+F96+G96)&gt;=D96,(E96+F96+G96)/Setup!$B$10*Setup!$B$11,D96-(E96+F96+G96)),0)</f>
        <v/>
      </c>
      <c r="J96" s="33">
        <f>E96+F96+G96+I96</f>
        <v/>
      </c>
      <c r="K96" s="32" t="n"/>
      <c r="L96" s="52">
        <f>$L$8</f>
        <v/>
      </c>
      <c r="M96" s="54">
        <f>J96*(1+L96)</f>
        <v/>
      </c>
      <c r="N96" s="33">
        <f>M96-D96</f>
        <v/>
      </c>
      <c r="O96" s="34">
        <f>IFERROR(M96/D96-1,0)</f>
        <v/>
      </c>
    </row>
    <row r="97" ht="15" customHeight="1">
      <c r="A97" s="50" t="inlineStr">
        <is>
          <t>5168-0000</t>
        </is>
      </c>
      <c r="B97" s="50" t="inlineStr">
        <is>
          <t>Paid Family Leave</t>
        </is>
      </c>
      <c r="C97" s="23" t="n"/>
      <c r="D97" s="51" t="n"/>
      <c r="E97" s="51" t="n"/>
      <c r="F97" s="32" t="n">
        <v>0</v>
      </c>
      <c r="G97" s="32" t="n">
        <v>0</v>
      </c>
      <c r="H97" s="51" t="n"/>
      <c r="I97" s="33">
        <f>IFERROR(IF((E97+F97+G97)&gt;=D97,(E97+F97+G97)/Setup!$B$10*Setup!$B$11,D97-(E97+F97+G97)),0)</f>
        <v/>
      </c>
      <c r="J97" s="33">
        <f>E97+F97+G97+I97</f>
        <v/>
      </c>
      <c r="K97" s="32" t="n"/>
      <c r="L97" s="52">
        <f>$L$8</f>
        <v/>
      </c>
      <c r="M97" s="54">
        <f>J97*(1+L97)</f>
        <v/>
      </c>
      <c r="N97" s="33">
        <f>M97-D97</f>
        <v/>
      </c>
      <c r="O97" s="34">
        <f>IFERROR(M97/D97-1,0)</f>
        <v/>
      </c>
    </row>
    <row r="98" ht="15" customHeight="1">
      <c r="A98" s="50" t="inlineStr">
        <is>
          <t>5172-0000</t>
        </is>
      </c>
      <c r="B98" s="50" t="inlineStr">
        <is>
          <t>Payroll Processing</t>
        </is>
      </c>
      <c r="C98" s="23" t="n"/>
      <c r="D98" s="51" t="n"/>
      <c r="E98" s="51" t="n"/>
      <c r="F98" s="32" t="n">
        <v>0</v>
      </c>
      <c r="G98" s="32" t="n">
        <v>0</v>
      </c>
      <c r="H98" s="51" t="n"/>
      <c r="I98" s="33">
        <f>IFERROR(IF((E98+F98+G98)&gt;=D98,(E98+F98+G98)/Setup!$B$10*Setup!$B$11,D98-(E98+F98+G98)),0)</f>
        <v/>
      </c>
      <c r="J98" s="33">
        <f>E98+F98+G98+I98</f>
        <v/>
      </c>
      <c r="K98" s="32" t="n"/>
      <c r="L98" s="52">
        <f>$L$8</f>
        <v/>
      </c>
      <c r="M98" s="54">
        <f>J98*(1+L98)</f>
        <v/>
      </c>
      <c r="N98" s="33">
        <f>M98-D98</f>
        <v/>
      </c>
      <c r="O98" s="34">
        <f>IFERROR(M98/D98-1,0)</f>
        <v/>
      </c>
    </row>
    <row r="99" ht="15" customHeight="1">
      <c r="A99" s="50" t="inlineStr">
        <is>
          <t>5165-0050</t>
        </is>
      </c>
      <c r="B99" s="50" t="inlineStr">
        <is>
          <t>Workers Comp Audit / Dividend</t>
        </is>
      </c>
      <c r="C99" s="23" t="n"/>
      <c r="D99" s="51" t="n"/>
      <c r="E99" s="51" t="n"/>
      <c r="F99" s="32" t="n">
        <v>0</v>
      </c>
      <c r="G99" s="32" t="n">
        <v>0</v>
      </c>
      <c r="H99" s="51" t="n"/>
      <c r="I99" s="33">
        <f>IFERROR(IF((E99+F99+G99)&gt;=D99,(E99+F99+G99)/Setup!$B$10*Setup!$B$11,D99-(E99+F99+G99)),0)</f>
        <v/>
      </c>
      <c r="J99" s="33">
        <f>E99+F99+G99+I99</f>
        <v/>
      </c>
      <c r="K99" s="32" t="n"/>
      <c r="L99" s="52">
        <f>$L$8</f>
        <v/>
      </c>
      <c r="M99" s="54">
        <f>J99*(1+L99)</f>
        <v/>
      </c>
      <c r="N99" s="33">
        <f>M99-D99</f>
        <v/>
      </c>
      <c r="O99" s="34">
        <f>IFERROR(M99/D99-1,0)</f>
        <v/>
      </c>
    </row>
    <row r="100" ht="15" customHeight="1">
      <c r="A100" s="50" t="n"/>
      <c r="B100" s="50" t="n"/>
      <c r="C100" s="23" t="n"/>
      <c r="D100" s="51" t="n">
        <v>0</v>
      </c>
      <c r="E100" s="51" t="n">
        <v>0</v>
      </c>
      <c r="F100" s="32" t="n">
        <v>0</v>
      </c>
      <c r="G100" s="32" t="n">
        <v>0</v>
      </c>
      <c r="H100" s="51" t="n">
        <v>0</v>
      </c>
      <c r="I100" s="33">
        <f>IFERROR(D100-(E100+F100+G100),0)</f>
        <v/>
      </c>
      <c r="J100" s="33">
        <f>E100+F100+G100+I100</f>
        <v/>
      </c>
      <c r="K100" s="52" t="n"/>
      <c r="L100" s="52" t="n">
        <v>0</v>
      </c>
      <c r="M100" s="54">
        <f>J100*(1+L100)</f>
        <v/>
      </c>
      <c r="N100" s="33">
        <f>M100-D100</f>
        <v/>
      </c>
      <c r="O100" s="34">
        <f>IFERROR(M100/D100-1,0)</f>
        <v/>
      </c>
    </row>
    <row r="101" ht="15" customHeight="1">
      <c r="A101" s="50" t="n"/>
      <c r="B101" s="50" t="n"/>
      <c r="C101" s="23" t="n"/>
      <c r="D101" s="51" t="n">
        <v>0</v>
      </c>
      <c r="E101" s="51" t="n">
        <v>0</v>
      </c>
      <c r="F101" s="32" t="n">
        <v>0</v>
      </c>
      <c r="G101" s="32" t="n">
        <v>0</v>
      </c>
      <c r="H101" s="51" t="n">
        <v>0</v>
      </c>
      <c r="I101" s="33">
        <f>IFERROR(D101-(E101+F101+G101),0)</f>
        <v/>
      </c>
      <c r="J101" s="33">
        <f>E101+F101+G101+I101</f>
        <v/>
      </c>
      <c r="K101" s="52" t="n"/>
      <c r="L101" s="52" t="n">
        <v>0</v>
      </c>
      <c r="M101" s="54">
        <f>J101*(1+L101)</f>
        <v/>
      </c>
      <c r="N101" s="33">
        <f>M101-D101</f>
        <v/>
      </c>
      <c r="O101" s="34">
        <f>IFERROR(M101/D101-1,0)</f>
        <v/>
      </c>
    </row>
    <row r="102" ht="15" customHeight="1">
      <c r="A102" s="50" t="n"/>
      <c r="B102" s="50" t="n"/>
      <c r="C102" s="23" t="n"/>
      <c r="D102" s="51" t="n">
        <v>0</v>
      </c>
      <c r="E102" s="51" t="n">
        <v>0</v>
      </c>
      <c r="F102" s="32" t="n">
        <v>0</v>
      </c>
      <c r="G102" s="32" t="n">
        <v>0</v>
      </c>
      <c r="H102" s="51" t="n">
        <v>0</v>
      </c>
      <c r="I102" s="33">
        <f>IFERROR(D102-(E102+F102+G102),0)</f>
        <v/>
      </c>
      <c r="J102" s="33">
        <f>E102+F102+G102+I102</f>
        <v/>
      </c>
      <c r="K102" s="52" t="n"/>
      <c r="L102" s="52" t="n">
        <v>0</v>
      </c>
      <c r="M102" s="54">
        <f>J102*(1+L102)</f>
        <v/>
      </c>
      <c r="N102" s="33">
        <f>M102-D102</f>
        <v/>
      </c>
      <c r="O102" s="34">
        <f>IFERROR(M102/D102-1,0)</f>
        <v/>
      </c>
    </row>
    <row r="103" ht="15" customHeight="1">
      <c r="A103" s="35" t="n"/>
      <c r="B103" s="35" t="inlineStr">
        <is>
          <t>Total Other Payroll</t>
        </is>
      </c>
      <c r="C103" s="35" t="n"/>
      <c r="D103" s="36">
        <f>SUM(D94:D102)</f>
        <v/>
      </c>
      <c r="E103" s="36">
        <f>SUM(E94:E102)</f>
        <v/>
      </c>
      <c r="F103" s="36">
        <f>SUM(F94:F102)</f>
        <v/>
      </c>
      <c r="G103" s="36">
        <f>SUM(G94:G102)</f>
        <v/>
      </c>
      <c r="H103" s="36">
        <f>SUM(H94:H102)</f>
        <v/>
      </c>
      <c r="I103" s="36">
        <f>SUM(I94:I102)</f>
        <v/>
      </c>
      <c r="J103" s="36">
        <f>SUM(J94:J102)</f>
        <v/>
      </c>
      <c r="K103" s="35">
        <f>SUM(K94:K102)</f>
        <v/>
      </c>
      <c r="L103" s="35" t="n"/>
      <c r="M103" s="36">
        <f>SUM(M94:M102)</f>
        <v/>
      </c>
      <c r="N103" s="36">
        <f>SUM(N94:N102)</f>
        <v/>
      </c>
      <c r="O103" s="37">
        <f>IFERROR(M103/D103-1,0)</f>
        <v/>
      </c>
    </row>
    <row r="104"/>
    <row r="105" ht="15" customHeight="1">
      <c r="A105" s="55" t="n"/>
      <c r="B105" s="55" t="inlineStr">
        <is>
          <t>TOTAL PAYROLL</t>
        </is>
      </c>
      <c r="C105" s="56" t="n"/>
      <c r="D105" s="57">
        <f>D66+D76+D91+D103</f>
        <v/>
      </c>
      <c r="E105" s="57">
        <f>E66+E76+E91+E103</f>
        <v/>
      </c>
      <c r="F105" s="57">
        <f>F66+F76+F91+F103</f>
        <v/>
      </c>
      <c r="G105" s="57">
        <f>G66+G76+G91+G103</f>
        <v/>
      </c>
      <c r="H105" s="57">
        <f>H66+H76+H91+H103</f>
        <v/>
      </c>
      <c r="I105" s="57">
        <f>I66+I76+I91+I103</f>
        <v/>
      </c>
      <c r="J105" s="57">
        <f>J66+J76+J91+J103</f>
        <v/>
      </c>
      <c r="K105" s="56">
        <f>K66+K76+K91+K103</f>
        <v/>
      </c>
      <c r="L105" s="56" t="n"/>
      <c r="M105" s="57">
        <f>M66+M76+M91+M103</f>
        <v/>
      </c>
      <c r="N105" s="57">
        <f>N66+N76+N91+N103</f>
        <v/>
      </c>
      <c r="O105" s="58">
        <f>IFERROR(M105/D105-1,0)</f>
        <v/>
      </c>
    </row>
    <row r="107" ht="15" customHeight="1">
      <c r="A107" s="28" t="inlineStr">
        <is>
          <t>NOTES</t>
        </is>
      </c>
    </row>
    <row r="108" ht="15" customHeight="1">
      <c r="A108" s="22" t="inlineStr">
        <is>
          <t>Payroll Assumptions: update tax rates, union rates, and increase % at top of tab.</t>
        </is>
      </c>
    </row>
    <row r="109" ht="15" customHeight="1">
      <c r="A109" s="22" t="inlineStr">
        <is>
          <t>Employee Roster: enter position count and hourly rate. Wages auto-calculate with split-year increase.</t>
        </is>
      </c>
    </row>
    <row r="110" ht="15" customHeight="1">
      <c r="A110" s="22" t="inlineStr">
        <is>
          <t>GL detail section: Yardi YTD data + formulas for Sep-Dec estimate and Proposed Budget.</t>
        </is>
      </c>
    </row>
    <row r="111" ht="15" customHeight="1">
      <c r="A111" s="22" t="inlineStr">
        <is>
          <t>Total Labor (H above) is the calculated budget. GL TOTAL PAYROLL (below) ties to Yardi format.</t>
        </is>
      </c>
    </row>
  </sheetData>
  <mergeCells count="18">
    <mergeCell ref="A110:N110"/>
    <mergeCell ref="F6:H6"/>
    <mergeCell ref="A39:H39"/>
    <mergeCell ref="A109:N109"/>
    <mergeCell ref="A111:N111"/>
    <mergeCell ref="A78:N78"/>
    <mergeCell ref="A54:N54"/>
    <mergeCell ref="A2:N2"/>
    <mergeCell ref="A6:C6"/>
    <mergeCell ref="K6:L6"/>
    <mergeCell ref="A14:L14"/>
    <mergeCell ref="A68:N68"/>
    <mergeCell ref="A108:N108"/>
    <mergeCell ref="A93:N93"/>
    <mergeCell ref="A5:N5"/>
    <mergeCell ref="A27:H27"/>
    <mergeCell ref="A49:G49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2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Energy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ENERGY ASSUMPTIONS</t>
        </is>
      </c>
    </row>
    <row r="6" ht="15" customHeight="1">
      <c r="A6" s="19" t="inlineStr">
        <is>
          <t>Gas ESCO Contract $/Therm</t>
        </is>
      </c>
      <c r="B6" s="74" t="n">
        <v>0</v>
      </c>
      <c r="C6" s="60" t="inlineStr">
        <is>
          <t>Contract price if applicable</t>
        </is>
      </c>
    </row>
    <row r="7" ht="15" customHeight="1">
      <c r="A7" s="19" t="inlineStr">
        <is>
          <t>Electric ESCO Contract $/KWH</t>
        </is>
      </c>
      <c r="B7" s="74" t="n">
        <v>0</v>
      </c>
      <c r="C7" s="60" t="inlineStr">
        <is>
          <t>Contract price if applicable</t>
        </is>
      </c>
    </row>
    <row r="8" ht="15" customHeight="1">
      <c r="A8" s="19" t="inlineStr">
        <is>
          <t>Gas Rate Increase %</t>
        </is>
      </c>
      <c r="B8" s="43" t="n">
        <v>0</v>
      </c>
      <c r="C8" s="60" t="inlineStr">
        <is>
          <t>Budget year increase</t>
        </is>
      </c>
    </row>
    <row r="9" ht="15" customHeight="1">
      <c r="A9" s="19" t="inlineStr">
        <is>
          <t>Electric Rate Increase %</t>
        </is>
      </c>
      <c r="B9" s="43" t="n">
        <v>0</v>
      </c>
      <c r="C9" s="60" t="inlineStr">
        <is>
          <t>Budget year increase</t>
        </is>
      </c>
    </row>
    <row r="10" ht="15" customHeight="1">
      <c r="A10" s="19" t="inlineStr">
        <is>
          <t>Consumption Basis</t>
        </is>
      </c>
      <c r="B10" s="23" t="inlineStr">
        <is>
          <t>2-Year Average</t>
        </is>
      </c>
      <c r="C10" s="60" t="inlineStr">
        <is>
          <t>Method: 2-Year Average, Prior Year, or Custom</t>
        </is>
      </c>
    </row>
    <row r="11" ht="15" customHeight="1">
      <c r="A11" s="19" t="inlineStr">
        <is>
          <t>Water/Sewer Rate Increase %</t>
        </is>
      </c>
      <c r="B11" s="43" t="n">
        <v>0</v>
      </c>
      <c r="C11" s="60" t="inlineStr">
        <is>
          <t>Applied to prior year forecast</t>
        </is>
      </c>
    </row>
    <row r="13" ht="15" customHeight="1">
      <c r="A13" s="4" t="inlineStr">
        <is>
          <t>UTILITY ACCOUNTS</t>
        </is>
      </c>
    </row>
    <row r="14" ht="15" customHeight="1">
      <c r="A14" s="45" t="inlineStr">
        <is>
          <t>Utility Type</t>
        </is>
      </c>
      <c r="B14" s="45" t="inlineStr">
        <is>
          <t>GL Code</t>
        </is>
      </c>
      <c r="C14" s="45" t="inlineStr">
        <is>
          <t>Account #</t>
        </is>
      </c>
      <c r="D14" s="45" t="inlineStr">
        <is>
          <t>Supplier(s)</t>
        </is>
      </c>
      <c r="E14" s="45" t="inlineStr">
        <is>
          <t>Unit</t>
        </is>
      </c>
    </row>
    <row r="15" ht="15" customHeight="1">
      <c r="A15" s="21" t="inlineStr">
        <is>
          <t>Gas - Heating</t>
        </is>
      </c>
      <c r="B15" s="21" t="inlineStr">
        <is>
          <t>5252-0000</t>
        </is>
      </c>
      <c r="C15" s="23" t="n"/>
      <c r="D15" s="23" t="n"/>
      <c r="E15" s="21" t="inlineStr">
        <is>
          <t>Therms</t>
        </is>
      </c>
    </row>
    <row r="16" ht="15" customHeight="1">
      <c r="A16" s="21" t="inlineStr">
        <is>
          <t>Electric - Main</t>
        </is>
      </c>
      <c r="B16" s="21" t="inlineStr">
        <is>
          <t>5255-0000</t>
        </is>
      </c>
      <c r="C16" s="23" t="n"/>
      <c r="D16" s="23" t="n"/>
      <c r="E16" s="21" t="inlineStr">
        <is>
          <t>KWH</t>
        </is>
      </c>
    </row>
    <row r="17" ht="15" customHeight="1">
      <c r="A17" s="21" t="inlineStr">
        <is>
          <t>Electric - Super</t>
        </is>
      </c>
      <c r="B17" s="21" t="inlineStr">
        <is>
          <t>5255-0010</t>
        </is>
      </c>
      <c r="C17" s="23" t="n"/>
      <c r="D17" s="23" t="n"/>
      <c r="E17" s="21" t="inlineStr">
        <is>
          <t>KWH</t>
        </is>
      </c>
    </row>
    <row r="18" ht="15" customHeight="1">
      <c r="A18" s="21" t="inlineStr">
        <is>
          <t>Steam</t>
        </is>
      </c>
      <c r="B18" s="21" t="inlineStr">
        <is>
          <t>5265-0000</t>
        </is>
      </c>
      <c r="C18" s="23" t="n"/>
      <c r="D18" s="23" t="n"/>
      <c r="E18" s="21" t="inlineStr">
        <is>
          <t>MLB</t>
        </is>
      </c>
    </row>
    <row r="20" ht="15" customHeight="1">
      <c r="A20" s="4" t="inlineStr">
        <is>
          <t>SECTION A: GAS / HEATING — Monthly Consumption Detail</t>
        </is>
      </c>
    </row>
    <row r="21" ht="23.25" customHeight="1">
      <c r="A21" s="30" t="inlineStr">
        <is>
          <t>Month</t>
        </is>
      </c>
      <c r="B21" s="30" t="inlineStr">
        <is>
          <t>Prior Yr
Therms</t>
        </is>
      </c>
      <c r="C21" s="30" t="inlineStr">
        <is>
          <t>Current Yr
Therms</t>
        </is>
      </c>
      <c r="D21" s="30" t="inlineStr">
        <is>
          <t>2-Yr Avg
Therms</t>
        </is>
      </c>
      <c r="E21" s="30" t="inlineStr">
        <is>
          <t>ConEd
$/Therm</t>
        </is>
      </c>
      <c r="F21" s="30" t="inlineStr">
        <is>
          <t>ESCO
$/Therm</t>
        </is>
      </c>
      <c r="G21" s="30" t="inlineStr">
        <is>
          <t>ConEd
Amount</t>
        </is>
      </c>
      <c r="H21" s="30" t="inlineStr">
        <is>
          <t>ESCO
Amount</t>
        </is>
      </c>
      <c r="I21" s="30" t="inlineStr">
        <is>
          <t>Total
Budget</t>
        </is>
      </c>
    </row>
    <row r="22" ht="15" customHeight="1">
      <c r="A22" s="21" t="inlineStr">
        <is>
          <t>January</t>
        </is>
      </c>
      <c r="B22" s="41" t="n">
        <v>0</v>
      </c>
      <c r="C22" s="41" t="n">
        <v>0</v>
      </c>
      <c r="D22" s="48">
        <f>(B22+C22)/2</f>
        <v/>
      </c>
      <c r="E22" s="74" t="n">
        <v>0</v>
      </c>
      <c r="F22" s="75">
        <f>$B$6</f>
        <v/>
      </c>
      <c r="G22" s="33">
        <f>D22*E22</f>
        <v/>
      </c>
      <c r="H22" s="33">
        <f>D22*F22</f>
        <v/>
      </c>
      <c r="I22" s="33">
        <f>G22+H22</f>
        <v/>
      </c>
    </row>
    <row r="23" ht="15" customHeight="1">
      <c r="A23" s="21" t="inlineStr">
        <is>
          <t>February</t>
        </is>
      </c>
      <c r="B23" s="41" t="n">
        <v>0</v>
      </c>
      <c r="C23" s="41" t="n">
        <v>0</v>
      </c>
      <c r="D23" s="48">
        <f>(B23+C23)/2</f>
        <v/>
      </c>
      <c r="E23" s="74" t="n">
        <v>0</v>
      </c>
      <c r="F23" s="75">
        <f>$B$6</f>
        <v/>
      </c>
      <c r="G23" s="33">
        <f>D23*E23</f>
        <v/>
      </c>
      <c r="H23" s="33">
        <f>D23*F23</f>
        <v/>
      </c>
      <c r="I23" s="33">
        <f>G23+H23</f>
        <v/>
      </c>
    </row>
    <row r="24" ht="15" customHeight="1">
      <c r="A24" s="21" t="inlineStr">
        <is>
          <t>March</t>
        </is>
      </c>
      <c r="B24" s="41" t="n">
        <v>0</v>
      </c>
      <c r="C24" s="41" t="n">
        <v>0</v>
      </c>
      <c r="D24" s="48">
        <f>(B24+C24)/2</f>
        <v/>
      </c>
      <c r="E24" s="74" t="n">
        <v>0</v>
      </c>
      <c r="F24" s="75">
        <f>$B$6</f>
        <v/>
      </c>
      <c r="G24" s="33">
        <f>D24*E24</f>
        <v/>
      </c>
      <c r="H24" s="33">
        <f>D24*F24</f>
        <v/>
      </c>
      <c r="I24" s="33">
        <f>G24+H24</f>
        <v/>
      </c>
    </row>
    <row r="25" ht="15" customHeight="1">
      <c r="A25" s="21" t="inlineStr">
        <is>
          <t>April</t>
        </is>
      </c>
      <c r="B25" s="41" t="n">
        <v>0</v>
      </c>
      <c r="C25" s="41" t="n">
        <v>0</v>
      </c>
      <c r="D25" s="48">
        <f>(B25+C25)/2</f>
        <v/>
      </c>
      <c r="E25" s="74" t="n">
        <v>0</v>
      </c>
      <c r="F25" s="75">
        <f>$B$6</f>
        <v/>
      </c>
      <c r="G25" s="33">
        <f>D25*E25</f>
        <v/>
      </c>
      <c r="H25" s="33">
        <f>D25*F25</f>
        <v/>
      </c>
      <c r="I25" s="33">
        <f>G25+H25</f>
        <v/>
      </c>
    </row>
    <row r="26" ht="15" customHeight="1">
      <c r="A26" s="21" t="inlineStr">
        <is>
          <t>May</t>
        </is>
      </c>
      <c r="B26" s="41" t="n">
        <v>0</v>
      </c>
      <c r="C26" s="41" t="n">
        <v>0</v>
      </c>
      <c r="D26" s="48">
        <f>(B26+C26)/2</f>
        <v/>
      </c>
      <c r="E26" s="74" t="n">
        <v>0</v>
      </c>
      <c r="F26" s="75">
        <f>$B$6</f>
        <v/>
      </c>
      <c r="G26" s="33">
        <f>D26*E26</f>
        <v/>
      </c>
      <c r="H26" s="33">
        <f>D26*F26</f>
        <v/>
      </c>
      <c r="I26" s="33">
        <f>G26+H26</f>
        <v/>
      </c>
    </row>
    <row r="27" ht="15" customHeight="1">
      <c r="A27" s="21" t="inlineStr">
        <is>
          <t>June</t>
        </is>
      </c>
      <c r="B27" s="41" t="n">
        <v>0</v>
      </c>
      <c r="C27" s="41" t="n">
        <v>0</v>
      </c>
      <c r="D27" s="48">
        <f>(B27+C27)/2</f>
        <v/>
      </c>
      <c r="E27" s="74" t="n">
        <v>0</v>
      </c>
      <c r="F27" s="75">
        <f>$B$6</f>
        <v/>
      </c>
      <c r="G27" s="33">
        <f>D27*E27</f>
        <v/>
      </c>
      <c r="H27" s="33">
        <f>D27*F27</f>
        <v/>
      </c>
      <c r="I27" s="33">
        <f>G27+H27</f>
        <v/>
      </c>
    </row>
    <row r="28" ht="15" customHeight="1">
      <c r="A28" s="21" t="inlineStr">
        <is>
          <t>July</t>
        </is>
      </c>
      <c r="B28" s="41" t="n">
        <v>0</v>
      </c>
      <c r="C28" s="41" t="n">
        <v>0</v>
      </c>
      <c r="D28" s="48">
        <f>(B28+C28)/2</f>
        <v/>
      </c>
      <c r="E28" s="74" t="n">
        <v>0</v>
      </c>
      <c r="F28" s="75">
        <f>$B$6</f>
        <v/>
      </c>
      <c r="G28" s="33">
        <f>D28*E28</f>
        <v/>
      </c>
      <c r="H28" s="33">
        <f>D28*F28</f>
        <v/>
      </c>
      <c r="I28" s="33">
        <f>G28+H28</f>
        <v/>
      </c>
    </row>
    <row r="29" ht="15" customHeight="1">
      <c r="A29" s="21" t="inlineStr">
        <is>
          <t>August</t>
        </is>
      </c>
      <c r="B29" s="41" t="n">
        <v>0</v>
      </c>
      <c r="C29" s="41" t="n">
        <v>0</v>
      </c>
      <c r="D29" s="48">
        <f>(B29+C29)/2</f>
        <v/>
      </c>
      <c r="E29" s="74" t="n">
        <v>0</v>
      </c>
      <c r="F29" s="75">
        <f>$B$6</f>
        <v/>
      </c>
      <c r="G29" s="33">
        <f>D29*E29</f>
        <v/>
      </c>
      <c r="H29" s="33">
        <f>D29*F29</f>
        <v/>
      </c>
      <c r="I29" s="33">
        <f>G29+H29</f>
        <v/>
      </c>
    </row>
    <row r="30" ht="15" customHeight="1">
      <c r="A30" s="21" t="inlineStr">
        <is>
          <t>September</t>
        </is>
      </c>
      <c r="B30" s="41" t="n">
        <v>0</v>
      </c>
      <c r="C30" s="41" t="n">
        <v>0</v>
      </c>
      <c r="D30" s="48">
        <f>(B30+C30)/2</f>
        <v/>
      </c>
      <c r="E30" s="74" t="n">
        <v>0</v>
      </c>
      <c r="F30" s="75">
        <f>$B$6</f>
        <v/>
      </c>
      <c r="G30" s="33">
        <f>D30*E30</f>
        <v/>
      </c>
      <c r="H30" s="33">
        <f>D30*F30</f>
        <v/>
      </c>
      <c r="I30" s="33">
        <f>G30+H30</f>
        <v/>
      </c>
    </row>
    <row r="31" ht="15" customHeight="1">
      <c r="A31" s="21" t="inlineStr">
        <is>
          <t>October</t>
        </is>
      </c>
      <c r="B31" s="41" t="n">
        <v>0</v>
      </c>
      <c r="C31" s="41" t="n">
        <v>0</v>
      </c>
      <c r="D31" s="48">
        <f>(B31+C31)/2</f>
        <v/>
      </c>
      <c r="E31" s="74" t="n">
        <v>0</v>
      </c>
      <c r="F31" s="75">
        <f>$B$6</f>
        <v/>
      </c>
      <c r="G31" s="33">
        <f>D31*E31</f>
        <v/>
      </c>
      <c r="H31" s="33">
        <f>D31*F31</f>
        <v/>
      </c>
      <c r="I31" s="33">
        <f>G31+H31</f>
        <v/>
      </c>
    </row>
    <row r="32" ht="15" customHeight="1">
      <c r="A32" s="21" t="inlineStr">
        <is>
          <t>November</t>
        </is>
      </c>
      <c r="B32" s="41" t="n">
        <v>0</v>
      </c>
      <c r="C32" s="41" t="n">
        <v>0</v>
      </c>
      <c r="D32" s="48">
        <f>(B32+C32)/2</f>
        <v/>
      </c>
      <c r="E32" s="74" t="n">
        <v>0</v>
      </c>
      <c r="F32" s="75">
        <f>$B$6</f>
        <v/>
      </c>
      <c r="G32" s="33">
        <f>D32*E32</f>
        <v/>
      </c>
      <c r="H32" s="33">
        <f>D32*F32</f>
        <v/>
      </c>
      <c r="I32" s="33">
        <f>G32+H32</f>
        <v/>
      </c>
    </row>
    <row r="33" ht="15" customHeight="1">
      <c r="A33" s="21" t="inlineStr">
        <is>
          <t>December</t>
        </is>
      </c>
      <c r="B33" s="41" t="n">
        <v>0</v>
      </c>
      <c r="C33" s="41" t="n">
        <v>0</v>
      </c>
      <c r="D33" s="48">
        <f>(B33+C33)/2</f>
        <v/>
      </c>
      <c r="E33" s="74" t="n">
        <v>0</v>
      </c>
      <c r="F33" s="75">
        <f>$B$6</f>
        <v/>
      </c>
      <c r="G33" s="33">
        <f>D33*E33</f>
        <v/>
      </c>
      <c r="H33" s="33">
        <f>D33*F33</f>
        <v/>
      </c>
      <c r="I33" s="33">
        <f>G33+H33</f>
        <v/>
      </c>
    </row>
    <row r="34" ht="15" customHeight="1">
      <c r="A34" s="35" t="inlineStr">
        <is>
          <t>TOTAL GAS</t>
        </is>
      </c>
      <c r="B34" s="76">
        <f>SUM(B22:B33)</f>
        <v/>
      </c>
      <c r="C34" s="76">
        <f>SUM(C22:C33)</f>
        <v/>
      </c>
      <c r="D34" s="76">
        <f>SUM(D22:D33)</f>
        <v/>
      </c>
      <c r="E34" s="77">
        <f>IF(D34=0,0,G34/D34)</f>
        <v/>
      </c>
      <c r="F34" s="77">
        <f>IF(D34=0,0,H34/D34)</f>
        <v/>
      </c>
      <c r="G34" s="36">
        <f>SUM(G22:G33)</f>
        <v/>
      </c>
      <c r="H34" s="36">
        <f>SUM(H22:H33)</f>
        <v/>
      </c>
      <c r="I34" s="36">
        <f>SUM(I22:I33)</f>
        <v/>
      </c>
      <c r="K34">
        <f>SUM(K22:K33)</f>
        <v/>
      </c>
    </row>
    <row r="36" ht="15" customHeight="1">
      <c r="A36" s="4" t="inlineStr">
        <is>
          <t>SECTION B: ELECTRIC — Monthly Consumption Detail</t>
        </is>
      </c>
    </row>
    <row r="37" ht="23.25" customHeight="1">
      <c r="A37" s="30" t="inlineStr">
        <is>
          <t>Month</t>
        </is>
      </c>
      <c r="B37" s="30" t="inlineStr">
        <is>
          <t>Prior Yr
KWH</t>
        </is>
      </c>
      <c r="C37" s="30" t="inlineStr">
        <is>
          <t>Current Yr
KWH</t>
        </is>
      </c>
      <c r="D37" s="30" t="inlineStr">
        <is>
          <t>2-Yr Avg
KWH</t>
        </is>
      </c>
      <c r="E37" s="30" t="inlineStr">
        <is>
          <t>ConEd
$/KWH</t>
        </is>
      </c>
      <c r="F37" s="30" t="inlineStr">
        <is>
          <t>ESCO
$/KWH</t>
        </is>
      </c>
      <c r="G37" s="30" t="inlineStr">
        <is>
          <t>ConEd
Amount</t>
        </is>
      </c>
      <c r="H37" s="30" t="inlineStr">
        <is>
          <t>ESCO
Amount</t>
        </is>
      </c>
      <c r="I37" s="30" t="inlineStr">
        <is>
          <t>Total
Budget</t>
        </is>
      </c>
    </row>
    <row r="38" ht="15" customHeight="1">
      <c r="A38" s="21" t="inlineStr">
        <is>
          <t>January</t>
        </is>
      </c>
      <c r="B38" s="41" t="n">
        <v>0</v>
      </c>
      <c r="C38" s="41" t="n">
        <v>0</v>
      </c>
      <c r="D38" s="48">
        <f>(B38+C38)/2</f>
        <v/>
      </c>
      <c r="E38" s="74" t="n">
        <v>0</v>
      </c>
      <c r="F38" s="75">
        <f>$B$7</f>
        <v/>
      </c>
      <c r="G38" s="33">
        <f>D38*E38</f>
        <v/>
      </c>
      <c r="H38" s="33">
        <f>D38*F38</f>
        <v/>
      </c>
      <c r="I38" s="33">
        <f>G38+H38</f>
        <v/>
      </c>
    </row>
    <row r="39" ht="15" customHeight="1">
      <c r="A39" s="21" t="inlineStr">
        <is>
          <t>February</t>
        </is>
      </c>
      <c r="B39" s="41" t="n">
        <v>0</v>
      </c>
      <c r="C39" s="41" t="n">
        <v>0</v>
      </c>
      <c r="D39" s="48">
        <f>(B39+C39)/2</f>
        <v/>
      </c>
      <c r="E39" s="74" t="n">
        <v>0</v>
      </c>
      <c r="F39" s="75">
        <f>$B$7</f>
        <v/>
      </c>
      <c r="G39" s="33">
        <f>D39*E39</f>
        <v/>
      </c>
      <c r="H39" s="33">
        <f>D39*F39</f>
        <v/>
      </c>
      <c r="I39" s="33">
        <f>G39+H39</f>
        <v/>
      </c>
    </row>
    <row r="40" ht="15" customHeight="1">
      <c r="A40" s="21" t="inlineStr">
        <is>
          <t>March</t>
        </is>
      </c>
      <c r="B40" s="41" t="n">
        <v>0</v>
      </c>
      <c r="C40" s="41" t="n">
        <v>0</v>
      </c>
      <c r="D40" s="48">
        <f>(B40+C40)/2</f>
        <v/>
      </c>
      <c r="E40" s="74" t="n">
        <v>0</v>
      </c>
      <c r="F40" s="75">
        <f>$B$7</f>
        <v/>
      </c>
      <c r="G40" s="33">
        <f>D40*E40</f>
        <v/>
      </c>
      <c r="H40" s="33">
        <f>D40*F40</f>
        <v/>
      </c>
      <c r="I40" s="33">
        <f>G40+H40</f>
        <v/>
      </c>
    </row>
    <row r="41" ht="15" customHeight="1">
      <c r="A41" s="21" t="inlineStr">
        <is>
          <t>April</t>
        </is>
      </c>
      <c r="B41" s="41" t="n">
        <v>0</v>
      </c>
      <c r="C41" s="41" t="n">
        <v>0</v>
      </c>
      <c r="D41" s="48">
        <f>(B41+C41)/2</f>
        <v/>
      </c>
      <c r="E41" s="74" t="n">
        <v>0</v>
      </c>
      <c r="F41" s="75">
        <f>$B$7</f>
        <v/>
      </c>
      <c r="G41" s="33">
        <f>D41*E41</f>
        <v/>
      </c>
      <c r="H41" s="33">
        <f>D41*F41</f>
        <v/>
      </c>
      <c r="I41" s="33">
        <f>G41+H41</f>
        <v/>
      </c>
    </row>
    <row r="42" ht="15" customHeight="1">
      <c r="A42" s="21" t="inlineStr">
        <is>
          <t>May</t>
        </is>
      </c>
      <c r="B42" s="41" t="n">
        <v>0</v>
      </c>
      <c r="C42" s="41" t="n">
        <v>0</v>
      </c>
      <c r="D42" s="48">
        <f>(B42+C42)/2</f>
        <v/>
      </c>
      <c r="E42" s="74" t="n">
        <v>0</v>
      </c>
      <c r="F42" s="75">
        <f>$B$7</f>
        <v/>
      </c>
      <c r="G42" s="33">
        <f>D42*E42</f>
        <v/>
      </c>
      <c r="H42" s="33">
        <f>D42*F42</f>
        <v/>
      </c>
      <c r="I42" s="33">
        <f>G42+H42</f>
        <v/>
      </c>
    </row>
    <row r="43" ht="15" customHeight="1">
      <c r="A43" s="21" t="inlineStr">
        <is>
          <t>June</t>
        </is>
      </c>
      <c r="B43" s="41" t="n">
        <v>0</v>
      </c>
      <c r="C43" s="41" t="n">
        <v>0</v>
      </c>
      <c r="D43" s="48">
        <f>(B43+C43)/2</f>
        <v/>
      </c>
      <c r="E43" s="74" t="n">
        <v>0</v>
      </c>
      <c r="F43" s="75">
        <f>$B$7</f>
        <v/>
      </c>
      <c r="G43" s="33">
        <f>D43*E43</f>
        <v/>
      </c>
      <c r="H43" s="33">
        <f>D43*F43</f>
        <v/>
      </c>
      <c r="I43" s="33">
        <f>G43+H43</f>
        <v/>
      </c>
    </row>
    <row r="44" ht="15" customHeight="1">
      <c r="A44" s="21" t="inlineStr">
        <is>
          <t>July</t>
        </is>
      </c>
      <c r="B44" s="41" t="n">
        <v>0</v>
      </c>
      <c r="C44" s="41" t="n">
        <v>0</v>
      </c>
      <c r="D44" s="48">
        <f>(B44+C44)/2</f>
        <v/>
      </c>
      <c r="E44" s="74" t="n">
        <v>0</v>
      </c>
      <c r="F44" s="75">
        <f>$B$7</f>
        <v/>
      </c>
      <c r="G44" s="33">
        <f>D44*E44</f>
        <v/>
      </c>
      <c r="H44" s="33">
        <f>D44*F44</f>
        <v/>
      </c>
      <c r="I44" s="33">
        <f>G44+H44</f>
        <v/>
      </c>
    </row>
    <row r="45" ht="15" customHeight="1">
      <c r="A45" s="21" t="inlineStr">
        <is>
          <t>August</t>
        </is>
      </c>
      <c r="B45" s="41" t="n">
        <v>0</v>
      </c>
      <c r="C45" s="41" t="n">
        <v>0</v>
      </c>
      <c r="D45" s="48">
        <f>(B45+C45)/2</f>
        <v/>
      </c>
      <c r="E45" s="74" t="n">
        <v>0</v>
      </c>
      <c r="F45" s="75">
        <f>$B$7</f>
        <v/>
      </c>
      <c r="G45" s="33">
        <f>D45*E45</f>
        <v/>
      </c>
      <c r="H45" s="33">
        <f>D45*F45</f>
        <v/>
      </c>
      <c r="I45" s="33">
        <f>G45+H45</f>
        <v/>
      </c>
    </row>
    <row r="46" ht="15" customHeight="1">
      <c r="A46" s="21" t="inlineStr">
        <is>
          <t>September</t>
        </is>
      </c>
      <c r="B46" s="41" t="n">
        <v>0</v>
      </c>
      <c r="C46" s="41" t="n">
        <v>0</v>
      </c>
      <c r="D46" s="48">
        <f>(B46+C46)/2</f>
        <v/>
      </c>
      <c r="E46" s="74" t="n">
        <v>0</v>
      </c>
      <c r="F46" s="75">
        <f>$B$7</f>
        <v/>
      </c>
      <c r="G46" s="33">
        <f>D46*E46</f>
        <v/>
      </c>
      <c r="H46" s="33">
        <f>D46*F46</f>
        <v/>
      </c>
      <c r="I46" s="33">
        <f>G46+H46</f>
        <v/>
      </c>
    </row>
    <row r="47" ht="15" customHeight="1">
      <c r="A47" s="21" t="inlineStr">
        <is>
          <t>October</t>
        </is>
      </c>
      <c r="B47" s="41" t="n">
        <v>0</v>
      </c>
      <c r="C47" s="41" t="n">
        <v>0</v>
      </c>
      <c r="D47" s="48">
        <f>(B47+C47)/2</f>
        <v/>
      </c>
      <c r="E47" s="74" t="n">
        <v>0</v>
      </c>
      <c r="F47" s="75">
        <f>$B$7</f>
        <v/>
      </c>
      <c r="G47" s="33">
        <f>D47*E47</f>
        <v/>
      </c>
      <c r="H47" s="33">
        <f>D47*F47</f>
        <v/>
      </c>
      <c r="I47" s="33">
        <f>G47+H47</f>
        <v/>
      </c>
    </row>
    <row r="48" ht="15" customHeight="1">
      <c r="A48" s="21" t="inlineStr">
        <is>
          <t>November</t>
        </is>
      </c>
      <c r="B48" s="41" t="n">
        <v>0</v>
      </c>
      <c r="C48" s="41" t="n">
        <v>0</v>
      </c>
      <c r="D48" s="48">
        <f>(B48+C48)/2</f>
        <v/>
      </c>
      <c r="E48" s="74" t="n">
        <v>0</v>
      </c>
      <c r="F48" s="75">
        <f>$B$7</f>
        <v/>
      </c>
      <c r="G48" s="33">
        <f>D48*E48</f>
        <v/>
      </c>
      <c r="H48" s="33">
        <f>D48*F48</f>
        <v/>
      </c>
      <c r="I48" s="33">
        <f>G48+H48</f>
        <v/>
      </c>
    </row>
    <row r="49" ht="15" customHeight="1">
      <c r="A49" s="21" t="inlineStr">
        <is>
          <t>December</t>
        </is>
      </c>
      <c r="B49" s="41" t="n">
        <v>0</v>
      </c>
      <c r="C49" s="41" t="n">
        <v>0</v>
      </c>
      <c r="D49" s="48">
        <f>(B49+C49)/2</f>
        <v/>
      </c>
      <c r="E49" s="74" t="n">
        <v>0</v>
      </c>
      <c r="F49" s="75">
        <f>$B$7</f>
        <v/>
      </c>
      <c r="G49" s="33">
        <f>D49*E49</f>
        <v/>
      </c>
      <c r="H49" s="33">
        <f>D49*F49</f>
        <v/>
      </c>
      <c r="I49" s="33">
        <f>G49+H49</f>
        <v/>
      </c>
    </row>
    <row r="50" ht="15" customHeight="1">
      <c r="A50" s="35" t="inlineStr">
        <is>
          <t>TOTAL ELECTRIC</t>
        </is>
      </c>
      <c r="B50" s="76">
        <f>SUM(B38:B49)</f>
        <v/>
      </c>
      <c r="C50" s="76">
        <f>SUM(C38:C49)</f>
        <v/>
      </c>
      <c r="D50" s="76">
        <f>SUM(D38:D49)</f>
        <v/>
      </c>
      <c r="E50" s="77">
        <f>IF(D50=0,0,G50/D50)</f>
        <v/>
      </c>
      <c r="F50" s="77">
        <f>IF(D50=0,0,H50/D50)</f>
        <v/>
      </c>
      <c r="G50" s="36">
        <f>SUM(G38:G49)</f>
        <v/>
      </c>
      <c r="H50" s="36">
        <f>SUM(H38:H49)</f>
        <v/>
      </c>
      <c r="I50" s="36">
        <f>SUM(I38:I49)</f>
        <v/>
      </c>
      <c r="K50">
        <f>SUM(K38:K49)</f>
        <v/>
      </c>
    </row>
    <row r="53" ht="23.25" customHeight="1">
      <c r="A53" s="30" t="inlineStr">
        <is>
          <t>GL Code</t>
        </is>
      </c>
      <c r="B53" s="30" t="inlineStr">
        <is>
          <t>Description</t>
        </is>
      </c>
      <c r="C53" s="30" t="inlineStr">
        <is>
          <t>Notes</t>
        </is>
      </c>
      <c r="D53" s="30" t="inlineStr">
        <is>
          <t>Prior Year
Actual</t>
        </is>
      </c>
      <c r="E53" s="30" t="inlineStr">
        <is>
          <t>YTD Actual</t>
        </is>
      </c>
      <c r="F53" s="30" t="inlineStr">
        <is>
          <t>Accrual
Adj</t>
        </is>
      </c>
      <c r="G53" s="30" t="inlineStr">
        <is>
          <t>Unpaid
Bills</t>
        </is>
      </c>
      <c r="H53" s="30" t="inlineStr">
        <is>
          <t>YTD Budget</t>
        </is>
      </c>
      <c r="I53" s="30" t="inlineStr">
        <is>
          <t>Sep-Dec
Estimate</t>
        </is>
      </c>
      <c r="J53" s="30" t="inlineStr">
        <is>
          <t>12 Month
Forecast</t>
        </is>
      </c>
      <c r="K53" s="30" t="inlineStr">
        <is>
          <t>Current Year
Budget</t>
        </is>
      </c>
      <c r="L53" s="30" t="inlineStr">
        <is>
          <t>Increase %</t>
        </is>
      </c>
      <c r="M53" s="30" t="inlineStr">
        <is>
          <t>Proposed
Budget</t>
        </is>
      </c>
      <c r="N53" s="30" t="inlineStr">
        <is>
          <t>$ Variance</t>
        </is>
      </c>
      <c r="O53" s="30" t="inlineStr">
        <is>
          <t>% Change</t>
        </is>
      </c>
    </row>
    <row r="54" ht="15" customHeight="1">
      <c r="A54" s="49" t="inlineStr">
        <is>
          <t>Yardi</t>
        </is>
      </c>
      <c r="B54" s="49" t="inlineStr">
        <is>
          <t>Yardi</t>
        </is>
      </c>
      <c r="C54" s="49" t="inlineStr">
        <is>
          <t>Input</t>
        </is>
      </c>
      <c r="D54" s="49" t="inlineStr">
        <is>
          <t>Yardi</t>
        </is>
      </c>
      <c r="E54" s="49" t="inlineStr">
        <is>
          <t>Yardi</t>
        </is>
      </c>
      <c r="F54" s="49" t="inlineStr">
        <is>
          <t>Input</t>
        </is>
      </c>
      <c r="G54" s="49" t="inlineStr">
        <is>
          <t>Input</t>
        </is>
      </c>
      <c r="H54" s="49" t="inlineStr">
        <is>
          <t>Yardi</t>
        </is>
      </c>
      <c r="I54" s="49" t="inlineStr">
        <is>
          <t>Formula</t>
        </is>
      </c>
      <c r="J54" s="49" t="inlineStr">
        <is>
          <t>Formula</t>
        </is>
      </c>
      <c r="K54" s="49" t="inlineStr">
        <is>
          <t>Yardi</t>
        </is>
      </c>
      <c r="L54" s="49" t="inlineStr">
        <is>
          <t>Input</t>
        </is>
      </c>
      <c r="M54" s="49" t="inlineStr">
        <is>
          <t>Formula</t>
        </is>
      </c>
      <c r="N54" s="49" t="inlineStr">
        <is>
          <t>Formula</t>
        </is>
      </c>
      <c r="O54" s="49" t="inlineStr">
        <is>
          <t>Formula</t>
        </is>
      </c>
    </row>
    <row r="55" ht="15" customHeight="1">
      <c r="A55" s="7" t="inlineStr">
        <is>
          <t>Gas / Heating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2" t="n"/>
    </row>
    <row r="56" ht="15" customHeight="1">
      <c r="A56" s="50" t="inlineStr">
        <is>
          <t>5252-0000</t>
        </is>
      </c>
      <c r="B56" s="50" t="inlineStr">
        <is>
          <t>Gas - Heating</t>
        </is>
      </c>
      <c r="C56" s="23" t="n"/>
      <c r="D56" s="51" t="n"/>
      <c r="E56" s="51" t="n"/>
      <c r="F56" s="32" t="n">
        <v>0</v>
      </c>
      <c r="G56" s="32" t="n">
        <v>0</v>
      </c>
      <c r="H56" s="51" t="n"/>
      <c r="I56" s="33">
        <f>IFERROR(IF((E56+F56+G56)&gt;=D56,(E56+F56+G56)/Setup!$B$10*Setup!$B$11,D56-(E56+F56+G56)),0)</f>
        <v/>
      </c>
      <c r="J56" s="33">
        <f>E56+F56+G56+I56</f>
        <v/>
      </c>
      <c r="K56" s="32" t="n"/>
      <c r="L56" s="52">
        <f>$B$8</f>
        <v/>
      </c>
      <c r="M56" s="54">
        <f>J56*(1+L56)</f>
        <v/>
      </c>
      <c r="N56" s="33">
        <f>M56-D56</f>
        <v/>
      </c>
      <c r="O56" s="34">
        <f>IFERROR(M56/D56-1,0)</f>
        <v/>
      </c>
    </row>
    <row r="57" ht="15" customHeight="1">
      <c r="A57" s="50" t="inlineStr">
        <is>
          <t>5252-0001</t>
        </is>
      </c>
      <c r="B57" s="50" t="inlineStr">
        <is>
          <t>Gas - Cooking</t>
        </is>
      </c>
      <c r="C57" s="23" t="n"/>
      <c r="D57" s="51" t="n"/>
      <c r="E57" s="51" t="n"/>
      <c r="F57" s="32" t="n">
        <v>0</v>
      </c>
      <c r="G57" s="32" t="n">
        <v>0</v>
      </c>
      <c r="H57" s="51" t="n"/>
      <c r="I57" s="33">
        <f>IFERROR(IF((E57+F57+G57)&gt;=D57,(E57+F57+G57)/Setup!$B$10*Setup!$B$11,D57-(E57+F57+G57)),0)</f>
        <v/>
      </c>
      <c r="J57" s="33">
        <f>E57+F57+G57+I57</f>
        <v/>
      </c>
      <c r="K57" s="32" t="n"/>
      <c r="L57" s="52">
        <f>$B$8</f>
        <v/>
      </c>
      <c r="M57" s="54">
        <f>J57*(1+L57)</f>
        <v/>
      </c>
      <c r="N57" s="33">
        <f>M57-D57</f>
        <v/>
      </c>
      <c r="O57" s="34">
        <f>IFERROR(M57/D57-1,0)</f>
        <v/>
      </c>
    </row>
    <row r="58" ht="15" customHeight="1">
      <c r="A58" s="50" t="inlineStr">
        <is>
          <t>5252-0010</t>
        </is>
      </c>
      <c r="B58" s="50" t="inlineStr">
        <is>
          <t>Gas - Common Area</t>
        </is>
      </c>
      <c r="C58" s="23" t="n"/>
      <c r="D58" s="51" t="n"/>
      <c r="E58" s="51" t="n"/>
      <c r="F58" s="32" t="n">
        <v>0</v>
      </c>
      <c r="G58" s="32" t="n">
        <v>0</v>
      </c>
      <c r="H58" s="51" t="n"/>
      <c r="I58" s="33">
        <f>IFERROR(IF((E58+F58+G58)&gt;=D58,(E58+F58+G58)/Setup!$B$10*Setup!$B$11,D58-(E58+F58+G58)),0)</f>
        <v/>
      </c>
      <c r="J58" s="33">
        <f>E58+F58+G58+I58</f>
        <v/>
      </c>
      <c r="K58" s="32" t="n"/>
      <c r="L58" s="52">
        <f>$B$8</f>
        <v/>
      </c>
      <c r="M58" s="54">
        <f>J58*(1+L58)</f>
        <v/>
      </c>
      <c r="N58" s="33">
        <f>M58-D58</f>
        <v/>
      </c>
      <c r="O58" s="34">
        <f>IFERROR(M58/D58-1,0)</f>
        <v/>
      </c>
    </row>
    <row r="59" ht="15" customHeight="1">
      <c r="A59" s="50" t="inlineStr">
        <is>
          <t>5253-0000</t>
        </is>
      </c>
      <c r="B59" s="50" t="inlineStr">
        <is>
          <t>Oil / Fuel</t>
        </is>
      </c>
      <c r="C59" s="23" t="n"/>
      <c r="D59" s="51" t="n"/>
      <c r="E59" s="51" t="n"/>
      <c r="F59" s="32" t="n">
        <v>0</v>
      </c>
      <c r="G59" s="32" t="n">
        <v>0</v>
      </c>
      <c r="H59" s="51" t="n"/>
      <c r="I59" s="33">
        <f>IFERROR(IF((E59+F59+G59)&gt;=D59,(E59+F59+G59)/Setup!$B$10*Setup!$B$11,D59-(E59+F59+G59)),0)</f>
        <v/>
      </c>
      <c r="J59" s="33">
        <f>E59+F59+G59+I59</f>
        <v/>
      </c>
      <c r="K59" s="32" t="n"/>
      <c r="L59" s="52">
        <f>$B$8</f>
        <v/>
      </c>
      <c r="M59" s="54">
        <f>J59*(1+L59)</f>
        <v/>
      </c>
      <c r="N59" s="33">
        <f>M59-D59</f>
        <v/>
      </c>
      <c r="O59" s="34">
        <f>IFERROR(M59/D59-1,0)</f>
        <v/>
      </c>
    </row>
    <row r="60" ht="15" customHeight="1">
      <c r="A60" s="50" t="inlineStr">
        <is>
          <t>5250-0000</t>
        </is>
      </c>
      <c r="B60" s="50" t="inlineStr">
        <is>
          <t>Gas</t>
        </is>
      </c>
      <c r="C60" s="23" t="n"/>
      <c r="D60" s="51" t="n"/>
      <c r="E60" s="51" t="n"/>
      <c r="F60" s="32" t="n">
        <v>0</v>
      </c>
      <c r="G60" s="32" t="n">
        <v>0</v>
      </c>
      <c r="H60" s="51" t="n"/>
      <c r="I60" s="33">
        <f>IFERROR(IF((E60+F60+G60)&gt;=D60,(E60+F60+G60)/Setup!$B$10*Setup!$B$11,D60-(E60+F60+G60)),0)</f>
        <v/>
      </c>
      <c r="J60" s="33">
        <f>E60+F60+G60+I60</f>
        <v/>
      </c>
      <c r="K60" s="32" t="n"/>
      <c r="L60" s="52">
        <f>$B$8</f>
        <v/>
      </c>
      <c r="M60" s="54">
        <f>J60*(1+L60)</f>
        <v/>
      </c>
      <c r="N60" s="33">
        <f>M60-D60</f>
        <v/>
      </c>
      <c r="O60" s="34">
        <f>IFERROR(M60/D60-1,0)</f>
        <v/>
      </c>
    </row>
    <row r="61" ht="15" customHeight="1">
      <c r="A61" s="50" t="n"/>
      <c r="B61" s="50" t="n"/>
      <c r="C61" s="23" t="n"/>
      <c r="D61" s="51" t="n">
        <v>0</v>
      </c>
      <c r="E61" s="51" t="n">
        <v>0</v>
      </c>
      <c r="F61" s="32" t="n">
        <v>0</v>
      </c>
      <c r="G61" s="32" t="n">
        <v>0</v>
      </c>
      <c r="H61" s="51" t="n">
        <v>0</v>
      </c>
      <c r="I61" s="33">
        <f>IFERROR(D61-(E61+F61+G61),0)</f>
        <v/>
      </c>
      <c r="J61" s="33">
        <f>E61+F61+G61+I61</f>
        <v/>
      </c>
      <c r="K61" s="52" t="n"/>
      <c r="L61" s="52" t="n">
        <v>0</v>
      </c>
      <c r="M61" s="54">
        <f>J61*(1+L61)</f>
        <v/>
      </c>
      <c r="N61" s="33">
        <f>M61-D61</f>
        <v/>
      </c>
      <c r="O61" s="34">
        <f>IFERROR(M61/D61-1,0)</f>
        <v/>
      </c>
    </row>
    <row r="62" ht="15" customHeight="1">
      <c r="A62" s="50" t="n"/>
      <c r="B62" s="50" t="n"/>
      <c r="C62" s="23" t="n"/>
      <c r="D62" s="51" t="n">
        <v>0</v>
      </c>
      <c r="E62" s="51" t="n">
        <v>0</v>
      </c>
      <c r="F62" s="32" t="n">
        <v>0</v>
      </c>
      <c r="G62" s="32" t="n">
        <v>0</v>
      </c>
      <c r="H62" s="51" t="n">
        <v>0</v>
      </c>
      <c r="I62" s="33">
        <f>IFERROR(D62-(E62+F62+G62),0)</f>
        <v/>
      </c>
      <c r="J62" s="33">
        <f>E62+F62+G62+I62</f>
        <v/>
      </c>
      <c r="K62" s="52" t="n"/>
      <c r="L62" s="52" t="n">
        <v>0</v>
      </c>
      <c r="M62" s="54">
        <f>J62*(1+L62)</f>
        <v/>
      </c>
      <c r="N62" s="33">
        <f>M62-D62</f>
        <v/>
      </c>
      <c r="O62" s="34">
        <f>IFERROR(M62/D62-1,0)</f>
        <v/>
      </c>
    </row>
    <row r="63" ht="15" customHeight="1">
      <c r="A63" s="50" t="inlineStr">
        <is>
          <t>5260-0000</t>
        </is>
      </c>
      <c r="B63" s="50" t="inlineStr">
        <is>
          <t>Fuel</t>
        </is>
      </c>
      <c r="C63" s="23" t="n"/>
      <c r="D63" s="51" t="n">
        <v>0</v>
      </c>
      <c r="E63" s="51" t="n">
        <v>0</v>
      </c>
      <c r="F63" s="32" t="n">
        <v>0</v>
      </c>
      <c r="G63" s="32" t="n">
        <v>0</v>
      </c>
      <c r="H63" s="51" t="n">
        <v>0</v>
      </c>
      <c r="I63" s="33">
        <f>IFERROR(D63-(E63+F63+G63),0)</f>
        <v/>
      </c>
      <c r="J63" s="33">
        <f>E63+F63+G63+I63</f>
        <v/>
      </c>
      <c r="K63" s="52" t="n"/>
      <c r="L63" s="52" t="n">
        <v>0</v>
      </c>
      <c r="M63" s="54">
        <f>J63*(1+L63)</f>
        <v/>
      </c>
      <c r="N63" s="33">
        <f>M63-D63</f>
        <v/>
      </c>
      <c r="O63" s="34">
        <f>IFERROR(M63/D63-1,0)</f>
        <v/>
      </c>
    </row>
    <row r="64" ht="15" customHeight="1">
      <c r="A64" s="35" t="n"/>
      <c r="B64" s="35" t="inlineStr">
        <is>
          <t>Total Gas / Heating</t>
        </is>
      </c>
      <c r="C64" s="35" t="n"/>
      <c r="D64" s="36">
        <f>SUM(D56:D63)</f>
        <v/>
      </c>
      <c r="E64" s="36">
        <f>SUM(E56:E63)</f>
        <v/>
      </c>
      <c r="F64" s="36">
        <f>SUM(F56:F63)</f>
        <v/>
      </c>
      <c r="G64" s="36">
        <f>SUM(G56:G63)</f>
        <v/>
      </c>
      <c r="H64" s="36">
        <f>SUM(H56:H63)</f>
        <v/>
      </c>
      <c r="I64" s="36">
        <f>SUM(I56:I63)</f>
        <v/>
      </c>
      <c r="J64" s="36">
        <f>SUM(J56:J63)</f>
        <v/>
      </c>
      <c r="K64" s="35">
        <f>SUM(K56:K63)</f>
        <v/>
      </c>
      <c r="L64" s="35" t="n"/>
      <c r="M64" s="36">
        <f>SUM(M56:M63)</f>
        <v/>
      </c>
      <c r="N64" s="36">
        <f>SUM(N56:N63)</f>
        <v/>
      </c>
      <c r="O64" s="37">
        <f>IFERROR(M64/D64-1,0)</f>
        <v/>
      </c>
    </row>
    <row r="65"/>
    <row r="66" ht="15" customHeight="1">
      <c r="A66" s="7" t="inlineStr">
        <is>
          <t>Electric</t>
        </is>
      </c>
      <c r="B66" s="81" t="n"/>
      <c r="C66" s="81" t="n"/>
      <c r="D66" s="81" t="n"/>
      <c r="E66" s="81" t="n"/>
      <c r="F66" s="81" t="n"/>
      <c r="G66" s="81" t="n"/>
      <c r="H66" s="81" t="n"/>
      <c r="I66" s="81" t="n"/>
      <c r="J66" s="81" t="n"/>
      <c r="K66" s="81" t="n"/>
      <c r="L66" s="81" t="n"/>
      <c r="M66" s="81" t="n"/>
      <c r="N66" s="82" t="n"/>
    </row>
    <row r="67" ht="15" customHeight="1">
      <c r="A67" s="50" t="inlineStr">
        <is>
          <t>5255-0000</t>
        </is>
      </c>
      <c r="B67" s="50" t="inlineStr">
        <is>
          <t>Electricity</t>
        </is>
      </c>
      <c r="C67" s="23" t="n"/>
      <c r="D67" s="51" t="n"/>
      <c r="E67" s="51" t="n"/>
      <c r="F67" s="32" t="n">
        <v>0</v>
      </c>
      <c r="G67" s="32" t="n">
        <v>0</v>
      </c>
      <c r="H67" s="51" t="n"/>
      <c r="I67" s="33">
        <f>IFERROR(IF((E67+F67+G67)&gt;=D67,(E67+F67+G67)/Setup!$B$10*Setup!$B$11,D67-(E67+F67+G67)),0)</f>
        <v/>
      </c>
      <c r="J67" s="33">
        <f>E67+F67+G67+I67</f>
        <v/>
      </c>
      <c r="K67" s="32" t="n"/>
      <c r="L67" s="52">
        <f>$B$9</f>
        <v/>
      </c>
      <c r="M67" s="54">
        <f>J67*(1+L67)</f>
        <v/>
      </c>
      <c r="N67" s="33">
        <f>M67-D67</f>
        <v/>
      </c>
      <c r="O67" s="34">
        <f>IFERROR(M67/D67-1,0)</f>
        <v/>
      </c>
    </row>
    <row r="68" ht="15" customHeight="1">
      <c r="A68" s="50" t="inlineStr">
        <is>
          <t>5255-0010</t>
        </is>
      </c>
      <c r="B68" s="50" t="inlineStr">
        <is>
          <t>Electricity - Common Area / Super</t>
        </is>
      </c>
      <c r="C68" s="23" t="n"/>
      <c r="D68" s="51" t="n"/>
      <c r="E68" s="51" t="n"/>
      <c r="F68" s="32" t="n">
        <v>0</v>
      </c>
      <c r="G68" s="32" t="n">
        <v>0</v>
      </c>
      <c r="H68" s="51" t="n"/>
      <c r="I68" s="33">
        <f>IFERROR(IF((E68+F68+G68)&gt;=D68,(E68+F68+G68)/Setup!$B$10*Setup!$B$11,D68-(E68+F68+G68)),0)</f>
        <v/>
      </c>
      <c r="J68" s="33">
        <f>E68+F68+G68+I68</f>
        <v/>
      </c>
      <c r="K68" s="32" t="n"/>
      <c r="L68" s="52">
        <f>$B$9</f>
        <v/>
      </c>
      <c r="M68" s="54">
        <f>J68*(1+L68)</f>
        <v/>
      </c>
      <c r="N68" s="33">
        <f>M68-D68</f>
        <v/>
      </c>
      <c r="O68" s="34">
        <f>IFERROR(M68/D68-1,0)</f>
        <v/>
      </c>
    </row>
    <row r="69" ht="15" customHeight="1">
      <c r="A69" s="50" t="inlineStr">
        <is>
          <t>5255-0020</t>
        </is>
      </c>
      <c r="B69" s="50" t="inlineStr">
        <is>
          <t>Electricity - Garage</t>
        </is>
      </c>
      <c r="C69" s="23" t="n"/>
      <c r="D69" s="51" t="n"/>
      <c r="E69" s="51" t="n"/>
      <c r="F69" s="32" t="n">
        <v>0</v>
      </c>
      <c r="G69" s="32" t="n">
        <v>0</v>
      </c>
      <c r="H69" s="51" t="n"/>
      <c r="I69" s="33">
        <f>IFERROR(IF((E69+F69+G69)&gt;=D69,(E69+F69+G69)/Setup!$B$10*Setup!$B$11,D69-(E69+F69+G69)),0)</f>
        <v/>
      </c>
      <c r="J69" s="33">
        <f>E69+F69+G69+I69</f>
        <v/>
      </c>
      <c r="K69" s="32" t="n"/>
      <c r="L69" s="52">
        <f>$B$9</f>
        <v/>
      </c>
      <c r="M69" s="54">
        <f>J69*(1+L69)</f>
        <v/>
      </c>
      <c r="N69" s="33">
        <f>M69-D69</f>
        <v/>
      </c>
      <c r="O69" s="34">
        <f>IFERROR(M69/D69-1,0)</f>
        <v/>
      </c>
    </row>
    <row r="70" ht="15" customHeight="1">
      <c r="A70" s="50" t="inlineStr">
        <is>
          <t>5256-0000</t>
        </is>
      </c>
      <c r="B70" s="50" t="inlineStr">
        <is>
          <t>Steam</t>
        </is>
      </c>
      <c r="C70" s="23" t="n"/>
      <c r="D70" s="51" t="n"/>
      <c r="E70" s="51" t="n"/>
      <c r="F70" s="32" t="n">
        <v>0</v>
      </c>
      <c r="G70" s="32" t="n">
        <v>0</v>
      </c>
      <c r="H70" s="51" t="n"/>
      <c r="I70" s="33">
        <f>IFERROR(IF((E70+F70+G70)&gt;=D70,(E70+F70+G70)/Setup!$B$10*Setup!$B$11,D70-(E70+F70+G70)),0)</f>
        <v/>
      </c>
      <c r="J70" s="33">
        <f>E70+F70+G70+I70</f>
        <v/>
      </c>
      <c r="K70" s="32" t="n"/>
      <c r="L70" s="52">
        <f>$B$9</f>
        <v/>
      </c>
      <c r="M70" s="54">
        <f>J70*(1+L70)</f>
        <v/>
      </c>
      <c r="N70" s="33">
        <f>M70-D70</f>
        <v/>
      </c>
      <c r="O70" s="34">
        <f>IFERROR(M70/D70-1,0)</f>
        <v/>
      </c>
    </row>
    <row r="71" ht="15" customHeight="1">
      <c r="A71" s="50" t="inlineStr">
        <is>
          <t>5265-0000</t>
        </is>
      </c>
      <c r="B71" s="50" t="inlineStr">
        <is>
          <t>Steam</t>
        </is>
      </c>
      <c r="C71" s="23" t="n"/>
      <c r="D71" s="51" t="n"/>
      <c r="E71" s="51" t="n"/>
      <c r="F71" s="32" t="n">
        <v>0</v>
      </c>
      <c r="G71" s="32" t="n">
        <v>0</v>
      </c>
      <c r="H71" s="51" t="n"/>
      <c r="I71" s="33">
        <f>IFERROR(IF((E71+F71+G71)&gt;=D71,(E71+F71+G71)/Setup!$B$10*Setup!$B$11,D71-(E71+F71+G71)),0)</f>
        <v/>
      </c>
      <c r="J71" s="33">
        <f>E71+F71+G71+I71</f>
        <v/>
      </c>
      <c r="K71" s="32" t="n"/>
      <c r="L71" s="52">
        <f>$B$9</f>
        <v/>
      </c>
      <c r="M71" s="54">
        <f>J71*(1+L71)</f>
        <v/>
      </c>
      <c r="N71" s="33">
        <f>M71-D71</f>
        <v/>
      </c>
      <c r="O71" s="34">
        <f>IFERROR(M71/D71-1,0)</f>
        <v/>
      </c>
    </row>
    <row r="72" ht="15" customHeight="1">
      <c r="A72" s="50" t="n"/>
      <c r="B72" s="50" t="n"/>
      <c r="C72" s="23" t="n"/>
      <c r="D72" s="51" t="n">
        <v>0</v>
      </c>
      <c r="E72" s="51" t="n">
        <v>0</v>
      </c>
      <c r="F72" s="32" t="n">
        <v>0</v>
      </c>
      <c r="G72" s="32" t="n">
        <v>0</v>
      </c>
      <c r="H72" s="51" t="n">
        <v>0</v>
      </c>
      <c r="I72" s="33">
        <f>IFERROR(D72-(E72+F72+G72),0)</f>
        <v/>
      </c>
      <c r="J72" s="33">
        <f>E72+F72+G72+I72</f>
        <v/>
      </c>
      <c r="K72" s="52" t="n"/>
      <c r="L72" s="52" t="n">
        <v>0</v>
      </c>
      <c r="M72" s="54">
        <f>J72*(1+L72)</f>
        <v/>
      </c>
      <c r="N72" s="33">
        <f>M72-D72</f>
        <v/>
      </c>
      <c r="O72" s="34">
        <f>IFERROR(M72/D72-1,0)</f>
        <v/>
      </c>
    </row>
    <row r="73" ht="15" customHeight="1">
      <c r="A73" s="50" t="n"/>
      <c r="B73" s="50" t="n"/>
      <c r="C73" s="23" t="n"/>
      <c r="D73" s="51" t="n">
        <v>0</v>
      </c>
      <c r="E73" s="51" t="n">
        <v>0</v>
      </c>
      <c r="F73" s="32" t="n">
        <v>0</v>
      </c>
      <c r="G73" s="32" t="n">
        <v>0</v>
      </c>
      <c r="H73" s="51" t="n">
        <v>0</v>
      </c>
      <c r="I73" s="33">
        <f>IFERROR(D73-(E73+F73+G73),0)</f>
        <v/>
      </c>
      <c r="J73" s="33">
        <f>E73+F73+G73+I73</f>
        <v/>
      </c>
      <c r="K73" s="52" t="n"/>
      <c r="L73" s="52" t="n">
        <v>0</v>
      </c>
      <c r="M73" s="54">
        <f>J73*(1+L73)</f>
        <v/>
      </c>
      <c r="N73" s="33">
        <f>M73-D73</f>
        <v/>
      </c>
      <c r="O73" s="34">
        <f>IFERROR(M73/D73-1,0)</f>
        <v/>
      </c>
    </row>
    <row r="74" ht="15" customHeight="1">
      <c r="A74" s="50" t="n"/>
      <c r="B74" s="50" t="n"/>
      <c r="C74" s="23" t="n"/>
      <c r="D74" s="51" t="n">
        <v>0</v>
      </c>
      <c r="E74" s="51" t="n">
        <v>0</v>
      </c>
      <c r="F74" s="32" t="n">
        <v>0</v>
      </c>
      <c r="G74" s="32" t="n">
        <v>0</v>
      </c>
      <c r="H74" s="51" t="n">
        <v>0</v>
      </c>
      <c r="I74" s="33">
        <f>IFERROR(D74-(E74+F74+G74),0)</f>
        <v/>
      </c>
      <c r="J74" s="33">
        <f>E74+F74+G74+I74</f>
        <v/>
      </c>
      <c r="K74" s="52" t="n"/>
      <c r="L74" s="52" t="n">
        <v>0</v>
      </c>
      <c r="M74" s="54">
        <f>J74*(1+L74)</f>
        <v/>
      </c>
      <c r="N74" s="33">
        <f>M74-D74</f>
        <v/>
      </c>
      <c r="O74" s="34">
        <f>IFERROR(M74/D74-1,0)</f>
        <v/>
      </c>
    </row>
    <row r="75" ht="15" customHeight="1">
      <c r="A75" s="35" t="n"/>
      <c r="B75" s="35" t="inlineStr">
        <is>
          <t>Total Electric</t>
        </is>
      </c>
      <c r="C75" s="35" t="n"/>
      <c r="D75" s="36">
        <f>SUM(D67:D74)</f>
        <v/>
      </c>
      <c r="E75" s="36">
        <f>SUM(E67:E74)</f>
        <v/>
      </c>
      <c r="F75" s="36">
        <f>SUM(F67:F74)</f>
        <v/>
      </c>
      <c r="G75" s="36">
        <f>SUM(G67:G74)</f>
        <v/>
      </c>
      <c r="H75" s="36">
        <f>SUM(H67:H74)</f>
        <v/>
      </c>
      <c r="I75" s="36">
        <f>SUM(I67:I74)</f>
        <v/>
      </c>
      <c r="J75" s="36">
        <f>SUM(J67:J74)</f>
        <v/>
      </c>
      <c r="K75" s="35">
        <f>SUM(K67:K74)</f>
        <v/>
      </c>
      <c r="L75" s="35" t="n"/>
      <c r="M75" s="36">
        <f>SUM(M67:M74)</f>
        <v/>
      </c>
      <c r="N75" s="36">
        <f>SUM(N67:N74)</f>
        <v/>
      </c>
      <c r="O75" s="37">
        <f>IFERROR(M75/D75-1,0)</f>
        <v/>
      </c>
    </row>
    <row r="76"/>
    <row r="77" ht="15" customHeight="1">
      <c r="A77" s="55" t="n"/>
      <c r="B77" s="55" t="inlineStr">
        <is>
          <t>TOTAL ENERGY</t>
        </is>
      </c>
      <c r="C77" s="56" t="n"/>
      <c r="D77" s="57">
        <f>D64+D75</f>
        <v/>
      </c>
      <c r="E77" s="57">
        <f>E64+E75</f>
        <v/>
      </c>
      <c r="F77" s="57">
        <f>F64+F75</f>
        <v/>
      </c>
      <c r="G77" s="57">
        <f>G64+G75</f>
        <v/>
      </c>
      <c r="H77" s="57">
        <f>H64+H75</f>
        <v/>
      </c>
      <c r="I77" s="57">
        <f>I64+I75</f>
        <v/>
      </c>
      <c r="J77" s="57">
        <f>J64+J75</f>
        <v/>
      </c>
      <c r="K77" s="56">
        <f>K64+K75</f>
        <v/>
      </c>
      <c r="L77" s="56" t="n"/>
      <c r="M77" s="57">
        <f>M64+M75</f>
        <v/>
      </c>
      <c r="N77" s="57">
        <f>N64+N75</f>
        <v/>
      </c>
      <c r="O77" s="58">
        <f>IFERROR(M77/D77-1,0)</f>
        <v/>
      </c>
    </row>
    <row r="79" ht="15" customHeight="1">
      <c r="A79" s="28" t="inlineStr">
        <is>
          <t>NOTES</t>
        </is>
      </c>
    </row>
    <row r="80" ht="15" customHeight="1">
      <c r="A80" s="22" t="inlineStr">
        <is>
          <t>Monthly consumption sections above: enter prior yr and current yr therms/KWH. 2-yr average auto-calculates.</t>
        </is>
      </c>
    </row>
    <row r="81" ht="15" customHeight="1">
      <c r="A81" s="22" t="inlineStr">
        <is>
          <t>Gas total from monthly detail = I34. Electric total = I50. Override GL Proposed Budget if needed.</t>
        </is>
      </c>
    </row>
    <row r="82" ht="15" customHeight="1">
      <c r="A82" s="22" t="inlineStr">
        <is>
          <t>ESCO rates reference assumptions at top. ConEd rates are per-month inputs for actual bill detail.</t>
        </is>
      </c>
    </row>
  </sheetData>
  <mergeCells count="11">
    <mergeCell ref="A80:N80"/>
    <mergeCell ref="A55:N55"/>
    <mergeCell ref="A13:F13"/>
    <mergeCell ref="A36:I36"/>
    <mergeCell ref="A2:N2"/>
    <mergeCell ref="A5:F5"/>
    <mergeCell ref="A82:N82"/>
    <mergeCell ref="A81:N81"/>
    <mergeCell ref="A66:N66"/>
    <mergeCell ref="A20:I20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4"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Water &amp; Sewer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WATER &amp; SEWER ASSUMPTIONS</t>
        </is>
      </c>
    </row>
    <row r="6" ht="15" customHeight="1">
      <c r="A6" s="19" t="inlineStr">
        <is>
          <t>Rate Increase %</t>
        </is>
      </c>
      <c r="B6" s="43" t="n">
        <v>0</v>
      </c>
      <c r="C6" s="60" t="inlineStr">
        <is>
          <t>Applied to prior year forecast</t>
        </is>
      </c>
    </row>
    <row r="7" ht="15" customHeight="1">
      <c r="A7" s="19" t="inlineStr">
        <is>
          <t>Water Account #</t>
        </is>
      </c>
      <c r="B7" s="23" t="n"/>
      <c r="C7" s="19" t="inlineStr">
        <is>
          <t>GL Code</t>
        </is>
      </c>
      <c r="D7" s="21" t="inlineStr">
        <is>
          <t>6305-0000</t>
        </is>
      </c>
    </row>
    <row r="9" ht="15" customHeight="1">
      <c r="A9" s="4" t="inlineStr">
        <is>
          <t>BILLING PERIOD TRACKER</t>
        </is>
      </c>
    </row>
    <row r="10" ht="23.25" customHeight="1">
      <c r="A10" s="30" t="inlineStr">
        <is>
          <t>Begin Date</t>
        </is>
      </c>
      <c r="B10" s="30" t="inlineStr">
        <is>
          <t>End Date</t>
        </is>
      </c>
      <c r="C10" s="30" t="inlineStr">
        <is>
          <t>Payment Amount</t>
        </is>
      </c>
      <c r="D10" s="30" t="inlineStr">
        <is>
          <t># of Days</t>
        </is>
      </c>
      <c r="E10" s="30" t="inlineStr">
        <is>
          <t>Avg $/Day</t>
        </is>
      </c>
      <c r="F10" s="30" t="inlineStr">
        <is>
          <t>Days in Budget Yr</t>
        </is>
      </c>
      <c r="G10" s="30" t="inlineStr">
        <is>
          <t>Allocated to Year</t>
        </is>
      </c>
    </row>
    <row r="11" ht="15" customHeight="1">
      <c r="A11" s="78" t="n"/>
      <c r="B11" s="78" t="n"/>
      <c r="C11" s="46" t="n"/>
      <c r="D11" s="48">
        <f>IFERROR(B11-A11,"")</f>
        <v/>
      </c>
      <c r="E11" s="65">
        <f>IFERROR(C11/D11,"")</f>
        <v/>
      </c>
      <c r="F11" s="41" t="n"/>
      <c r="G11" s="47">
        <f>IFERROR(E11*F11,"")</f>
        <v/>
      </c>
    </row>
    <row r="12" ht="15" customHeight="1">
      <c r="A12" s="78" t="n"/>
      <c r="B12" s="78" t="n"/>
      <c r="C12" s="46" t="n"/>
      <c r="D12" s="48">
        <f>IFERROR(B12-A12,"")</f>
        <v/>
      </c>
      <c r="E12" s="65">
        <f>IFERROR(C12/D12,"")</f>
        <v/>
      </c>
      <c r="F12" s="41" t="n"/>
      <c r="G12" s="47">
        <f>IFERROR(E12*F12,"")</f>
        <v/>
      </c>
    </row>
    <row r="13" ht="15" customHeight="1">
      <c r="A13" s="78" t="n"/>
      <c r="B13" s="78" t="n"/>
      <c r="C13" s="46" t="n"/>
      <c r="D13" s="48">
        <f>IFERROR(B13-A13,"")</f>
        <v/>
      </c>
      <c r="E13" s="65">
        <f>IFERROR(C13/D13,"")</f>
        <v/>
      </c>
      <c r="F13" s="41" t="n"/>
      <c r="G13" s="47">
        <f>IFERROR(E13*F13,"")</f>
        <v/>
      </c>
    </row>
    <row r="14" ht="15" customHeight="1">
      <c r="A14" s="78" t="n"/>
      <c r="B14" s="78" t="n"/>
      <c r="C14" s="46" t="n"/>
      <c r="D14" s="48">
        <f>IFERROR(B14-A14,"")</f>
        <v/>
      </c>
      <c r="E14" s="65">
        <f>IFERROR(C14/D14,"")</f>
        <v/>
      </c>
      <c r="F14" s="41" t="n"/>
      <c r="G14" s="47">
        <f>IFERROR(E14*F14,"")</f>
        <v/>
      </c>
    </row>
    <row r="15" ht="15" customHeight="1">
      <c r="A15" s="78" t="n"/>
      <c r="B15" s="78" t="n"/>
      <c r="C15" s="46" t="n"/>
      <c r="D15" s="48">
        <f>IFERROR(B15-A15,"")</f>
        <v/>
      </c>
      <c r="E15" s="65">
        <f>IFERROR(C15/D15,"")</f>
        <v/>
      </c>
      <c r="F15" s="41" t="n"/>
      <c r="G15" s="47">
        <f>IFERROR(E15*F15,"")</f>
        <v/>
      </c>
    </row>
    <row r="16" ht="15" customHeight="1">
      <c r="A16" s="78" t="n"/>
      <c r="B16" s="78" t="n"/>
      <c r="C16" s="46" t="n"/>
      <c r="D16" s="48">
        <f>IFERROR(B16-A16,"")</f>
        <v/>
      </c>
      <c r="E16" s="65">
        <f>IFERROR(C16/D16,"")</f>
        <v/>
      </c>
      <c r="F16" s="41" t="n"/>
      <c r="G16" s="47">
        <f>IFERROR(E16*F16,"")</f>
        <v/>
      </c>
    </row>
    <row r="17" ht="15" customHeight="1">
      <c r="A17" s="78" t="n"/>
      <c r="B17" s="78" t="n"/>
      <c r="C17" s="46" t="n"/>
      <c r="D17" s="48">
        <f>IFERROR(B17-A17,"")</f>
        <v/>
      </c>
      <c r="E17" s="65">
        <f>IFERROR(C17/D17,"")</f>
        <v/>
      </c>
      <c r="F17" s="41" t="n"/>
      <c r="G17" s="47">
        <f>IFERROR(E17*F17,"")</f>
        <v/>
      </c>
    </row>
    <row r="18" ht="15" customHeight="1">
      <c r="A18" s="78" t="n"/>
      <c r="B18" s="78" t="n"/>
      <c r="C18" s="46" t="n"/>
      <c r="D18" s="48">
        <f>IFERROR(B18-A18,"")</f>
        <v/>
      </c>
      <c r="E18" s="65">
        <f>IFERROR(C18/D18,"")</f>
        <v/>
      </c>
      <c r="F18" s="41" t="n"/>
      <c r="G18" s="47">
        <f>IFERROR(E18*F18,"")</f>
        <v/>
      </c>
    </row>
    <row r="19" ht="15" customHeight="1">
      <c r="A19" s="78" t="n"/>
      <c r="B19" s="78" t="n"/>
      <c r="C19" s="46" t="n"/>
      <c r="D19" s="48">
        <f>IFERROR(B19-A19,"")</f>
        <v/>
      </c>
      <c r="E19" s="65">
        <f>IFERROR(C19/D19,"")</f>
        <v/>
      </c>
      <c r="F19" s="41" t="n"/>
      <c r="G19" s="47">
        <f>IFERROR(E19*F19,"")</f>
        <v/>
      </c>
    </row>
    <row r="20" ht="15" customHeight="1">
      <c r="A20" s="78" t="n"/>
      <c r="B20" s="78" t="n"/>
      <c r="C20" s="46" t="n"/>
      <c r="D20" s="48">
        <f>IFERROR(B20-A20,"")</f>
        <v/>
      </c>
      <c r="E20" s="65">
        <f>IFERROR(C20/D20,"")</f>
        <v/>
      </c>
      <c r="F20" s="41" t="n"/>
      <c r="G20" s="47">
        <f>IFERROR(E20*F20,"")</f>
        <v/>
      </c>
    </row>
    <row r="21" ht="15" customHeight="1">
      <c r="A21" s="78" t="n"/>
      <c r="B21" s="78" t="n"/>
      <c r="C21" s="46" t="n"/>
      <c r="D21" s="48">
        <f>IFERROR(B21-A21,"")</f>
        <v/>
      </c>
      <c r="E21" s="65">
        <f>IFERROR(C21/D21,"")</f>
        <v/>
      </c>
      <c r="F21" s="41" t="n"/>
      <c r="G21" s="47">
        <f>IFERROR(E21*F21,"")</f>
        <v/>
      </c>
    </row>
    <row r="22" ht="15" customHeight="1">
      <c r="A22" s="78" t="n"/>
      <c r="B22" s="78" t="n"/>
      <c r="C22" s="46" t="n"/>
      <c r="D22" s="48">
        <f>IFERROR(B22-A22,"")</f>
        <v/>
      </c>
      <c r="E22" s="65">
        <f>IFERROR(C22/D22,"")</f>
        <v/>
      </c>
      <c r="F22" s="41" t="n"/>
      <c r="G22" s="47">
        <f>IFERROR(E22*F22,"")</f>
        <v/>
      </c>
    </row>
    <row r="23" ht="15" customHeight="1">
      <c r="A23" s="19" t="inlineStr">
        <is>
          <t>Remaining Balance Est.</t>
        </is>
      </c>
      <c r="B23" s="21" t="n"/>
      <c r="C23" s="21" t="n"/>
      <c r="D23" s="21" t="n"/>
      <c r="E23" s="64" t="n">
        <v>0</v>
      </c>
      <c r="F23" s="41" t="n">
        <v>0</v>
      </c>
      <c r="G23" s="47">
        <f>E23*F23</f>
        <v/>
      </c>
    </row>
    <row r="24" ht="15" customHeight="1">
      <c r="A24" s="35" t="inlineStr">
        <is>
          <t>TOTAL WATER FORECAST</t>
        </is>
      </c>
      <c r="B24" s="35" t="n"/>
      <c r="C24" s="35" t="n"/>
      <c r="D24" s="35" t="n"/>
      <c r="E24" s="35" t="n"/>
      <c r="F24" s="35" t="n"/>
      <c r="G24" s="36">
        <f>SUM(G11:G23)</f>
        <v/>
      </c>
    </row>
    <row r="26">
      <c r="K26" t="inlineStr">
        <is>
          <t>Current Year
Budget</t>
        </is>
      </c>
    </row>
    <row r="27" ht="23.25" customHeight="1">
      <c r="A27" s="30" t="inlineStr">
        <is>
          <t>GL Code</t>
        </is>
      </c>
      <c r="B27" s="30" t="inlineStr">
        <is>
          <t>Description</t>
        </is>
      </c>
      <c r="C27" s="30" t="inlineStr">
        <is>
          <t>Notes</t>
        </is>
      </c>
      <c r="D27" s="30" t="inlineStr">
        <is>
          <t>Prior Year
Actual</t>
        </is>
      </c>
      <c r="E27" s="30" t="inlineStr">
        <is>
          <t>YTD Actual</t>
        </is>
      </c>
      <c r="F27" s="30" t="inlineStr">
        <is>
          <t>Accrual
Adj</t>
        </is>
      </c>
      <c r="G27" s="30" t="inlineStr">
        <is>
          <t>Unpaid
Bills</t>
        </is>
      </c>
      <c r="H27" s="30" t="inlineStr">
        <is>
          <t>YTD Budget</t>
        </is>
      </c>
      <c r="I27" s="30" t="inlineStr">
        <is>
          <t>Sep-Dec
Estimate</t>
        </is>
      </c>
      <c r="J27" s="30" t="inlineStr">
        <is>
          <t>12 Month
Forecast</t>
        </is>
      </c>
      <c r="K27" s="30" t="inlineStr">
        <is>
          <t>Yardi</t>
        </is>
      </c>
      <c r="L27" s="30" t="inlineStr">
        <is>
          <t>Increase %</t>
        </is>
      </c>
      <c r="M27" s="30" t="inlineStr">
        <is>
          <t>Proposed
Budget</t>
        </is>
      </c>
      <c r="N27" s="30" t="inlineStr">
        <is>
          <t>$ Variance</t>
        </is>
      </c>
      <c r="O27" s="30" t="inlineStr">
        <is>
          <t>% Change</t>
        </is>
      </c>
    </row>
    <row r="28" ht="15" customHeight="1">
      <c r="A28" s="49" t="inlineStr">
        <is>
          <t>Yardi</t>
        </is>
      </c>
      <c r="B28" s="49" t="inlineStr">
        <is>
          <t>Yardi</t>
        </is>
      </c>
      <c r="C28" s="49" t="inlineStr">
        <is>
          <t>Input</t>
        </is>
      </c>
      <c r="D28" s="49" t="inlineStr">
        <is>
          <t>Yardi</t>
        </is>
      </c>
      <c r="E28" s="49" t="inlineStr">
        <is>
          <t>Yardi</t>
        </is>
      </c>
      <c r="F28" s="49" t="inlineStr">
        <is>
          <t>Input</t>
        </is>
      </c>
      <c r="G28" s="49" t="inlineStr">
        <is>
          <t>Input</t>
        </is>
      </c>
      <c r="H28" s="49" t="inlineStr">
        <is>
          <t>Yardi</t>
        </is>
      </c>
      <c r="I28" s="49" t="inlineStr">
        <is>
          <t>Formula</t>
        </is>
      </c>
      <c r="J28" s="49" t="inlineStr">
        <is>
          <t>Formula</t>
        </is>
      </c>
      <c r="K28" s="49" t="n"/>
      <c r="L28" s="49" t="inlineStr">
        <is>
          <t>Input</t>
        </is>
      </c>
      <c r="M28" s="49" t="inlineStr">
        <is>
          <t>Formula</t>
        </is>
      </c>
      <c r="N28" s="49" t="inlineStr">
        <is>
          <t>Formula</t>
        </is>
      </c>
      <c r="O28" s="49" t="inlineStr">
        <is>
          <t>Formula</t>
        </is>
      </c>
    </row>
    <row r="29" ht="15" customHeight="1">
      <c r="A29" s="7" t="inlineStr">
        <is>
          <t>Water &amp; Sewer</t>
        </is>
      </c>
      <c r="B29" s="81" t="n"/>
      <c r="C29" s="81" t="n"/>
      <c r="D29" s="81" t="n"/>
      <c r="E29" s="81" t="n"/>
      <c r="F29" s="81" t="n"/>
      <c r="G29" s="81" t="n"/>
      <c r="H29" s="81" t="n"/>
      <c r="I29" s="81" t="n"/>
      <c r="J29" s="81" t="n"/>
      <c r="K29" s="81" t="n"/>
      <c r="L29" s="81" t="n"/>
      <c r="M29" s="81" t="n"/>
      <c r="N29" s="82" t="n"/>
    </row>
    <row r="30" ht="15" customHeight="1">
      <c r="A30" s="50" t="inlineStr">
        <is>
          <t>6305-0000</t>
        </is>
      </c>
      <c r="B30" s="50" t="inlineStr">
        <is>
          <t>Water/Sewer</t>
        </is>
      </c>
      <c r="C30" s="23" t="n"/>
      <c r="D30" s="51" t="n"/>
      <c r="E30" s="51" t="n"/>
      <c r="F30" s="32" t="n">
        <v>0</v>
      </c>
      <c r="G30" s="32" t="n">
        <v>0</v>
      </c>
      <c r="H30" s="51" t="n"/>
      <c r="I30" s="33">
        <f>IFERROR(IF((E30+F30+G30)&gt;=D30,(E30+F30+G30)/Setup!$B$10*Setup!$B$11,D30-(E30+F30+G30)),0)</f>
        <v/>
      </c>
      <c r="J30" s="33">
        <f>E30+F30+G30+I30</f>
        <v/>
      </c>
      <c r="K30" s="32" t="n"/>
      <c r="L30" s="52">
        <f>$B$6</f>
        <v/>
      </c>
      <c r="M30" s="54">
        <f>J30*(1+L30)</f>
        <v/>
      </c>
      <c r="N30" s="33">
        <f>M30-D30</f>
        <v/>
      </c>
      <c r="O30" s="34">
        <f>IFERROR(M30/D30-1,0)</f>
        <v/>
      </c>
    </row>
    <row r="31" ht="15" customHeight="1">
      <c r="A31" s="50" t="inlineStr">
        <is>
          <t>6305-0010</t>
        </is>
      </c>
      <c r="B31" s="50" t="inlineStr">
        <is>
          <t>Water - Common Area</t>
        </is>
      </c>
      <c r="C31" s="23" t="n"/>
      <c r="D31" s="51" t="n"/>
      <c r="E31" s="51" t="n"/>
      <c r="F31" s="32" t="n">
        <v>0</v>
      </c>
      <c r="G31" s="32" t="n">
        <v>0</v>
      </c>
      <c r="H31" s="51" t="n"/>
      <c r="I31" s="33">
        <f>IFERROR(IF((E31+F31+G31)&gt;=D31,(E31+F31+G31)/Setup!$B$10*Setup!$B$11,D31-(E31+F31+G31)),0)</f>
        <v/>
      </c>
      <c r="J31" s="33">
        <f>E31+F31+G31+I31</f>
        <v/>
      </c>
      <c r="K31" s="32" t="n"/>
      <c r="L31" s="52">
        <f>$B$6</f>
        <v/>
      </c>
      <c r="M31" s="54">
        <f>J31*(1+L31)</f>
        <v/>
      </c>
      <c r="N31" s="33">
        <f>M31-D31</f>
        <v/>
      </c>
      <c r="O31" s="34">
        <f>IFERROR(M31/D31-1,0)</f>
        <v/>
      </c>
    </row>
    <row r="32" ht="15" customHeight="1">
      <c r="A32" s="50" t="inlineStr">
        <is>
          <t>6305-0020</t>
        </is>
      </c>
      <c r="B32" s="50" t="inlineStr">
        <is>
          <t>Sewer Charges</t>
        </is>
      </c>
      <c r="C32" s="23" t="n"/>
      <c r="D32" s="51" t="n"/>
      <c r="E32" s="51" t="n"/>
      <c r="F32" s="32" t="n">
        <v>0</v>
      </c>
      <c r="G32" s="32" t="n">
        <v>0</v>
      </c>
      <c r="H32" s="51" t="n"/>
      <c r="I32" s="33">
        <f>IFERROR(IF((E32+F32+G32)&gt;=D32,(E32+F32+G32)/Setup!$B$10*Setup!$B$11,D32-(E32+F32+G32)),0)</f>
        <v/>
      </c>
      <c r="J32" s="33">
        <f>E32+F32+G32+I32</f>
        <v/>
      </c>
      <c r="K32" s="32" t="n"/>
      <c r="L32" s="52">
        <f>$B$6</f>
        <v/>
      </c>
      <c r="M32" s="54">
        <f>J32*(1+L32)</f>
        <v/>
      </c>
      <c r="N32" s="33">
        <f>M32-D32</f>
        <v/>
      </c>
      <c r="O32" s="34">
        <f>IFERROR(M32/D32-1,0)</f>
        <v/>
      </c>
    </row>
    <row r="33" ht="15" customHeight="1">
      <c r="A33" s="50" t="n"/>
      <c r="B33" s="50" t="n"/>
      <c r="C33" s="23" t="n"/>
      <c r="D33" s="51" t="n">
        <v>0</v>
      </c>
      <c r="E33" s="51" t="n">
        <v>0</v>
      </c>
      <c r="F33" s="32" t="n">
        <v>0</v>
      </c>
      <c r="G33" s="32" t="n">
        <v>0</v>
      </c>
      <c r="H33" s="51" t="n">
        <v>0</v>
      </c>
      <c r="I33" s="33">
        <f>IFERROR(D33-(E33+F33+G33),0)</f>
        <v/>
      </c>
      <c r="J33" s="33">
        <f>E33+F33+G33+I33</f>
        <v/>
      </c>
      <c r="K33" s="52" t="n"/>
      <c r="L33" s="52" t="n">
        <v>0</v>
      </c>
      <c r="M33" s="54">
        <f>J33*(1+L33)</f>
        <v/>
      </c>
      <c r="N33" s="33">
        <f>M33-D33</f>
        <v/>
      </c>
      <c r="O33" s="34">
        <f>IFERROR(M33/D33-1,0)</f>
        <v/>
      </c>
    </row>
    <row r="34" ht="15" customHeight="1">
      <c r="A34" s="50" t="n"/>
      <c r="B34" s="50" t="n"/>
      <c r="C34" s="23" t="n"/>
      <c r="D34" s="51" t="n">
        <v>0</v>
      </c>
      <c r="E34" s="51" t="n">
        <v>0</v>
      </c>
      <c r="F34" s="32" t="n">
        <v>0</v>
      </c>
      <c r="G34" s="32" t="n">
        <v>0</v>
      </c>
      <c r="H34" s="51" t="n">
        <v>0</v>
      </c>
      <c r="I34" s="33">
        <f>IFERROR(D34-(E34+F34+G34),0)</f>
        <v/>
      </c>
      <c r="J34" s="33">
        <f>E34+F34+G34+I34</f>
        <v/>
      </c>
      <c r="K34" s="52" t="n"/>
      <c r="L34" s="52" t="n">
        <v>0</v>
      </c>
      <c r="M34" s="54">
        <f>J34*(1+L34)</f>
        <v/>
      </c>
      <c r="N34" s="33">
        <f>M34-D34</f>
        <v/>
      </c>
      <c r="O34" s="34">
        <f>IFERROR(M34/D34-1,0)</f>
        <v/>
      </c>
    </row>
    <row r="35" ht="15" customHeight="1">
      <c r="A35" s="50" t="n"/>
      <c r="B35" s="50" t="n"/>
      <c r="C35" s="23" t="n"/>
      <c r="D35" s="51" t="n">
        <v>0</v>
      </c>
      <c r="E35" s="51" t="n">
        <v>0</v>
      </c>
      <c r="F35" s="32" t="n">
        <v>0</v>
      </c>
      <c r="G35" s="32" t="n">
        <v>0</v>
      </c>
      <c r="H35" s="51" t="n">
        <v>0</v>
      </c>
      <c r="I35" s="33">
        <f>IFERROR(D35-(E35+F35+G35),0)</f>
        <v/>
      </c>
      <c r="J35" s="33">
        <f>E35+F35+G35+I35</f>
        <v/>
      </c>
      <c r="K35" s="52" t="n"/>
      <c r="L35" s="52" t="n">
        <v>0</v>
      </c>
      <c r="M35" s="54">
        <f>J35*(1+L35)</f>
        <v/>
      </c>
      <c r="N35" s="33">
        <f>M35-D35</f>
        <v/>
      </c>
      <c r="O35" s="34">
        <f>IFERROR(M35/D35-1,0)</f>
        <v/>
      </c>
    </row>
    <row r="36" ht="15" customHeight="1">
      <c r="A36" s="35" t="n"/>
      <c r="B36" s="35" t="inlineStr">
        <is>
          <t>Total Water &amp; Sewer</t>
        </is>
      </c>
      <c r="C36" s="35" t="n"/>
      <c r="D36" s="36">
        <f>SUM(D30:D35)</f>
        <v/>
      </c>
      <c r="E36" s="36">
        <f>SUM(E30:E35)</f>
        <v/>
      </c>
      <c r="F36" s="36">
        <f>SUM(F30:F35)</f>
        <v/>
      </c>
      <c r="G36" s="36">
        <f>SUM(G30:G35)</f>
        <v/>
      </c>
      <c r="H36" s="36">
        <f>SUM(H30:H35)</f>
        <v/>
      </c>
      <c r="I36" s="36">
        <f>SUM(I30:I35)</f>
        <v/>
      </c>
      <c r="J36" s="36">
        <f>SUM(J30:J35)</f>
        <v/>
      </c>
      <c r="K36" s="35">
        <f>SUM(K30:K35)</f>
        <v/>
      </c>
      <c r="L36" s="35" t="n"/>
      <c r="M36" s="36">
        <f>SUM(M30:M35)</f>
        <v/>
      </c>
      <c r="N36" s="36">
        <f>SUM(N30:N35)</f>
        <v/>
      </c>
      <c r="O36" s="37">
        <f>IFERROR(M36/D36-1,0)</f>
        <v/>
      </c>
    </row>
    <row r="38" ht="15" customHeight="1">
      <c r="A38" s="55" t="n"/>
      <c r="B38" s="55" t="inlineStr">
        <is>
          <t>TOTAL WATER &amp; SEWER</t>
        </is>
      </c>
      <c r="C38" s="56" t="n"/>
      <c r="D38" s="57">
        <f>D36</f>
        <v/>
      </c>
      <c r="E38" s="57">
        <f>E36</f>
        <v/>
      </c>
      <c r="F38" s="57">
        <f>F36</f>
        <v/>
      </c>
      <c r="G38" s="57">
        <f>G36</f>
        <v/>
      </c>
      <c r="H38" s="57">
        <f>H36</f>
        <v/>
      </c>
      <c r="I38" s="57">
        <f>I36</f>
        <v/>
      </c>
      <c r="J38" s="57">
        <f>J36</f>
        <v/>
      </c>
      <c r="K38" s="56" t="n"/>
      <c r="L38" s="56" t="n"/>
      <c r="M38" s="57">
        <f>M36</f>
        <v/>
      </c>
      <c r="N38" s="57">
        <f>N36</f>
        <v/>
      </c>
      <c r="O38" s="58">
        <f>IFERROR(M38/D38-1,0)</f>
        <v/>
      </c>
    </row>
  </sheetData>
  <mergeCells count="5">
    <mergeCell ref="A9:G9"/>
    <mergeCell ref="A2:N2"/>
    <mergeCell ref="A29:N29"/>
    <mergeCell ref="A5:G5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1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Repairs &amp; Supplies — Budget Year</t>
        </is>
      </c>
    </row>
    <row r="3" ht="15" customHeight="1">
      <c r="A3" s="29">
        <f>Setup!B4</f>
        <v/>
      </c>
    </row>
    <row r="4">
      <c r="K4" t="inlineStr">
        <is>
          <t>Current Year
Budget</t>
        </is>
      </c>
    </row>
    <row r="5" ht="23.25" customHeight="1">
      <c r="A5" s="30" t="inlineStr">
        <is>
          <t>GL Code</t>
        </is>
      </c>
      <c r="B5" s="30" t="inlineStr">
        <is>
          <t>Description</t>
        </is>
      </c>
      <c r="C5" s="30" t="inlineStr">
        <is>
          <t>Notes</t>
        </is>
      </c>
      <c r="D5" s="30" t="inlineStr">
        <is>
          <t>Prior Year
Actual</t>
        </is>
      </c>
      <c r="E5" s="30" t="inlineStr">
        <is>
          <t>YTD Actual</t>
        </is>
      </c>
      <c r="F5" s="30" t="inlineStr">
        <is>
          <t>Accrual
Adj</t>
        </is>
      </c>
      <c r="G5" s="30" t="inlineStr">
        <is>
          <t>Unpaid
Bills</t>
        </is>
      </c>
      <c r="H5" s="30" t="inlineStr">
        <is>
          <t>YTD Budget</t>
        </is>
      </c>
      <c r="I5" s="30" t="inlineStr">
        <is>
          <t>Sep-Dec
Estimate</t>
        </is>
      </c>
      <c r="J5" s="30" t="inlineStr">
        <is>
          <t>12 Month
Forecast</t>
        </is>
      </c>
      <c r="K5" s="30" t="inlineStr">
        <is>
          <t>Yardi</t>
        </is>
      </c>
      <c r="L5" s="30" t="inlineStr">
        <is>
          <t>Increase %</t>
        </is>
      </c>
      <c r="M5" s="30" t="inlineStr">
        <is>
          <t>Proposed
Budget</t>
        </is>
      </c>
      <c r="N5" s="30" t="inlineStr">
        <is>
          <t>$ Variance</t>
        </is>
      </c>
      <c r="O5" s="30" t="inlineStr">
        <is>
          <t>% Change</t>
        </is>
      </c>
    </row>
    <row r="6" ht="15" customHeight="1">
      <c r="A6" s="49" t="inlineStr">
        <is>
          <t>Yardi</t>
        </is>
      </c>
      <c r="B6" s="49" t="inlineStr">
        <is>
          <t>Yardi</t>
        </is>
      </c>
      <c r="C6" s="49" t="inlineStr">
        <is>
          <t>Input</t>
        </is>
      </c>
      <c r="D6" s="49" t="inlineStr">
        <is>
          <t>Yardi</t>
        </is>
      </c>
      <c r="E6" s="49" t="inlineStr">
        <is>
          <t>Yardi</t>
        </is>
      </c>
      <c r="F6" s="49" t="inlineStr">
        <is>
          <t>Input</t>
        </is>
      </c>
      <c r="G6" s="49" t="inlineStr">
        <is>
          <t>Input</t>
        </is>
      </c>
      <c r="H6" s="49" t="inlineStr">
        <is>
          <t>Yardi</t>
        </is>
      </c>
      <c r="I6" s="49" t="inlineStr">
        <is>
          <t>Formula</t>
        </is>
      </c>
      <c r="J6" s="49" t="inlineStr">
        <is>
          <t>Formula</t>
        </is>
      </c>
      <c r="K6" s="49" t="n"/>
      <c r="L6" s="49" t="inlineStr">
        <is>
          <t>Input</t>
        </is>
      </c>
      <c r="M6" s="49" t="inlineStr">
        <is>
          <t>Formula</t>
        </is>
      </c>
      <c r="N6" s="49" t="inlineStr">
        <is>
          <t>Formula</t>
        </is>
      </c>
      <c r="O6" s="49" t="inlineStr">
        <is>
          <t>Formula</t>
        </is>
      </c>
    </row>
    <row r="7" ht="15" customHeight="1">
      <c r="A7" s="7" t="inlineStr">
        <is>
          <t>Supplies</t>
        </is>
      </c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2" t="n"/>
    </row>
    <row r="8" ht="15" customHeight="1">
      <c r="A8" s="50" t="inlineStr">
        <is>
          <t>5406-0000</t>
        </is>
      </c>
      <c r="B8" s="50" t="inlineStr">
        <is>
          <t>Supplies &amp; Hardware</t>
        </is>
      </c>
      <c r="C8" s="23" t="n"/>
      <c r="D8" s="51" t="n"/>
      <c r="E8" s="51" t="n"/>
      <c r="F8" s="32" t="n">
        <v>0</v>
      </c>
      <c r="G8" s="32" t="n">
        <v>0</v>
      </c>
      <c r="H8" s="51" t="n"/>
      <c r="I8" s="33">
        <f>IFERROR(IF((E8+F8+G8)&gt;=D8,(E8+F8+G8)/Setup!$B$10*Setup!$B$11,D8-(E8+F8+G8)),0)</f>
        <v/>
      </c>
      <c r="J8" s="33">
        <f>E8+F8+G8+I8</f>
        <v/>
      </c>
      <c r="K8" s="32" t="n"/>
      <c r="L8" s="52" t="n">
        <v>0</v>
      </c>
      <c r="M8" s="54">
        <f>J8*(1+L8)</f>
        <v/>
      </c>
      <c r="N8" s="33">
        <f>M8-D8</f>
        <v/>
      </c>
      <c r="O8" s="34">
        <f>IFERROR(M8/D8-1,0)</f>
        <v/>
      </c>
    </row>
    <row r="9" ht="15" customHeight="1">
      <c r="A9" s="50" t="n"/>
      <c r="B9" s="50" t="n"/>
      <c r="C9" s="23" t="n"/>
      <c r="D9" s="51" t="n">
        <v>0</v>
      </c>
      <c r="E9" s="51" t="n">
        <v>0</v>
      </c>
      <c r="F9" s="32" t="n">
        <v>0</v>
      </c>
      <c r="G9" s="32" t="n">
        <v>0</v>
      </c>
      <c r="H9" s="51" t="n">
        <v>0</v>
      </c>
      <c r="I9" s="33">
        <f>IFERROR(D9-(E9+F9+G9),0)</f>
        <v/>
      </c>
      <c r="J9" s="33">
        <f>E9+F9+G9+I9</f>
        <v/>
      </c>
      <c r="K9" s="52" t="n"/>
      <c r="L9" s="52" t="n">
        <v>0</v>
      </c>
      <c r="M9" s="54">
        <f>J9*(1+L9)</f>
        <v/>
      </c>
      <c r="N9" s="33">
        <f>M9-D9</f>
        <v/>
      </c>
      <c r="O9" s="34">
        <f>IFERROR(M9/D9-1,0)</f>
        <v/>
      </c>
    </row>
    <row r="10" ht="15" customHeight="1">
      <c r="A10" s="50" t="n"/>
      <c r="B10" s="50" t="n"/>
      <c r="C10" s="23" t="n"/>
      <c r="D10" s="51" t="n">
        <v>0</v>
      </c>
      <c r="E10" s="51" t="n">
        <v>0</v>
      </c>
      <c r="F10" s="32" t="n">
        <v>0</v>
      </c>
      <c r="G10" s="32" t="n">
        <v>0</v>
      </c>
      <c r="H10" s="51" t="n">
        <v>0</v>
      </c>
      <c r="I10" s="33">
        <f>IFERROR(D10-(E10+F10+G10),0)</f>
        <v/>
      </c>
      <c r="J10" s="33">
        <f>E10+F10+G10+I10</f>
        <v/>
      </c>
      <c r="K10" s="52" t="n"/>
      <c r="L10" s="52" t="n">
        <v>0</v>
      </c>
      <c r="M10" s="54">
        <f>J10*(1+L10)</f>
        <v/>
      </c>
      <c r="N10" s="33">
        <f>M10-D10</f>
        <v/>
      </c>
      <c r="O10" s="34">
        <f>IFERROR(M10/D10-1,0)</f>
        <v/>
      </c>
    </row>
    <row r="11" ht="15" customHeight="1">
      <c r="A11" s="50" t="n"/>
      <c r="B11" s="50" t="n"/>
      <c r="C11" s="23" t="n"/>
      <c r="D11" s="51" t="n">
        <v>0</v>
      </c>
      <c r="E11" s="51" t="n">
        <v>0</v>
      </c>
      <c r="F11" s="32" t="n">
        <v>0</v>
      </c>
      <c r="G11" s="32" t="n">
        <v>0</v>
      </c>
      <c r="H11" s="51" t="n">
        <v>0</v>
      </c>
      <c r="I11" s="33">
        <f>IFERROR(D11-(E11+F11+G11),0)</f>
        <v/>
      </c>
      <c r="J11" s="33">
        <f>E11+F11+G11+I11</f>
        <v/>
      </c>
      <c r="K11" s="52" t="n"/>
      <c r="L11" s="52" t="n">
        <v>0</v>
      </c>
      <c r="M11" s="54">
        <f>J11*(1+L11)</f>
        <v/>
      </c>
      <c r="N11" s="33">
        <f>M11-D11</f>
        <v/>
      </c>
      <c r="O11" s="34">
        <f>IFERROR(M11/D11-1,0)</f>
        <v/>
      </c>
    </row>
    <row r="12" ht="15" customHeight="1">
      <c r="A12" s="35" t="n"/>
      <c r="B12" s="35" t="inlineStr">
        <is>
          <t>Total Supplies</t>
        </is>
      </c>
      <c r="C12" s="35" t="n"/>
      <c r="D12" s="36">
        <f>SUM(D8:D11)</f>
        <v/>
      </c>
      <c r="E12" s="36">
        <f>SUM(E8:E11)</f>
        <v/>
      </c>
      <c r="F12" s="36">
        <f>SUM(F8:F11)</f>
        <v/>
      </c>
      <c r="G12" s="36">
        <f>SUM(G8:G11)</f>
        <v/>
      </c>
      <c r="H12" s="36">
        <f>SUM(H8:H11)</f>
        <v/>
      </c>
      <c r="I12" s="36">
        <f>SUM(I8:I11)</f>
        <v/>
      </c>
      <c r="J12" s="36">
        <f>SUM(J8:J11)</f>
        <v/>
      </c>
      <c r="K12" s="35">
        <f>SUM(K8:K11)</f>
        <v/>
      </c>
      <c r="L12" s="35" t="n"/>
      <c r="M12" s="36">
        <f>SUM(M8:M11)</f>
        <v/>
      </c>
      <c r="N12" s="36">
        <f>SUM(N8:N11)</f>
        <v/>
      </c>
      <c r="O12" s="37">
        <f>IFERROR(M12/D12-1,0)</f>
        <v/>
      </c>
    </row>
    <row r="13">
      <c r="A13" t="inlineStr">
        <is>
          <t>5445-0000</t>
        </is>
      </c>
      <c r="B13" t="inlineStr">
        <is>
          <t>Uniforms Purchased</t>
        </is>
      </c>
    </row>
    <row r="14" ht="15" customHeight="1">
      <c r="A14" s="7" t="inlineStr">
        <is>
          <t>Repairs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2" t="n"/>
    </row>
    <row r="15" ht="15" customHeight="1">
      <c r="A15" s="50" t="inlineStr">
        <is>
          <t>5606-0000</t>
        </is>
      </c>
      <c r="B15" s="50" t="inlineStr">
        <is>
          <t>Insurance Repairs</t>
        </is>
      </c>
      <c r="C15" s="23" t="n"/>
      <c r="D15" s="51" t="n"/>
      <c r="E15" s="51" t="n"/>
      <c r="F15" s="32" t="n">
        <v>0</v>
      </c>
      <c r="G15" s="32" t="n">
        <v>0</v>
      </c>
      <c r="H15" s="51" t="n"/>
      <c r="I15" s="33">
        <f>IFERROR(IF((E15+F15+G15)&gt;=D15,(E15+F15+G15)/Setup!$B$10*Setup!$B$11,D15-(E15+F15+G15)),0)</f>
        <v/>
      </c>
      <c r="J15" s="33">
        <f>E15+F15+G15+I15</f>
        <v/>
      </c>
      <c r="K15" s="32" t="n"/>
      <c r="L15" s="52" t="n">
        <v>0</v>
      </c>
      <c r="M15" s="54">
        <f>J15*(1+L15)</f>
        <v/>
      </c>
      <c r="N15" s="33">
        <f>M15-D15</f>
        <v/>
      </c>
      <c r="O15" s="34">
        <f>IFERROR(M15/D15-1,0)</f>
        <v/>
      </c>
    </row>
    <row r="16" ht="15" customHeight="1">
      <c r="A16" s="50" t="inlineStr">
        <is>
          <t>5609-0000</t>
        </is>
      </c>
      <c r="B16" s="50" t="inlineStr">
        <is>
          <t>Appliance Repairs</t>
        </is>
      </c>
      <c r="C16" s="23" t="n"/>
      <c r="D16" s="51" t="n"/>
      <c r="E16" s="51" t="n"/>
      <c r="F16" s="32" t="n">
        <v>0</v>
      </c>
      <c r="G16" s="32" t="n">
        <v>0</v>
      </c>
      <c r="H16" s="51" t="n"/>
      <c r="I16" s="33">
        <f>IFERROR(IF((E16+F16+G16)&gt;=D16,(E16+F16+G16)/Setup!$B$10*Setup!$B$11,D16-(E16+F16+G16)),0)</f>
        <v/>
      </c>
      <c r="J16" s="33">
        <f>E16+F16+G16+I16</f>
        <v/>
      </c>
      <c r="K16" s="32" t="n"/>
      <c r="L16" s="52" t="n">
        <v>0</v>
      </c>
      <c r="M16" s="54">
        <f>J16*(1+L16)</f>
        <v/>
      </c>
      <c r="N16" s="33">
        <f>M16-D16</f>
        <v/>
      </c>
      <c r="O16" s="34">
        <f>IFERROR(M16/D16-1,0)</f>
        <v/>
      </c>
    </row>
    <row r="17" ht="15" customHeight="1">
      <c r="A17" s="50" t="inlineStr">
        <is>
          <t>5621-0000</t>
        </is>
      </c>
      <c r="B17" s="50" t="inlineStr">
        <is>
          <t>Equipment Repairs</t>
        </is>
      </c>
      <c r="C17" s="23" t="n"/>
      <c r="D17" s="51" t="n"/>
      <c r="E17" s="51" t="n"/>
      <c r="F17" s="32" t="n">
        <v>0</v>
      </c>
      <c r="G17" s="32" t="n">
        <v>0</v>
      </c>
      <c r="H17" s="51" t="n"/>
      <c r="I17" s="33">
        <f>IFERROR(IF((E17+F17+G17)&gt;=D17,(E17+F17+G17)/Setup!$B$10*Setup!$B$11,D17-(E17+F17+G17)),0)</f>
        <v/>
      </c>
      <c r="J17" s="33">
        <f>E17+F17+G17+I17</f>
        <v/>
      </c>
      <c r="K17" s="32" t="n"/>
      <c r="L17" s="52" t="n">
        <v>0</v>
      </c>
      <c r="M17" s="54">
        <f>J17*(1+L17)</f>
        <v/>
      </c>
      <c r="N17" s="33">
        <f>M17-D17</f>
        <v/>
      </c>
      <c r="O17" s="34">
        <f>IFERROR(M17/D17-1,0)</f>
        <v/>
      </c>
    </row>
    <row r="18" ht="15" customHeight="1">
      <c r="A18" s="50" t="inlineStr">
        <is>
          <t>5622-0000</t>
        </is>
      </c>
      <c r="B18" s="50" t="inlineStr">
        <is>
          <t>HVAC Repairs</t>
        </is>
      </c>
      <c r="C18" s="23" t="n"/>
      <c r="D18" s="51" t="n"/>
      <c r="E18" s="51" t="n"/>
      <c r="F18" s="32" t="n">
        <v>0</v>
      </c>
      <c r="G18" s="32" t="n">
        <v>0</v>
      </c>
      <c r="H18" s="51" t="n"/>
      <c r="I18" s="33">
        <f>IFERROR(IF((E18+F18+G18)&gt;=D18,(E18+F18+G18)/Setup!$B$10*Setup!$B$11,D18-(E18+F18+G18)),0)</f>
        <v/>
      </c>
      <c r="J18" s="33">
        <f>E18+F18+G18+I18</f>
        <v/>
      </c>
      <c r="K18" s="32" t="n"/>
      <c r="L18" s="52" t="n">
        <v>0</v>
      </c>
      <c r="M18" s="54">
        <f>J18*(1+L18)</f>
        <v/>
      </c>
      <c r="N18" s="33">
        <f>M18-D18</f>
        <v/>
      </c>
      <c r="O18" s="34">
        <f>IFERROR(M18/D18-1,0)</f>
        <v/>
      </c>
    </row>
    <row r="19" ht="15" customHeight="1">
      <c r="A19" s="50" t="inlineStr">
        <is>
          <t>5624-0000</t>
        </is>
      </c>
      <c r="B19" s="50" t="inlineStr">
        <is>
          <t>Heating Repairs</t>
        </is>
      </c>
      <c r="C19" s="23" t="n"/>
      <c r="D19" s="51" t="n"/>
      <c r="E19" s="51" t="n"/>
      <c r="F19" s="32" t="n">
        <v>0</v>
      </c>
      <c r="G19" s="32" t="n">
        <v>0</v>
      </c>
      <c r="H19" s="51" t="n"/>
      <c r="I19" s="33">
        <f>IFERROR(IF((E19+F19+G19)&gt;=D19,(E19+F19+G19)/Setup!$B$10*Setup!$B$11,D19-(E19+F19+G19)),0)</f>
        <v/>
      </c>
      <c r="J19" s="33">
        <f>E19+F19+G19+I19</f>
        <v/>
      </c>
      <c r="K19" s="32" t="n"/>
      <c r="L19" s="52" t="n">
        <v>0</v>
      </c>
      <c r="M19" s="54">
        <f>J19*(1+L19)</f>
        <v/>
      </c>
      <c r="N19" s="33">
        <f>M19-D19</f>
        <v/>
      </c>
      <c r="O19" s="34">
        <f>IFERROR(M19/D19-1,0)</f>
        <v/>
      </c>
    </row>
    <row r="20" ht="15" customHeight="1">
      <c r="A20" s="50" t="inlineStr">
        <is>
          <t>5627-0000</t>
        </is>
      </c>
      <c r="B20" s="50" t="inlineStr">
        <is>
          <t>Boiler/Burner Repairs</t>
        </is>
      </c>
      <c r="C20" s="23" t="n"/>
      <c r="D20" s="51" t="n"/>
      <c r="E20" s="51" t="n"/>
      <c r="F20" s="32" t="n">
        <v>0</v>
      </c>
      <c r="G20" s="32" t="n">
        <v>0</v>
      </c>
      <c r="H20" s="51" t="n"/>
      <c r="I20" s="33">
        <f>IFERROR(IF((E20+F20+G20)&gt;=D20,(E20+F20+G20)/Setup!$B$10*Setup!$B$11,D20-(E20+F20+G20)),0)</f>
        <v/>
      </c>
      <c r="J20" s="33">
        <f>E20+F20+G20+I20</f>
        <v/>
      </c>
      <c r="K20" s="32" t="n"/>
      <c r="L20" s="52" t="n">
        <v>0</v>
      </c>
      <c r="M20" s="54">
        <f>J20*(1+L20)</f>
        <v/>
      </c>
      <c r="N20" s="33">
        <f>M20-D20</f>
        <v/>
      </c>
      <c r="O20" s="34">
        <f>IFERROR(M20/D20-1,0)</f>
        <v/>
      </c>
    </row>
    <row r="21" ht="15" customHeight="1">
      <c r="A21" s="50" t="inlineStr">
        <is>
          <t>5630-0000</t>
        </is>
      </c>
      <c r="B21" s="50" t="inlineStr">
        <is>
          <t>Plumbing Repairs</t>
        </is>
      </c>
      <c r="C21" s="23" t="n"/>
      <c r="D21" s="51" t="n"/>
      <c r="E21" s="51" t="n"/>
      <c r="F21" s="32" t="n">
        <v>0</v>
      </c>
      <c r="G21" s="32" t="n">
        <v>0</v>
      </c>
      <c r="H21" s="51" t="n"/>
      <c r="I21" s="33">
        <f>IFERROR(IF((E21+F21+G21)&gt;=D21,(E21+F21+G21)/Setup!$B$10*Setup!$B$11,D21-(E21+F21+G21)),0)</f>
        <v/>
      </c>
      <c r="J21" s="33">
        <f>E21+F21+G21+I21</f>
        <v/>
      </c>
      <c r="K21" s="32" t="n"/>
      <c r="L21" s="52" t="n">
        <v>0</v>
      </c>
      <c r="M21" s="54">
        <f>J21*(1+L21)</f>
        <v/>
      </c>
      <c r="N21" s="33">
        <f>M21-D21</f>
        <v/>
      </c>
      <c r="O21" s="34">
        <f>IFERROR(M21/D21-1,0)</f>
        <v/>
      </c>
    </row>
    <row r="22" ht="15" customHeight="1">
      <c r="A22" s="50" t="inlineStr">
        <is>
          <t>5630-0001</t>
        </is>
      </c>
      <c r="B22" s="50" t="inlineStr">
        <is>
          <t>Pump/Motor Repair</t>
        </is>
      </c>
      <c r="C22" s="23" t="n"/>
      <c r="D22" s="51" t="n"/>
      <c r="E22" s="51" t="n"/>
      <c r="F22" s="32" t="n">
        <v>0</v>
      </c>
      <c r="G22" s="32" t="n">
        <v>0</v>
      </c>
      <c r="H22" s="51" t="n"/>
      <c r="I22" s="33">
        <f>IFERROR(IF((E22+F22+G22)&gt;=D22,(E22+F22+G22)/Setup!$B$10*Setup!$B$11,D22-(E22+F22+G22)),0)</f>
        <v/>
      </c>
      <c r="J22" s="33">
        <f>E22+F22+G22+I22</f>
        <v/>
      </c>
      <c r="K22" s="32" t="n"/>
      <c r="L22" s="52" t="n">
        <v>0</v>
      </c>
      <c r="M22" s="54">
        <f>J22*(1+L22)</f>
        <v/>
      </c>
      <c r="N22" s="33">
        <f>M22-D22</f>
        <v/>
      </c>
      <c r="O22" s="34">
        <f>IFERROR(M22/D22-1,0)</f>
        <v/>
      </c>
    </row>
    <row r="23" ht="15" customHeight="1">
      <c r="A23" s="50" t="inlineStr">
        <is>
          <t>5633-0000</t>
        </is>
      </c>
      <c r="B23" s="50" t="inlineStr">
        <is>
          <t>Electrical Repairs</t>
        </is>
      </c>
      <c r="C23" s="23" t="n"/>
      <c r="D23" s="51" t="n"/>
      <c r="E23" s="51" t="n"/>
      <c r="F23" s="32" t="n">
        <v>0</v>
      </c>
      <c r="G23" s="32" t="n">
        <v>0</v>
      </c>
      <c r="H23" s="51" t="n"/>
      <c r="I23" s="33">
        <f>IFERROR(IF((E23+F23+G23)&gt;=D23,(E23+F23+G23)/Setup!$B$10*Setup!$B$11,D23-(E23+F23+G23)),0)</f>
        <v/>
      </c>
      <c r="J23" s="33">
        <f>E23+F23+G23+I23</f>
        <v/>
      </c>
      <c r="K23" s="32" t="n"/>
      <c r="L23" s="52" t="n">
        <v>0</v>
      </c>
      <c r="M23" s="54">
        <f>J23*(1+L23)</f>
        <v/>
      </c>
      <c r="N23" s="33">
        <f>M23-D23</f>
        <v/>
      </c>
      <c r="O23" s="34">
        <f>IFERROR(M23/D23-1,0)</f>
        <v/>
      </c>
    </row>
    <row r="24" ht="15" customHeight="1">
      <c r="A24" s="50" t="inlineStr">
        <is>
          <t>5636-0000</t>
        </is>
      </c>
      <c r="B24" s="50" t="inlineStr">
        <is>
          <t>Air Conditioning Repairs</t>
        </is>
      </c>
      <c r="C24" s="23" t="n"/>
      <c r="D24" s="51" t="n"/>
      <c r="E24" s="51" t="n"/>
      <c r="F24" s="32" t="n">
        <v>0</v>
      </c>
      <c r="G24" s="32" t="n">
        <v>0</v>
      </c>
      <c r="H24" s="51" t="n"/>
      <c r="I24" s="33">
        <f>IFERROR(IF((E24+F24+G24)&gt;=D24,(E24+F24+G24)/Setup!$B$10*Setup!$B$11,D24-(E24+F24+G24)),0)</f>
        <v/>
      </c>
      <c r="J24" s="33">
        <f>E24+F24+G24+I24</f>
        <v/>
      </c>
      <c r="K24" s="32" t="n"/>
      <c r="L24" s="52" t="n">
        <v>0</v>
      </c>
      <c r="M24" s="54">
        <f>J24*(1+L24)</f>
        <v/>
      </c>
      <c r="N24" s="33">
        <f>M24-D24</f>
        <v/>
      </c>
      <c r="O24" s="34">
        <f>IFERROR(M24/D24-1,0)</f>
        <v/>
      </c>
    </row>
    <row r="25" ht="15" customHeight="1">
      <c r="A25" s="50" t="inlineStr">
        <is>
          <t>5639-0000</t>
        </is>
      </c>
      <c r="B25" s="50" t="inlineStr">
        <is>
          <t>Elevator Repairs</t>
        </is>
      </c>
      <c r="C25" s="23" t="n"/>
      <c r="D25" s="51" t="n"/>
      <c r="E25" s="51" t="n"/>
      <c r="F25" s="32" t="n">
        <v>0</v>
      </c>
      <c r="G25" s="32" t="n">
        <v>0</v>
      </c>
      <c r="H25" s="51" t="n"/>
      <c r="I25" s="33">
        <f>IFERROR(IF((E25+F25+G25)&gt;=D25,(E25+F25+G25)/Setup!$B$10*Setup!$B$11,D25-(E25+F25+G25)),0)</f>
        <v/>
      </c>
      <c r="J25" s="33">
        <f>E25+F25+G25+I25</f>
        <v/>
      </c>
      <c r="K25" s="32" t="n"/>
      <c r="L25" s="52" t="n">
        <v>0</v>
      </c>
      <c r="M25" s="54">
        <f>J25*(1+L25)</f>
        <v/>
      </c>
      <c r="N25" s="33">
        <f>M25-D25</f>
        <v/>
      </c>
      <c r="O25" s="34">
        <f>IFERROR(M25/D25-1,0)</f>
        <v/>
      </c>
    </row>
    <row r="26" ht="15" customHeight="1">
      <c r="A26" s="50" t="inlineStr">
        <is>
          <t>5642-0000</t>
        </is>
      </c>
      <c r="B26" s="50" t="inlineStr">
        <is>
          <t>Compactor / Incinerator Repairs</t>
        </is>
      </c>
      <c r="C26" s="23" t="n"/>
      <c r="D26" s="51" t="n"/>
      <c r="E26" s="51" t="n"/>
      <c r="F26" s="32" t="n">
        <v>0</v>
      </c>
      <c r="G26" s="32" t="n">
        <v>0</v>
      </c>
      <c r="H26" s="51" t="n"/>
      <c r="I26" s="33">
        <f>IFERROR(IF((E26+F26+G26)&gt;=D26,(E26+F26+G26)/Setup!$B$10*Setup!$B$11,D26-(E26+F26+G26)),0)</f>
        <v/>
      </c>
      <c r="J26" s="33">
        <f>E26+F26+G26+I26</f>
        <v/>
      </c>
      <c r="K26" s="32" t="n"/>
      <c r="L26" s="52" t="n">
        <v>0</v>
      </c>
      <c r="M26" s="54">
        <f>J26*(1+L26)</f>
        <v/>
      </c>
      <c r="N26" s="33">
        <f>M26-D26</f>
        <v/>
      </c>
      <c r="O26" s="34">
        <f>IFERROR(M26/D26-1,0)</f>
        <v/>
      </c>
    </row>
    <row r="27" ht="15" customHeight="1">
      <c r="A27" s="50" t="inlineStr">
        <is>
          <t>5645-0000</t>
        </is>
      </c>
      <c r="B27" s="50" t="inlineStr">
        <is>
          <t>Window Repairs</t>
        </is>
      </c>
      <c r="C27" s="23" t="n"/>
      <c r="D27" s="51" t="n"/>
      <c r="E27" s="51" t="n"/>
      <c r="F27" s="32" t="n">
        <v>0</v>
      </c>
      <c r="G27" s="32" t="n">
        <v>0</v>
      </c>
      <c r="H27" s="51" t="n"/>
      <c r="I27" s="33">
        <f>IFERROR(IF((E27+F27+G27)&gt;=D27,(E27+F27+G27)/Setup!$B$10*Setup!$B$11,D27-(E27+F27+G27)),0)</f>
        <v/>
      </c>
      <c r="J27" s="33">
        <f>E27+F27+G27+I27</f>
        <v/>
      </c>
      <c r="K27" s="32" t="n"/>
      <c r="L27" s="52" t="n">
        <v>0</v>
      </c>
      <c r="M27" s="54">
        <f>J27*(1+L27)</f>
        <v/>
      </c>
      <c r="N27" s="33">
        <f>M27-D27</f>
        <v/>
      </c>
      <c r="O27" s="34">
        <f>IFERROR(M27/D27-1,0)</f>
        <v/>
      </c>
    </row>
    <row r="28" ht="15" customHeight="1">
      <c r="A28" s="50" t="inlineStr">
        <is>
          <t>5648-0000</t>
        </is>
      </c>
      <c r="B28" s="50" t="inlineStr">
        <is>
          <t>Floor / Carpet Repair</t>
        </is>
      </c>
      <c r="C28" s="23" t="n"/>
      <c r="D28" s="51" t="n"/>
      <c r="E28" s="51" t="n"/>
      <c r="F28" s="32" t="n">
        <v>0</v>
      </c>
      <c r="G28" s="32" t="n">
        <v>0</v>
      </c>
      <c r="H28" s="51" t="n"/>
      <c r="I28" s="33">
        <f>IFERROR(IF((E28+F28+G28)&gt;=D28,(E28+F28+G28)/Setup!$B$10*Setup!$B$11,D28-(E28+F28+G28)),0)</f>
        <v/>
      </c>
      <c r="J28" s="33">
        <f>E28+F28+G28+I28</f>
        <v/>
      </c>
      <c r="K28" s="32" t="n"/>
      <c r="L28" s="52" t="n">
        <v>0</v>
      </c>
      <c r="M28" s="54">
        <f>J28*(1+L28)</f>
        <v/>
      </c>
      <c r="N28" s="33">
        <f>M28-D28</f>
        <v/>
      </c>
      <c r="O28" s="34">
        <f>IFERROR(M28/D28-1,0)</f>
        <v/>
      </c>
    </row>
    <row r="29" ht="15" customHeight="1">
      <c r="A29" s="50" t="inlineStr">
        <is>
          <t>5657-0000</t>
        </is>
      </c>
      <c r="B29" s="50" t="inlineStr">
        <is>
          <t>Lobby Repairs</t>
        </is>
      </c>
      <c r="C29" s="23" t="n"/>
      <c r="D29" s="51" t="n"/>
      <c r="E29" s="51" t="n"/>
      <c r="F29" s="32" t="n">
        <v>0</v>
      </c>
      <c r="G29" s="32" t="n">
        <v>0</v>
      </c>
      <c r="H29" s="51" t="n"/>
      <c r="I29" s="33">
        <f>IFERROR(IF((E29+F29+G29)&gt;=D29,(E29+F29+G29)/Setup!$B$10*Setup!$B$11,D29-(E29+F29+G29)),0)</f>
        <v/>
      </c>
      <c r="J29" s="33">
        <f>E29+F29+G29+I29</f>
        <v/>
      </c>
      <c r="K29" s="32" t="n"/>
      <c r="L29" s="52" t="n">
        <v>0</v>
      </c>
      <c r="M29" s="54">
        <f>J29*(1+L29)</f>
        <v/>
      </c>
      <c r="N29" s="33">
        <f>M29-D29</f>
        <v/>
      </c>
      <c r="O29" s="34">
        <f>IFERROR(M29/D29-1,0)</f>
        <v/>
      </c>
    </row>
    <row r="30" ht="15" customHeight="1">
      <c r="A30" s="50" t="inlineStr">
        <is>
          <t>5660-0000</t>
        </is>
      </c>
      <c r="B30" s="50" t="inlineStr">
        <is>
          <t>Paint &amp; Plaster Repairs</t>
        </is>
      </c>
      <c r="C30" s="23" t="n"/>
      <c r="D30" s="51" t="n"/>
      <c r="E30" s="51" t="n"/>
      <c r="F30" s="32" t="n">
        <v>0</v>
      </c>
      <c r="G30" s="32" t="n">
        <v>0</v>
      </c>
      <c r="H30" s="51" t="n"/>
      <c r="I30" s="33">
        <f>IFERROR(IF((E30+F30+G30)&gt;=D30,(E30+F30+G30)/Setup!$B$10*Setup!$B$11,D30-(E30+F30+G30)),0)</f>
        <v/>
      </c>
      <c r="J30" s="33">
        <f>E30+F30+G30+I30</f>
        <v/>
      </c>
      <c r="K30" s="32" t="n"/>
      <c r="L30" s="52" t="n">
        <v>0</v>
      </c>
      <c r="M30" s="54">
        <f>J30*(1+L30)</f>
        <v/>
      </c>
      <c r="N30" s="33">
        <f>M30-D30</f>
        <v/>
      </c>
      <c r="O30" s="34">
        <f>IFERROR(M30/D30-1,0)</f>
        <v/>
      </c>
    </row>
    <row r="31" ht="15" customHeight="1">
      <c r="A31" s="50" t="inlineStr">
        <is>
          <t>5666-0000</t>
        </is>
      </c>
      <c r="B31" s="50" t="inlineStr">
        <is>
          <t>Door Repairs</t>
        </is>
      </c>
      <c r="C31" s="23" t="n"/>
      <c r="D31" s="51" t="n"/>
      <c r="E31" s="51" t="n"/>
      <c r="F31" s="32" t="n">
        <v>0</v>
      </c>
      <c r="G31" s="32" t="n">
        <v>0</v>
      </c>
      <c r="H31" s="51" t="n"/>
      <c r="I31" s="33">
        <f>IFERROR(IF((E31+F31+G31)&gt;=D31,(E31+F31+G31)/Setup!$B$10*Setup!$B$11,D31-(E31+F31+G31)),0)</f>
        <v/>
      </c>
      <c r="J31" s="33">
        <f>E31+F31+G31+I31</f>
        <v/>
      </c>
      <c r="K31" s="32" t="n"/>
      <c r="L31" s="52" t="n">
        <v>0</v>
      </c>
      <c r="M31" s="54">
        <f>J31*(1+L31)</f>
        <v/>
      </c>
      <c r="N31" s="33">
        <f>M31-D31</f>
        <v/>
      </c>
      <c r="O31" s="34">
        <f>IFERROR(M31/D31-1,0)</f>
        <v/>
      </c>
    </row>
    <row r="32" ht="15" customHeight="1">
      <c r="A32" s="50" t="inlineStr">
        <is>
          <t>5670-0000</t>
        </is>
      </c>
      <c r="B32" s="50" t="inlineStr">
        <is>
          <t>Intercom Repairs</t>
        </is>
      </c>
      <c r="C32" s="23" t="n"/>
      <c r="D32" s="51" t="n"/>
      <c r="E32" s="51" t="n"/>
      <c r="F32" s="32" t="n">
        <v>0</v>
      </c>
      <c r="G32" s="32" t="n">
        <v>0</v>
      </c>
      <c r="H32" s="51" t="n"/>
      <c r="I32" s="33">
        <f>IFERROR(IF((E32+F32+G32)&gt;=D32,(E32+F32+G32)/Setup!$B$10*Setup!$B$11,D32-(E32+F32+G32)),0)</f>
        <v/>
      </c>
      <c r="J32" s="33">
        <f>E32+F32+G32+I32</f>
        <v/>
      </c>
      <c r="K32" s="32" t="n"/>
      <c r="L32" s="52" t="n">
        <v>0</v>
      </c>
      <c r="M32" s="54">
        <f>J32*(1+L32)</f>
        <v/>
      </c>
      <c r="N32" s="33">
        <f>M32-D32</f>
        <v/>
      </c>
      <c r="O32" s="34">
        <f>IFERROR(M32/D32-1,0)</f>
        <v/>
      </c>
    </row>
    <row r="33" ht="15" customHeight="1">
      <c r="A33" s="50" t="inlineStr">
        <is>
          <t>5672-0000</t>
        </is>
      </c>
      <c r="B33" s="50" t="inlineStr">
        <is>
          <t>Time Recorder Repairs</t>
        </is>
      </c>
      <c r="C33" s="23" t="n"/>
      <c r="D33" s="51" t="n"/>
      <c r="E33" s="51" t="n"/>
      <c r="F33" s="32" t="n">
        <v>0</v>
      </c>
      <c r="G33" s="32" t="n">
        <v>0</v>
      </c>
      <c r="H33" s="51" t="n"/>
      <c r="I33" s="33">
        <f>IFERROR(IF((E33+F33+G33)&gt;=D33,(E33+F33+G33)/Setup!$B$10*Setup!$B$11,D33-(E33+F33+G33)),0)</f>
        <v/>
      </c>
      <c r="J33" s="33">
        <f>E33+F33+G33+I33</f>
        <v/>
      </c>
      <c r="K33" s="32" t="n"/>
      <c r="L33" s="52" t="n">
        <v>0</v>
      </c>
      <c r="M33" s="54">
        <f>J33*(1+L33)</f>
        <v/>
      </c>
      <c r="N33" s="33">
        <f>M33-D33</f>
        <v/>
      </c>
      <c r="O33" s="34">
        <f>IFERROR(M33/D33-1,0)</f>
        <v/>
      </c>
    </row>
    <row r="34" ht="15" customHeight="1">
      <c r="A34" s="50" t="inlineStr">
        <is>
          <t>5674-0000</t>
        </is>
      </c>
      <c r="B34" s="50" t="inlineStr">
        <is>
          <t>Facade/Waterproofing Repairs</t>
        </is>
      </c>
      <c r="C34" s="23" t="n"/>
      <c r="D34" s="51" t="n"/>
      <c r="E34" s="51" t="n"/>
      <c r="F34" s="32" t="n">
        <v>0</v>
      </c>
      <c r="G34" s="32" t="n">
        <v>0</v>
      </c>
      <c r="H34" s="51" t="n"/>
      <c r="I34" s="33">
        <f>IFERROR(IF((E34+F34+G34)&gt;=D34,(E34+F34+G34)/Setup!$B$10*Setup!$B$11,D34-(E34+F34+G34)),0)</f>
        <v/>
      </c>
      <c r="J34" s="33">
        <f>E34+F34+G34+I34</f>
        <v/>
      </c>
      <c r="K34" s="32" t="n"/>
      <c r="L34" s="52" t="n">
        <v>0</v>
      </c>
      <c r="M34" s="54">
        <f>J34*(1+L34)</f>
        <v/>
      </c>
      <c r="N34" s="33">
        <f>M34-D34</f>
        <v/>
      </c>
      <c r="O34" s="34">
        <f>IFERROR(M34/D34-1,0)</f>
        <v/>
      </c>
    </row>
    <row r="35" ht="15" customHeight="1">
      <c r="A35" s="50" t="inlineStr">
        <is>
          <t>5678-0000</t>
        </is>
      </c>
      <c r="B35" s="50" t="inlineStr">
        <is>
          <t>Roof Tank / Water Tank Repairs</t>
        </is>
      </c>
      <c r="C35" s="23" t="n"/>
      <c r="D35" s="51" t="n"/>
      <c r="E35" s="51" t="n"/>
      <c r="F35" s="32" t="n">
        <v>0</v>
      </c>
      <c r="G35" s="32" t="n">
        <v>0</v>
      </c>
      <c r="H35" s="51" t="n"/>
      <c r="I35" s="33">
        <f>IFERROR(IF((E35+F35+G35)&gt;=D35,(E35+F35+G35)/Setup!$B$10*Setup!$B$11,D35-(E35+F35+G35)),0)</f>
        <v/>
      </c>
      <c r="J35" s="33">
        <f>E35+F35+G35+I35</f>
        <v/>
      </c>
      <c r="K35" s="32" t="n"/>
      <c r="L35" s="52" t="n">
        <v>0</v>
      </c>
      <c r="M35" s="54">
        <f>J35*(1+L35)</f>
        <v/>
      </c>
      <c r="N35" s="33">
        <f>M35-D35</f>
        <v/>
      </c>
      <c r="O35" s="34">
        <f>IFERROR(M35/D35-1,0)</f>
        <v/>
      </c>
    </row>
    <row r="36" ht="15" customHeight="1">
      <c r="A36" s="50" t="inlineStr">
        <is>
          <t>5680-0000</t>
        </is>
      </c>
      <c r="B36" s="50" t="inlineStr">
        <is>
          <t>Roof Exhaust Repairs</t>
        </is>
      </c>
      <c r="C36" s="23" t="n"/>
      <c r="D36" s="51" t="n"/>
      <c r="E36" s="51" t="n"/>
      <c r="F36" s="32" t="n">
        <v>0</v>
      </c>
      <c r="G36" s="32" t="n">
        <v>0</v>
      </c>
      <c r="H36" s="51" t="n"/>
      <c r="I36" s="33">
        <f>IFERROR(IF((E36+F36+G36)&gt;=D36,(E36+F36+G36)/Setup!$B$10*Setup!$B$11,D36-(E36+F36+G36)),0)</f>
        <v/>
      </c>
      <c r="J36" s="33">
        <f>E36+F36+G36+I36</f>
        <v/>
      </c>
      <c r="K36" s="32" t="n"/>
      <c r="L36" s="52" t="n">
        <v>0</v>
      </c>
      <c r="M36" s="54">
        <f>J36*(1+L36)</f>
        <v/>
      </c>
      <c r="N36" s="33">
        <f>M36-D36</f>
        <v/>
      </c>
      <c r="O36" s="34">
        <f>IFERROR(M36/D36-1,0)</f>
        <v/>
      </c>
    </row>
    <row r="37" ht="15" customHeight="1">
      <c r="A37" s="50" t="inlineStr">
        <is>
          <t>5682-0000</t>
        </is>
      </c>
      <c r="B37" s="50" t="inlineStr">
        <is>
          <t>Sprinkler System Repairs</t>
        </is>
      </c>
      <c r="C37" s="23" t="n"/>
      <c r="D37" s="51" t="n"/>
      <c r="E37" s="51" t="n"/>
      <c r="F37" s="32" t="n">
        <v>0</v>
      </c>
      <c r="G37" s="32" t="n">
        <v>0</v>
      </c>
      <c r="H37" s="51" t="n"/>
      <c r="I37" s="33">
        <f>IFERROR(IF((E37+F37+G37)&gt;=D37,(E37+F37+G37)/Setup!$B$10*Setup!$B$11,D37-(E37+F37+G37)),0)</f>
        <v/>
      </c>
      <c r="J37" s="33">
        <f>E37+F37+G37+I37</f>
        <v/>
      </c>
      <c r="K37" s="32" t="n"/>
      <c r="L37" s="52" t="n">
        <v>0</v>
      </c>
      <c r="M37" s="54">
        <f>J37*(1+L37)</f>
        <v/>
      </c>
      <c r="N37" s="33">
        <f>M37-D37</f>
        <v/>
      </c>
      <c r="O37" s="34">
        <f>IFERROR(M37/D37-1,0)</f>
        <v/>
      </c>
    </row>
    <row r="38" ht="15" customHeight="1">
      <c r="A38" s="50" t="inlineStr">
        <is>
          <t>5692-0000</t>
        </is>
      </c>
      <c r="B38" s="50" t="inlineStr">
        <is>
          <t>Fitness Equipment Repair</t>
        </is>
      </c>
      <c r="C38" s="23" t="n"/>
      <c r="D38" s="51" t="n"/>
      <c r="E38" s="51" t="n"/>
      <c r="F38" s="32" t="n">
        <v>0</v>
      </c>
      <c r="G38" s="32" t="n">
        <v>0</v>
      </c>
      <c r="H38" s="51" t="n"/>
      <c r="I38" s="33">
        <f>IFERROR(IF((E38+F38+G38)&gt;=D38,(E38+F38+G38)/Setup!$B$10*Setup!$B$11,D38-(E38+F38+G38)),0)</f>
        <v/>
      </c>
      <c r="J38" s="33">
        <f>E38+F38+G38+I38</f>
        <v/>
      </c>
      <c r="K38" s="32" t="n"/>
      <c r="L38" s="52" t="n">
        <v>0</v>
      </c>
      <c r="M38" s="54">
        <f>J38*(1+L38)</f>
        <v/>
      </c>
      <c r="N38" s="33">
        <f>M38-D38</f>
        <v/>
      </c>
      <c r="O38" s="34">
        <f>IFERROR(M38/D38-1,0)</f>
        <v/>
      </c>
    </row>
    <row r="39" ht="15" customHeight="1">
      <c r="A39" s="50" t="inlineStr">
        <is>
          <t>5695-0000</t>
        </is>
      </c>
      <c r="B39" s="50" t="inlineStr">
        <is>
          <t>Other Building Repairs</t>
        </is>
      </c>
      <c r="C39" s="23" t="n"/>
      <c r="D39" s="51" t="n"/>
      <c r="E39" s="51" t="n"/>
      <c r="F39" s="32" t="n">
        <v>0</v>
      </c>
      <c r="G39" s="32" t="n">
        <v>0</v>
      </c>
      <c r="H39" s="51" t="n"/>
      <c r="I39" s="33">
        <f>IFERROR(IF((E39+F39+G39)&gt;=D39,(E39+F39+G39)/Setup!$B$10*Setup!$B$11,D39-(E39+F39+G39)),0)</f>
        <v/>
      </c>
      <c r="J39" s="33">
        <f>E39+F39+G39+I39</f>
        <v/>
      </c>
      <c r="K39" s="32" t="n"/>
      <c r="L39" s="52" t="n">
        <v>0</v>
      </c>
      <c r="M39" s="54">
        <f>J39*(1+L39)</f>
        <v/>
      </c>
      <c r="N39" s="33">
        <f>M39-D39</f>
        <v/>
      </c>
      <c r="O39" s="34">
        <f>IFERROR(M39/D39-1,0)</f>
        <v/>
      </c>
    </row>
    <row r="40" ht="15" customHeight="1">
      <c r="A40" s="50" t="inlineStr">
        <is>
          <t>5603-0000</t>
        </is>
      </c>
      <c r="B40" s="50" t="inlineStr">
        <is>
          <t>Apartment Repairs</t>
        </is>
      </c>
      <c r="C40" s="23" t="n"/>
      <c r="D40" s="51" t="n"/>
      <c r="E40" s="51" t="n"/>
      <c r="F40" s="32" t="n">
        <v>0</v>
      </c>
      <c r="G40" s="32" t="n">
        <v>0</v>
      </c>
      <c r="H40" s="51" t="n"/>
      <c r="I40" s="33">
        <f>IFERROR(IF((E40+F40+G40)&gt;=D40,(E40+F40+G40)/Setup!$B$10*Setup!$B$11,D40-(E40+F40+G40)),0)</f>
        <v/>
      </c>
      <c r="J40" s="33">
        <f>E40+F40+G40+I40</f>
        <v/>
      </c>
      <c r="K40" s="32" t="n"/>
      <c r="L40" s="52" t="n">
        <v>0</v>
      </c>
      <c r="M40" s="54">
        <f>J40*(1+L40)</f>
        <v/>
      </c>
      <c r="N40" s="33">
        <f>M40-D40</f>
        <v/>
      </c>
      <c r="O40" s="34">
        <f>IFERROR(M40/D40-1,0)</f>
        <v/>
      </c>
    </row>
    <row r="41" ht="15" customHeight="1">
      <c r="A41" s="50" t="inlineStr">
        <is>
          <t>5668-0000</t>
        </is>
      </c>
      <c r="B41" s="50" t="inlineStr">
        <is>
          <t>Canopy Repairs</t>
        </is>
      </c>
      <c r="C41" s="23" t="n"/>
      <c r="D41" s="51" t="n">
        <v>0</v>
      </c>
      <c r="E41" s="51" t="n">
        <v>0</v>
      </c>
      <c r="F41" s="32" t="n">
        <v>0</v>
      </c>
      <c r="G41" s="32" t="n">
        <v>0</v>
      </c>
      <c r="H41" s="51" t="n">
        <v>0</v>
      </c>
      <c r="I41" s="33">
        <f>IFERROR(D41-(E41+F41+G41),0)</f>
        <v/>
      </c>
      <c r="J41" s="33">
        <f>E41+F41+G41+I41</f>
        <v/>
      </c>
      <c r="K41" s="52" t="n"/>
      <c r="L41" s="52" t="n">
        <v>0</v>
      </c>
      <c r="M41" s="54">
        <f>J41*(1+L41)</f>
        <v/>
      </c>
      <c r="N41" s="33">
        <f>M41-D41</f>
        <v/>
      </c>
      <c r="O41" s="34">
        <f>IFERROR(M41/D41-1,0)</f>
        <v/>
      </c>
    </row>
    <row r="42" ht="15" customHeight="1">
      <c r="A42" s="50" t="inlineStr">
        <is>
          <t>5684-0000</t>
        </is>
      </c>
      <c r="B42" s="50" t="inlineStr">
        <is>
          <t>Sidewalk Concrete Repairs</t>
        </is>
      </c>
      <c r="C42" s="23" t="n"/>
      <c r="D42" s="51" t="n">
        <v>0</v>
      </c>
      <c r="E42" s="51" t="n">
        <v>0</v>
      </c>
      <c r="F42" s="32" t="n">
        <v>0</v>
      </c>
      <c r="G42" s="32" t="n">
        <v>0</v>
      </c>
      <c r="H42" s="51" t="n">
        <v>0</v>
      </c>
      <c r="I42" s="33">
        <f>IFERROR(D42-(E42+F42+G42),0)</f>
        <v/>
      </c>
      <c r="J42" s="33">
        <f>E42+F42+G42+I42</f>
        <v/>
      </c>
      <c r="K42" s="52" t="n"/>
      <c r="L42" s="52" t="n">
        <v>0</v>
      </c>
      <c r="M42" s="54">
        <f>J42*(1+L42)</f>
        <v/>
      </c>
      <c r="N42" s="33">
        <f>M42-D42</f>
        <v/>
      </c>
      <c r="O42" s="34">
        <f>IFERROR(M42/D42-1,0)</f>
        <v/>
      </c>
    </row>
    <row r="43" ht="15" customHeight="1">
      <c r="A43" s="35" t="n"/>
      <c r="B43" s="35" t="inlineStr">
        <is>
          <t>Total Repairs</t>
        </is>
      </c>
      <c r="C43" s="35" t="n"/>
      <c r="D43" s="36">
        <f>SUM(D15:D42)</f>
        <v/>
      </c>
      <c r="E43" s="36">
        <f>SUM(E15:E42)</f>
        <v/>
      </c>
      <c r="F43" s="36">
        <f>SUM(F15:F42)</f>
        <v/>
      </c>
      <c r="G43" s="36">
        <f>SUM(G15:G42)</f>
        <v/>
      </c>
      <c r="H43" s="36">
        <f>SUM(H15:H42)</f>
        <v/>
      </c>
      <c r="I43" s="36">
        <f>SUM(I15:I42)</f>
        <v/>
      </c>
      <c r="J43" s="36">
        <f>SUM(J15:J42)</f>
        <v/>
      </c>
      <c r="K43" s="35">
        <f>SUM(K15:K42)</f>
        <v/>
      </c>
      <c r="L43" s="35" t="n"/>
      <c r="M43" s="36">
        <f>SUM(M15:M42)</f>
        <v/>
      </c>
      <c r="N43" s="36">
        <f>SUM(N15:N42)</f>
        <v/>
      </c>
      <c r="O43" s="37">
        <f>IFERROR(M43/D43-1,0)</f>
        <v/>
      </c>
    </row>
    <row r="45" ht="15" customHeight="1">
      <c r="A45" s="7" t="inlineStr">
        <is>
          <t>Maintenance Contracts</t>
        </is>
      </c>
      <c r="B45" s="81" t="n"/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2" t="n"/>
    </row>
    <row r="46" ht="15" customHeight="1">
      <c r="A46" s="50" t="inlineStr">
        <is>
          <t>5803-0000</t>
        </is>
      </c>
      <c r="B46" s="50" t="inlineStr">
        <is>
          <t>Cleaning &amp; Maintenance</t>
        </is>
      </c>
      <c r="C46" s="23" t="n"/>
      <c r="D46" s="51" t="n"/>
      <c r="E46" s="51" t="n"/>
      <c r="F46" s="32" t="n">
        <v>0</v>
      </c>
      <c r="G46" s="32" t="n">
        <v>0</v>
      </c>
      <c r="H46" s="51" t="n"/>
      <c r="I46" s="33">
        <f>IFERROR(IF((E46+F46+G46)&gt;=D46,(E46+F46+G46)/Setup!$B$10*Setup!$B$11,D46-(E46+F46+G46)),0)</f>
        <v/>
      </c>
      <c r="J46" s="33">
        <f>E46+F46+G46+I46</f>
        <v/>
      </c>
      <c r="K46" s="32" t="n"/>
      <c r="L46" s="52" t="n">
        <v>0</v>
      </c>
      <c r="M46" s="54">
        <f>J46*(1+L46)</f>
        <v/>
      </c>
      <c r="N46" s="33">
        <f>M46-D46</f>
        <v/>
      </c>
      <c r="O46" s="34">
        <f>IFERROR(M46/D46-1,0)</f>
        <v/>
      </c>
    </row>
    <row r="47" ht="15" customHeight="1">
      <c r="A47" s="50" t="inlineStr">
        <is>
          <t>5806-0000</t>
        </is>
      </c>
      <c r="B47" s="50" t="inlineStr">
        <is>
          <t>Air Conditioning Maintenance</t>
        </is>
      </c>
      <c r="C47" s="23" t="n"/>
      <c r="D47" s="51" t="n"/>
      <c r="E47" s="51" t="n"/>
      <c r="F47" s="32" t="n">
        <v>0</v>
      </c>
      <c r="G47" s="32" t="n">
        <v>0</v>
      </c>
      <c r="H47" s="51" t="n"/>
      <c r="I47" s="33">
        <f>IFERROR(IF((E47+F47+G47)&gt;=D47,(E47+F47+G47)/Setup!$B$10*Setup!$B$11,D47-(E47+F47+G47)),0)</f>
        <v/>
      </c>
      <c r="J47" s="33">
        <f>E47+F47+G47+I47</f>
        <v/>
      </c>
      <c r="K47" s="32" t="n"/>
      <c r="L47" s="52" t="n">
        <v>0</v>
      </c>
      <c r="M47" s="54">
        <f>J47*(1+L47)</f>
        <v/>
      </c>
      <c r="N47" s="33">
        <f>M47-D47</f>
        <v/>
      </c>
      <c r="O47" s="34">
        <f>IFERROR(M47/D47-1,0)</f>
        <v/>
      </c>
    </row>
    <row r="48" ht="15" customHeight="1">
      <c r="A48" s="50" t="inlineStr">
        <is>
          <t>5810-0000</t>
        </is>
      </c>
      <c r="B48" s="50" t="inlineStr">
        <is>
          <t>HVAC Maintenance</t>
        </is>
      </c>
      <c r="C48" s="23" t="n"/>
      <c r="D48" s="51" t="n"/>
      <c r="E48" s="51" t="n"/>
      <c r="F48" s="32" t="n">
        <v>0</v>
      </c>
      <c r="G48" s="32" t="n">
        <v>0</v>
      </c>
      <c r="H48" s="51" t="n"/>
      <c r="I48" s="33">
        <f>IFERROR(IF((E48+F48+G48)&gt;=D48,(E48+F48+G48)/Setup!$B$10*Setup!$B$11,D48-(E48+F48+G48)),0)</f>
        <v/>
      </c>
      <c r="J48" s="33">
        <f>E48+F48+G48+I48</f>
        <v/>
      </c>
      <c r="K48" s="32" t="n"/>
      <c r="L48" s="52" t="n">
        <v>0</v>
      </c>
      <c r="M48" s="54">
        <f>J48*(1+L48)</f>
        <v/>
      </c>
      <c r="N48" s="33">
        <f>M48-D48</f>
        <v/>
      </c>
      <c r="O48" s="34">
        <f>IFERROR(M48/D48-1,0)</f>
        <v/>
      </c>
    </row>
    <row r="49" ht="15" customHeight="1">
      <c r="A49" s="50" t="inlineStr">
        <is>
          <t>5812-0000</t>
        </is>
      </c>
      <c r="B49" s="50" t="inlineStr">
        <is>
          <t>Elevator Maintenance</t>
        </is>
      </c>
      <c r="C49" s="23" t="n"/>
      <c r="D49" s="51" t="n"/>
      <c r="E49" s="51" t="n"/>
      <c r="F49" s="32" t="n">
        <v>0</v>
      </c>
      <c r="G49" s="32" t="n">
        <v>0</v>
      </c>
      <c r="H49" s="51" t="n"/>
      <c r="I49" s="33">
        <f>IFERROR(IF((E49+F49+G49)&gt;=D49,(E49+F49+G49)/Setup!$B$10*Setup!$B$11,D49-(E49+F49+G49)),0)</f>
        <v/>
      </c>
      <c r="J49" s="33">
        <f>E49+F49+G49+I49</f>
        <v/>
      </c>
      <c r="K49" s="32" t="n"/>
      <c r="L49" s="52" t="n">
        <v>0</v>
      </c>
      <c r="M49" s="54">
        <f>J49*(1+L49)</f>
        <v/>
      </c>
      <c r="N49" s="33">
        <f>M49-D49</f>
        <v/>
      </c>
      <c r="O49" s="34">
        <f>IFERROR(M49/D49-1,0)</f>
        <v/>
      </c>
    </row>
    <row r="50" ht="15" customHeight="1">
      <c r="A50" s="50" t="inlineStr">
        <is>
          <t>5815-0000</t>
        </is>
      </c>
      <c r="B50" s="50" t="inlineStr">
        <is>
          <t>Floor/Carpet Cleaning</t>
        </is>
      </c>
      <c r="C50" s="23" t="n"/>
      <c r="D50" s="51" t="n"/>
      <c r="E50" s="51" t="n"/>
      <c r="F50" s="32" t="n">
        <v>0</v>
      </c>
      <c r="G50" s="32" t="n">
        <v>0</v>
      </c>
      <c r="H50" s="51" t="n"/>
      <c r="I50" s="33">
        <f>IFERROR(IF((E50+F50+G50)&gt;=D50,(E50+F50+G50)/Setup!$B$10*Setup!$B$11,D50-(E50+F50+G50)),0)</f>
        <v/>
      </c>
      <c r="J50" s="33">
        <f>E50+F50+G50+I50</f>
        <v/>
      </c>
      <c r="K50" s="32" t="n"/>
      <c r="L50" s="52" t="n">
        <v>0</v>
      </c>
      <c r="M50" s="54">
        <f>J50*(1+L50)</f>
        <v/>
      </c>
      <c r="N50" s="33">
        <f>M50-D50</f>
        <v/>
      </c>
      <c r="O50" s="34">
        <f>IFERROR(M50/D50-1,0)</f>
        <v/>
      </c>
    </row>
    <row r="51" ht="15" customHeight="1">
      <c r="A51" s="50" t="inlineStr">
        <is>
          <t>5818-0000</t>
        </is>
      </c>
      <c r="B51" s="50" t="inlineStr">
        <is>
          <t>Window Cleaning</t>
        </is>
      </c>
      <c r="C51" s="23" t="n"/>
      <c r="D51" s="51" t="n"/>
      <c r="E51" s="51" t="n"/>
      <c r="F51" s="32" t="n">
        <v>0</v>
      </c>
      <c r="G51" s="32" t="n">
        <v>0</v>
      </c>
      <c r="H51" s="51" t="n"/>
      <c r="I51" s="33">
        <f>IFERROR(IF((E51+F51+G51)&gt;=D51,(E51+F51+G51)/Setup!$B$10*Setup!$B$11,D51-(E51+F51+G51)),0)</f>
        <v/>
      </c>
      <c r="J51" s="33">
        <f>E51+F51+G51+I51</f>
        <v/>
      </c>
      <c r="K51" s="32" t="n"/>
      <c r="L51" s="52" t="n">
        <v>0</v>
      </c>
      <c r="M51" s="54">
        <f>J51*(1+L51)</f>
        <v/>
      </c>
      <c r="N51" s="33">
        <f>M51-D51</f>
        <v/>
      </c>
      <c r="O51" s="34">
        <f>IFERROR(M51/D51-1,0)</f>
        <v/>
      </c>
    </row>
    <row r="52" ht="15" customHeight="1">
      <c r="A52" s="50" t="inlineStr">
        <is>
          <t>5821-0000</t>
        </is>
      </c>
      <c r="B52" s="50" t="inlineStr">
        <is>
          <t>Fire Extinguisher Maintenance</t>
        </is>
      </c>
      <c r="C52" s="23" t="n"/>
      <c r="D52" s="51" t="n"/>
      <c r="E52" s="51" t="n"/>
      <c r="F52" s="32" t="n">
        <v>0</v>
      </c>
      <c r="G52" s="32" t="n">
        <v>0</v>
      </c>
      <c r="H52" s="51" t="n"/>
      <c r="I52" s="33">
        <f>IFERROR(IF((E52+F52+G52)&gt;=D52,(E52+F52+G52)/Setup!$B$10*Setup!$B$11,D52-(E52+F52+G52)),0)</f>
        <v/>
      </c>
      <c r="J52" s="33">
        <f>E52+F52+G52+I52</f>
        <v/>
      </c>
      <c r="K52" s="32" t="n"/>
      <c r="L52" s="52" t="n">
        <v>0</v>
      </c>
      <c r="M52" s="54">
        <f>J52*(1+L52)</f>
        <v/>
      </c>
      <c r="N52" s="33">
        <f>M52-D52</f>
        <v/>
      </c>
      <c r="O52" s="34">
        <f>IFERROR(M52/D52-1,0)</f>
        <v/>
      </c>
    </row>
    <row r="53" ht="15" customHeight="1">
      <c r="A53" s="50" t="inlineStr">
        <is>
          <t>5825-0000</t>
        </is>
      </c>
      <c r="B53" s="50" t="inlineStr">
        <is>
          <t>Uniform Cleaning &amp; Maintenance</t>
        </is>
      </c>
      <c r="C53" s="23" t="n"/>
      <c r="D53" s="51" t="n"/>
      <c r="E53" s="51" t="n"/>
      <c r="F53" s="32" t="n">
        <v>0</v>
      </c>
      <c r="G53" s="32" t="n">
        <v>0</v>
      </c>
      <c r="H53" s="51" t="n"/>
      <c r="I53" s="33">
        <f>IFERROR(IF((E53+F53+G53)&gt;=D53,(E53+F53+G53)/Setup!$B$10*Setup!$B$11,D53-(E53+F53+G53)),0)</f>
        <v/>
      </c>
      <c r="J53" s="33">
        <f>E53+F53+G53+I53</f>
        <v/>
      </c>
      <c r="K53" s="32" t="n"/>
      <c r="L53" s="52" t="n">
        <v>0</v>
      </c>
      <c r="M53" s="54">
        <f>J53*(1+L53)</f>
        <v/>
      </c>
      <c r="N53" s="33">
        <f>M53-D53</f>
        <v/>
      </c>
      <c r="O53" s="34">
        <f>IFERROR(M53/D53-1,0)</f>
        <v/>
      </c>
    </row>
    <row r="54" ht="15" customHeight="1">
      <c r="A54" s="50" t="inlineStr">
        <is>
          <t>5828-0000</t>
        </is>
      </c>
      <c r="B54" s="50" t="inlineStr">
        <is>
          <t>Rubbish Removal</t>
        </is>
      </c>
      <c r="C54" s="23" t="n"/>
      <c r="D54" s="51" t="n"/>
      <c r="E54" s="51" t="n"/>
      <c r="F54" s="32" t="n">
        <v>0</v>
      </c>
      <c r="G54" s="32" t="n">
        <v>0</v>
      </c>
      <c r="H54" s="51" t="n"/>
      <c r="I54" s="33">
        <f>IFERROR(IF((E54+F54+G54)&gt;=D54,(E54+F54+G54)/Setup!$B$10*Setup!$B$11,D54-(E54+F54+G54)),0)</f>
        <v/>
      </c>
      <c r="J54" s="33">
        <f>E54+F54+G54+I54</f>
        <v/>
      </c>
      <c r="K54" s="32" t="n"/>
      <c r="L54" s="52" t="n">
        <v>0</v>
      </c>
      <c r="M54" s="54">
        <f>J54*(1+L54)</f>
        <v/>
      </c>
      <c r="N54" s="33">
        <f>M54-D54</f>
        <v/>
      </c>
      <c r="O54" s="34">
        <f>IFERROR(M54/D54-1,0)</f>
        <v/>
      </c>
    </row>
    <row r="55" ht="15" customHeight="1">
      <c r="A55" s="50" t="inlineStr">
        <is>
          <t>5831-0000</t>
        </is>
      </c>
      <c r="B55" s="50" t="inlineStr">
        <is>
          <t>Exterminating</t>
        </is>
      </c>
      <c r="C55" s="23" t="n"/>
      <c r="D55" s="51" t="n"/>
      <c r="E55" s="51" t="n"/>
      <c r="F55" s="32" t="n">
        <v>0</v>
      </c>
      <c r="G55" s="32" t="n">
        <v>0</v>
      </c>
      <c r="H55" s="51" t="n"/>
      <c r="I55" s="33">
        <f>IFERROR(IF((E55+F55+G55)&gt;=D55,(E55+F55+G55)/Setup!$B$10*Setup!$B$11,D55-(E55+F55+G55)),0)</f>
        <v/>
      </c>
      <c r="J55" s="33">
        <f>E55+F55+G55+I55</f>
        <v/>
      </c>
      <c r="K55" s="32" t="n"/>
      <c r="L55" s="52" t="n">
        <v>0</v>
      </c>
      <c r="M55" s="54">
        <f>J55*(1+L55)</f>
        <v/>
      </c>
      <c r="N55" s="33">
        <f>M55-D55</f>
        <v/>
      </c>
      <c r="O55" s="34">
        <f>IFERROR(M55/D55-1,0)</f>
        <v/>
      </c>
    </row>
    <row r="56" ht="15" customHeight="1">
      <c r="A56" s="50" t="inlineStr">
        <is>
          <t>5834-0000</t>
        </is>
      </c>
      <c r="B56" s="50" t="inlineStr">
        <is>
          <t>Cooling Tower Maint</t>
        </is>
      </c>
      <c r="C56" s="23" t="n"/>
      <c r="D56" s="51" t="n"/>
      <c r="E56" s="51" t="n"/>
      <c r="F56" s="32" t="n">
        <v>0</v>
      </c>
      <c r="G56" s="32" t="n">
        <v>0</v>
      </c>
      <c r="H56" s="51" t="n"/>
      <c r="I56" s="33">
        <f>IFERROR(IF((E56+F56+G56)&gt;=D56,(E56+F56+G56)/Setup!$B$10*Setup!$B$11,D56-(E56+F56+G56)),0)</f>
        <v/>
      </c>
      <c r="J56" s="33">
        <f>E56+F56+G56+I56</f>
        <v/>
      </c>
      <c r="K56" s="32" t="n"/>
      <c r="L56" s="52" t="n">
        <v>0</v>
      </c>
      <c r="M56" s="54">
        <f>J56*(1+L56)</f>
        <v/>
      </c>
      <c r="N56" s="33">
        <f>M56-D56</f>
        <v/>
      </c>
      <c r="O56" s="34">
        <f>IFERROR(M56/D56-1,0)</f>
        <v/>
      </c>
    </row>
    <row r="57" ht="15" customHeight="1">
      <c r="A57" s="50" t="inlineStr">
        <is>
          <t>5837-0000</t>
        </is>
      </c>
      <c r="B57" s="50" t="inlineStr">
        <is>
          <t>Alarm / Security System Maintenance</t>
        </is>
      </c>
      <c r="C57" s="23" t="n"/>
      <c r="D57" s="51" t="n"/>
      <c r="E57" s="51" t="n"/>
      <c r="F57" s="32" t="n">
        <v>0</v>
      </c>
      <c r="G57" s="32" t="n">
        <v>0</v>
      </c>
      <c r="H57" s="51" t="n"/>
      <c r="I57" s="33">
        <f>IFERROR(IF((E57+F57+G57)&gt;=D57,(E57+F57+G57)/Setup!$B$10*Setup!$B$11,D57-(E57+F57+G57)),0)</f>
        <v/>
      </c>
      <c r="J57" s="33">
        <f>E57+F57+G57+I57</f>
        <v/>
      </c>
      <c r="K57" s="32" t="n"/>
      <c r="L57" s="52" t="n">
        <v>0</v>
      </c>
      <c r="M57" s="54">
        <f>J57*(1+L57)</f>
        <v/>
      </c>
      <c r="N57" s="33">
        <f>M57-D57</f>
        <v/>
      </c>
      <c r="O57" s="34">
        <f>IFERROR(M57/D57-1,0)</f>
        <v/>
      </c>
    </row>
    <row r="58" ht="15" customHeight="1">
      <c r="A58" s="50" t="inlineStr">
        <is>
          <t>5840-0000</t>
        </is>
      </c>
      <c r="B58" s="50" t="inlineStr">
        <is>
          <t>Metal/Marble/Wood Maintenance</t>
        </is>
      </c>
      <c r="C58" s="23" t="n"/>
      <c r="D58" s="51" t="n"/>
      <c r="E58" s="51" t="n"/>
      <c r="F58" s="32" t="n">
        <v>0</v>
      </c>
      <c r="G58" s="32" t="n">
        <v>0</v>
      </c>
      <c r="H58" s="51" t="n"/>
      <c r="I58" s="33">
        <f>IFERROR(IF((E58+F58+G58)&gt;=D58,(E58+F58+G58)/Setup!$B$10*Setup!$B$11,D58-(E58+F58+G58)),0)</f>
        <v/>
      </c>
      <c r="J58" s="33">
        <f>E58+F58+G58+I58</f>
        <v/>
      </c>
      <c r="K58" s="32" t="n"/>
      <c r="L58" s="52" t="n">
        <v>0</v>
      </c>
      <c r="M58" s="54">
        <f>J58*(1+L58)</f>
        <v/>
      </c>
      <c r="N58" s="33">
        <f>M58-D58</f>
        <v/>
      </c>
      <c r="O58" s="34">
        <f>IFERROR(M58/D58-1,0)</f>
        <v/>
      </c>
    </row>
    <row r="59" ht="15" customHeight="1">
      <c r="A59" s="50" t="inlineStr">
        <is>
          <t>5846-0000</t>
        </is>
      </c>
      <c r="B59" s="50" t="inlineStr">
        <is>
          <t>Garage Maintenance</t>
        </is>
      </c>
      <c r="C59" s="23" t="n"/>
      <c r="D59" s="51" t="n"/>
      <c r="E59" s="51" t="n"/>
      <c r="F59" s="32" t="n">
        <v>0</v>
      </c>
      <c r="G59" s="32" t="n">
        <v>0</v>
      </c>
      <c r="H59" s="51" t="n"/>
      <c r="I59" s="33">
        <f>IFERROR(IF((E59+F59+G59)&gt;=D59,(E59+F59+G59)/Setup!$B$10*Setup!$B$11,D59-(E59+F59+G59)),0)</f>
        <v/>
      </c>
      <c r="J59" s="33">
        <f>E59+F59+G59+I59</f>
        <v/>
      </c>
      <c r="K59" s="32" t="n"/>
      <c r="L59" s="52" t="n">
        <v>0</v>
      </c>
      <c r="M59" s="54">
        <f>J59*(1+L59)</f>
        <v/>
      </c>
      <c r="N59" s="33">
        <f>M59-D59</f>
        <v/>
      </c>
      <c r="O59" s="34">
        <f>IFERROR(M59/D59-1,0)</f>
        <v/>
      </c>
    </row>
    <row r="60" ht="15" customHeight="1">
      <c r="A60" s="50" t="inlineStr">
        <is>
          <t>5852-0000</t>
        </is>
      </c>
      <c r="B60" s="50" t="inlineStr">
        <is>
          <t>Water Treatment Maintenance</t>
        </is>
      </c>
      <c r="C60" s="23" t="n"/>
      <c r="D60" s="51" t="n"/>
      <c r="E60" s="51" t="n"/>
      <c r="F60" s="32" t="n">
        <v>0</v>
      </c>
      <c r="G60" s="32" t="n">
        <v>0</v>
      </c>
      <c r="H60" s="51" t="n"/>
      <c r="I60" s="33">
        <f>IFERROR(IF((E60+F60+G60)&gt;=D60,(E60+F60+G60)/Setup!$B$10*Setup!$B$11,D60-(E60+F60+G60)),0)</f>
        <v/>
      </c>
      <c r="J60" s="33">
        <f>E60+F60+G60+I60</f>
        <v/>
      </c>
      <c r="K60" s="32" t="n"/>
      <c r="L60" s="52" t="n">
        <v>0</v>
      </c>
      <c r="M60" s="54">
        <f>J60*(1+L60)</f>
        <v/>
      </c>
      <c r="N60" s="33">
        <f>M60-D60</f>
        <v/>
      </c>
      <c r="O60" s="34">
        <f>IFERROR(M60/D60-1,0)</f>
        <v/>
      </c>
    </row>
    <row r="61" ht="15" customHeight="1">
      <c r="A61" s="50" t="inlineStr">
        <is>
          <t>5856-0000</t>
        </is>
      </c>
      <c r="B61" s="50" t="inlineStr">
        <is>
          <t>Equipment Maint - Software</t>
        </is>
      </c>
      <c r="C61" s="23" t="n"/>
      <c r="D61" s="51" t="n"/>
      <c r="E61" s="51" t="n"/>
      <c r="F61" s="32" t="n">
        <v>0</v>
      </c>
      <c r="G61" s="32" t="n">
        <v>0</v>
      </c>
      <c r="H61" s="51" t="n"/>
      <c r="I61" s="33">
        <f>IFERROR(IF((E61+F61+G61)&gt;=D61,(E61+F61+G61)/Setup!$B$10*Setup!$B$11,D61-(E61+F61+G61)),0)</f>
        <v/>
      </c>
      <c r="J61" s="33">
        <f>E61+F61+G61+I61</f>
        <v/>
      </c>
      <c r="K61" s="32" t="n"/>
      <c r="L61" s="52" t="n">
        <v>0</v>
      </c>
      <c r="M61" s="54">
        <f>J61*(1+L61)</f>
        <v/>
      </c>
      <c r="N61" s="33">
        <f>M61-D61</f>
        <v/>
      </c>
      <c r="O61" s="34">
        <f>IFERROR(M61/D61-1,0)</f>
        <v/>
      </c>
    </row>
    <row r="62" ht="15" customHeight="1">
      <c r="A62" s="50" t="inlineStr">
        <is>
          <t>5865-0000</t>
        </is>
      </c>
      <c r="B62" s="50" t="inlineStr">
        <is>
          <t>Landscaping</t>
        </is>
      </c>
      <c r="C62" s="23" t="n"/>
      <c r="D62" s="51" t="n"/>
      <c r="E62" s="51" t="n"/>
      <c r="F62" s="32" t="n">
        <v>0</v>
      </c>
      <c r="G62" s="32" t="n">
        <v>0</v>
      </c>
      <c r="H62" s="51" t="n"/>
      <c r="I62" s="33">
        <f>IFERROR(IF((E62+F62+G62)&gt;=D62,(E62+F62+G62)/Setup!$B$10*Setup!$B$11,D62-(E62+F62+G62)),0)</f>
        <v/>
      </c>
      <c r="J62" s="33">
        <f>E62+F62+G62+I62</f>
        <v/>
      </c>
      <c r="K62" s="32" t="n"/>
      <c r="L62" s="52" t="n">
        <v>0</v>
      </c>
      <c r="M62" s="54">
        <f>J62*(1+L62)</f>
        <v/>
      </c>
      <c r="N62" s="33">
        <f>M62-D62</f>
        <v/>
      </c>
      <c r="O62" s="34">
        <f>IFERROR(M62/D62-1,0)</f>
        <v/>
      </c>
    </row>
    <row r="63" ht="15" customHeight="1">
      <c r="A63" s="50" t="inlineStr">
        <is>
          <t>5870-0000</t>
        </is>
      </c>
      <c r="B63" s="50" t="inlineStr">
        <is>
          <t>Rooftop Garden &amp; Landscaping</t>
        </is>
      </c>
      <c r="C63" s="23" t="n"/>
      <c r="D63" s="51" t="n"/>
      <c r="E63" s="51" t="n"/>
      <c r="F63" s="32" t="n">
        <v>0</v>
      </c>
      <c r="G63" s="32" t="n">
        <v>0</v>
      </c>
      <c r="H63" s="51" t="n"/>
      <c r="I63" s="33">
        <f>IFERROR(IF((E63+F63+G63)&gt;=D63,(E63+F63+G63)/Setup!$B$10*Setup!$B$11,D63-(E63+F63+G63)),0)</f>
        <v/>
      </c>
      <c r="J63" s="33">
        <f>E63+F63+G63+I63</f>
        <v/>
      </c>
      <c r="K63" s="32" t="n"/>
      <c r="L63" s="52" t="n">
        <v>0</v>
      </c>
      <c r="M63" s="54">
        <f>J63*(1+L63)</f>
        <v/>
      </c>
      <c r="N63" s="33">
        <f>M63-D63</f>
        <v/>
      </c>
      <c r="O63" s="34">
        <f>IFERROR(M63/D63-1,0)</f>
        <v/>
      </c>
    </row>
    <row r="64" ht="15" customHeight="1">
      <c r="A64" s="50" t="inlineStr">
        <is>
          <t>5809-0010</t>
        </is>
      </c>
      <c r="B64" s="50" t="inlineStr">
        <is>
          <t>Boiler Maintenance</t>
        </is>
      </c>
      <c r="C64" s="23" t="n"/>
      <c r="D64" s="51" t="n"/>
      <c r="E64" s="51" t="n"/>
      <c r="F64" s="32" t="n">
        <v>0</v>
      </c>
      <c r="G64" s="32" t="n">
        <v>0</v>
      </c>
      <c r="H64" s="51" t="n"/>
      <c r="I64" s="33">
        <f>IFERROR(IF((E64+F64+G64)&gt;=D64,(E64+F64+G64)/Setup!$B$10*Setup!$B$11,D64-(E64+F64+G64)),0)</f>
        <v/>
      </c>
      <c r="J64" s="33">
        <f>E64+F64+G64+I64</f>
        <v/>
      </c>
      <c r="K64" s="32" t="n"/>
      <c r="L64" s="52" t="n">
        <v>0</v>
      </c>
      <c r="M64" s="54">
        <f>J64*(1+L64)</f>
        <v/>
      </c>
      <c r="N64" s="33">
        <f>M64-D64</f>
        <v/>
      </c>
      <c r="O64" s="34">
        <f>IFERROR(M64/D64-1,0)</f>
        <v/>
      </c>
    </row>
    <row r="65" ht="15" customHeight="1">
      <c r="A65" s="50" t="inlineStr">
        <is>
          <t>5874-0000</t>
        </is>
      </c>
      <c r="B65" s="50" t="inlineStr">
        <is>
          <t>Other Maintenance</t>
        </is>
      </c>
      <c r="C65" s="23" t="n"/>
      <c r="D65" s="51" t="n"/>
      <c r="E65" s="51" t="n"/>
      <c r="F65" s="32" t="n">
        <v>0</v>
      </c>
      <c r="G65" s="32" t="n">
        <v>0</v>
      </c>
      <c r="H65" s="51" t="n"/>
      <c r="I65" s="33">
        <f>IFERROR(IF((E65+F65+G65)&gt;=D65,(E65+F65+G65)/Setup!$B$10*Setup!$B$11,D65-(E65+F65+G65)),0)</f>
        <v/>
      </c>
      <c r="J65" s="33">
        <f>E65+F65+G65+I65</f>
        <v/>
      </c>
      <c r="K65" s="32" t="n"/>
      <c r="L65" s="52" t="n">
        <v>0</v>
      </c>
      <c r="M65" s="54">
        <f>J65*(1+L65)</f>
        <v/>
      </c>
      <c r="N65" s="33">
        <f>M65-D65</f>
        <v/>
      </c>
      <c r="O65" s="34">
        <f>IFERROR(M65/D65-1,0)</f>
        <v/>
      </c>
    </row>
    <row r="66" ht="15" customHeight="1">
      <c r="A66" s="50" t="inlineStr">
        <is>
          <t>5809-0016</t>
        </is>
      </c>
      <c r="B66" s="50" t="inlineStr">
        <is>
          <t>Sprinkler Maintenance</t>
        </is>
      </c>
      <c r="C66" s="23" t="n"/>
      <c r="D66" s="51" t="n">
        <v>0</v>
      </c>
      <c r="E66" s="51" t="n">
        <v>0</v>
      </c>
      <c r="F66" s="32" t="n">
        <v>0</v>
      </c>
      <c r="G66" s="32" t="n">
        <v>0</v>
      </c>
      <c r="H66" s="51" t="n">
        <v>0</v>
      </c>
      <c r="I66" s="33">
        <f>IFERROR(D66-(E66+F66+G66),0)</f>
        <v/>
      </c>
      <c r="J66" s="33">
        <f>E66+F66+G66+I66</f>
        <v/>
      </c>
      <c r="K66" s="52" t="n"/>
      <c r="L66" s="52" t="n">
        <v>0</v>
      </c>
      <c r="M66" s="54">
        <f>J66*(1+L66)</f>
        <v/>
      </c>
      <c r="N66" s="33">
        <f>M66-D66</f>
        <v/>
      </c>
      <c r="O66" s="34">
        <f>IFERROR(M66/D66-1,0)</f>
        <v/>
      </c>
    </row>
    <row r="67" ht="15" customHeight="1">
      <c r="A67" s="50" t="n"/>
      <c r="B67" s="50" t="n"/>
      <c r="C67" s="23" t="n"/>
      <c r="D67" s="51" t="n">
        <v>0</v>
      </c>
      <c r="E67" s="51" t="n">
        <v>0</v>
      </c>
      <c r="F67" s="32" t="n">
        <v>0</v>
      </c>
      <c r="G67" s="32" t="n">
        <v>0</v>
      </c>
      <c r="H67" s="51" t="n">
        <v>0</v>
      </c>
      <c r="I67" s="33">
        <f>IFERROR(D67-(E67+F67+G67),0)</f>
        <v/>
      </c>
      <c r="J67" s="33">
        <f>E67+F67+G67+I67</f>
        <v/>
      </c>
      <c r="K67" s="52" t="n"/>
      <c r="L67" s="52" t="n">
        <v>0</v>
      </c>
      <c r="M67" s="54">
        <f>J67*(1+L67)</f>
        <v/>
      </c>
      <c r="N67" s="33">
        <f>M67-D67</f>
        <v/>
      </c>
      <c r="O67" s="34">
        <f>IFERROR(M67/D67-1,0)</f>
        <v/>
      </c>
    </row>
    <row r="68" ht="15" customHeight="1">
      <c r="A68" s="50" t="n"/>
      <c r="B68" s="50" t="n"/>
      <c r="C68" s="23" t="n"/>
      <c r="D68" s="51" t="n">
        <v>0</v>
      </c>
      <c r="E68" s="51" t="n">
        <v>0</v>
      </c>
      <c r="F68" s="32" t="n">
        <v>0</v>
      </c>
      <c r="G68" s="32" t="n">
        <v>0</v>
      </c>
      <c r="H68" s="51" t="n">
        <v>0</v>
      </c>
      <c r="I68" s="33">
        <f>IFERROR(D68-(E68+F68+G68),0)</f>
        <v/>
      </c>
      <c r="J68" s="33">
        <f>E68+F68+G68+I68</f>
        <v/>
      </c>
      <c r="K68" s="52" t="n"/>
      <c r="L68" s="52" t="n">
        <v>0</v>
      </c>
      <c r="M68" s="54">
        <f>J68*(1+L68)</f>
        <v/>
      </c>
      <c r="N68" s="33">
        <f>M68-D68</f>
        <v/>
      </c>
      <c r="O68" s="34">
        <f>IFERROR(M68/D68-1,0)</f>
        <v/>
      </c>
    </row>
    <row r="69" ht="15" customHeight="1">
      <c r="A69" s="35" t="n"/>
      <c r="B69" s="35" t="inlineStr">
        <is>
          <t>Total Maintenance Contracts</t>
        </is>
      </c>
      <c r="C69" s="35" t="n"/>
      <c r="D69" s="36">
        <f>SUM(D46:D68)</f>
        <v/>
      </c>
      <c r="E69" s="36">
        <f>SUM(E46:E68)</f>
        <v/>
      </c>
      <c r="F69" s="36">
        <f>SUM(F46:F68)</f>
        <v/>
      </c>
      <c r="G69" s="36">
        <f>SUM(G46:G68)</f>
        <v/>
      </c>
      <c r="H69" s="36">
        <f>SUM(H46:H68)</f>
        <v/>
      </c>
      <c r="I69" s="36">
        <f>SUM(I46:I68)</f>
        <v/>
      </c>
      <c r="J69" s="36">
        <f>SUM(J46:J68)</f>
        <v/>
      </c>
      <c r="K69" s="35">
        <f>SUM(K46:K68)</f>
        <v/>
      </c>
      <c r="L69" s="35" t="n"/>
      <c r="M69" s="36">
        <f>SUM(M46:M68)</f>
        <v/>
      </c>
      <c r="N69" s="36">
        <f>SUM(N46:N68)</f>
        <v/>
      </c>
      <c r="O69" s="37">
        <f>IFERROR(M69/D69-1,0)</f>
        <v/>
      </c>
    </row>
    <row r="71" ht="15" customHeight="1">
      <c r="A71" s="55" t="n"/>
      <c r="B71" s="55" t="inlineStr">
        <is>
          <t>TOTAL REPAIRS &amp; SUPPLIES</t>
        </is>
      </c>
      <c r="C71" s="56" t="n"/>
      <c r="D71" s="57">
        <f>D12+D43+D69</f>
        <v/>
      </c>
      <c r="E71" s="57">
        <f>E12+E43+E69</f>
        <v/>
      </c>
      <c r="F71" s="57">
        <f>F12+F43+F69</f>
        <v/>
      </c>
      <c r="G71" s="57">
        <f>G12+G43+G69</f>
        <v/>
      </c>
      <c r="H71" s="57">
        <f>H12+H43+H69</f>
        <v/>
      </c>
      <c r="I71" s="57">
        <f>I12+I43+I69</f>
        <v/>
      </c>
      <c r="J71" s="57">
        <f>J12+J43+J69</f>
        <v/>
      </c>
      <c r="K71" s="56">
        <f>K12+K43+K69</f>
        <v/>
      </c>
      <c r="L71" s="56" t="n"/>
      <c r="M71" s="57">
        <f>M12+M43+M69</f>
        <v/>
      </c>
      <c r="N71" s="57">
        <f>N12+N43+N69</f>
        <v/>
      </c>
      <c r="O71" s="58">
        <f>IFERROR(M71/D71-1,0)</f>
        <v/>
      </c>
    </row>
  </sheetData>
  <mergeCells count="5">
    <mergeCell ref="A2:N2"/>
    <mergeCell ref="A7:N7"/>
    <mergeCell ref="A45:N45"/>
    <mergeCell ref="A14:N14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3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Gen &amp; Admin — Budget Year</t>
        </is>
      </c>
    </row>
    <row r="3" ht="15" customHeight="1">
      <c r="A3" s="29">
        <f>Setup!B4</f>
        <v/>
      </c>
    </row>
    <row r="5" ht="23.25" customHeight="1">
      <c r="A5" s="30" t="inlineStr">
        <is>
          <t>GL Code</t>
        </is>
      </c>
      <c r="B5" s="30" t="inlineStr">
        <is>
          <t>Description</t>
        </is>
      </c>
      <c r="C5" s="30" t="inlineStr">
        <is>
          <t>Notes</t>
        </is>
      </c>
      <c r="D5" s="30" t="inlineStr">
        <is>
          <t>Prior Year
Actual</t>
        </is>
      </c>
      <c r="E5" s="30" t="inlineStr">
        <is>
          <t>YTD Actual</t>
        </is>
      </c>
      <c r="F5" s="30" t="inlineStr">
        <is>
          <t>Accrual
Adj</t>
        </is>
      </c>
      <c r="G5" s="30" t="inlineStr">
        <is>
          <t>Unpaid
Bills</t>
        </is>
      </c>
      <c r="H5" s="30" t="inlineStr">
        <is>
          <t>YTD Budget</t>
        </is>
      </c>
      <c r="I5" s="30" t="inlineStr">
        <is>
          <t>Sep-Dec
Estimate</t>
        </is>
      </c>
      <c r="J5" s="30" t="inlineStr">
        <is>
          <t>12 Month
Forecast</t>
        </is>
      </c>
      <c r="K5" s="30" t="inlineStr">
        <is>
          <t>Current Year
Budget</t>
        </is>
      </c>
      <c r="L5" s="30" t="inlineStr">
        <is>
          <t>Increase %</t>
        </is>
      </c>
      <c r="M5" s="30" t="inlineStr">
        <is>
          <t>Proposed
Budget</t>
        </is>
      </c>
      <c r="N5" s="30" t="inlineStr">
        <is>
          <t>$ Variance</t>
        </is>
      </c>
      <c r="O5" s="30" t="inlineStr">
        <is>
          <t>% Change</t>
        </is>
      </c>
    </row>
    <row r="6" ht="15" customHeight="1">
      <c r="A6" s="49" t="inlineStr">
        <is>
          <t>Yardi</t>
        </is>
      </c>
      <c r="B6" s="49" t="inlineStr">
        <is>
          <t>Yardi</t>
        </is>
      </c>
      <c r="C6" s="49" t="inlineStr">
        <is>
          <t>Input</t>
        </is>
      </c>
      <c r="D6" s="49" t="inlineStr">
        <is>
          <t>Yardi</t>
        </is>
      </c>
      <c r="E6" s="49" t="inlineStr">
        <is>
          <t>Yardi</t>
        </is>
      </c>
      <c r="F6" s="49" t="inlineStr">
        <is>
          <t>Input</t>
        </is>
      </c>
      <c r="G6" s="49" t="inlineStr">
        <is>
          <t>Input</t>
        </is>
      </c>
      <c r="H6" s="49" t="inlineStr">
        <is>
          <t>Yardi</t>
        </is>
      </c>
      <c r="I6" s="49" t="inlineStr">
        <is>
          <t>Formula</t>
        </is>
      </c>
      <c r="J6" s="49" t="inlineStr">
        <is>
          <t>Formula</t>
        </is>
      </c>
      <c r="K6" s="49" t="inlineStr">
        <is>
          <t>Yardi</t>
        </is>
      </c>
      <c r="L6" s="49" t="inlineStr">
        <is>
          <t>Input</t>
        </is>
      </c>
      <c r="M6" s="49" t="inlineStr">
        <is>
          <t>Formula</t>
        </is>
      </c>
      <c r="N6" s="49" t="inlineStr">
        <is>
          <t>Formula</t>
        </is>
      </c>
      <c r="O6" s="49" t="inlineStr">
        <is>
          <t>Formula</t>
        </is>
      </c>
    </row>
    <row r="7" ht="15" customHeight="1">
      <c r="A7" s="7" t="inlineStr">
        <is>
          <t>Professional Fees</t>
        </is>
      </c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2" t="n"/>
    </row>
    <row r="8" ht="15" customHeight="1">
      <c r="A8" s="50" t="inlineStr">
        <is>
          <t>6505-0000</t>
        </is>
      </c>
      <c r="B8" s="50" t="inlineStr">
        <is>
          <t>Engineering &amp; Architectural Fees</t>
        </is>
      </c>
      <c r="C8" s="23" t="n"/>
      <c r="D8" s="51" t="n"/>
      <c r="E8" s="51" t="n"/>
      <c r="F8" s="32" t="n">
        <v>0</v>
      </c>
      <c r="G8" s="32" t="n">
        <v>0</v>
      </c>
      <c r="H8" s="51" t="n"/>
      <c r="I8" s="33">
        <f>IFERROR(IF((E8+F8+G8)&gt;=D8,(E8+F8+G8)/Setup!$B$10*Setup!$B$11,D8-(E8+F8+G8)),0)</f>
        <v/>
      </c>
      <c r="J8" s="33">
        <f>E8+F8+G8+I8</f>
        <v/>
      </c>
      <c r="K8" s="32" t="n"/>
      <c r="L8" s="52" t="n">
        <v>0</v>
      </c>
      <c r="M8" s="54">
        <f>J8*(1+L8)</f>
        <v/>
      </c>
      <c r="N8" s="33">
        <f>M8-D8</f>
        <v/>
      </c>
      <c r="O8" s="34">
        <f>IFERROR(M8/D8-1,0)</f>
        <v/>
      </c>
    </row>
    <row r="9" ht="15" customHeight="1">
      <c r="A9" s="50" t="inlineStr">
        <is>
          <t>6510-0000</t>
        </is>
      </c>
      <c r="B9" s="50" t="inlineStr">
        <is>
          <t>Management Fees</t>
        </is>
      </c>
      <c r="C9" s="23" t="n"/>
      <c r="D9" s="51" t="n"/>
      <c r="E9" s="51" t="n"/>
      <c r="F9" s="32" t="n">
        <v>0</v>
      </c>
      <c r="G9" s="32" t="n">
        <v>0</v>
      </c>
      <c r="H9" s="51" t="n"/>
      <c r="I9" s="33">
        <f>IFERROR(IF((E9+F9+G9)&gt;=D9,(E9+F9+G9)/Setup!$B$10*Setup!$B$11,D9-(E9+F9+G9)),0)</f>
        <v/>
      </c>
      <c r="J9" s="33">
        <f>E9+F9+G9+I9</f>
        <v/>
      </c>
      <c r="K9" s="32" t="n"/>
      <c r="L9" s="52" t="n">
        <v>0</v>
      </c>
      <c r="M9" s="54">
        <f>J9*(1+L9)</f>
        <v/>
      </c>
      <c r="N9" s="33">
        <f>M9-D9</f>
        <v/>
      </c>
      <c r="O9" s="34">
        <f>IFERROR(M9/D9-1,0)</f>
        <v/>
      </c>
    </row>
    <row r="10" ht="15" customHeight="1">
      <c r="A10" s="50" t="inlineStr">
        <is>
          <t>6515-0000</t>
        </is>
      </c>
      <c r="B10" s="50" t="inlineStr">
        <is>
          <t>Legal Fees</t>
        </is>
      </c>
      <c r="C10" s="23" t="n"/>
      <c r="D10" s="51" t="n"/>
      <c r="E10" s="51" t="n"/>
      <c r="F10" s="32" t="n">
        <v>0</v>
      </c>
      <c r="G10" s="32" t="n">
        <v>0</v>
      </c>
      <c r="H10" s="51" t="n"/>
      <c r="I10" s="33">
        <f>IFERROR(IF((E10+F10+G10)&gt;=D10,(E10+F10+G10)/Setup!$B$10*Setup!$B$11,D10-(E10+F10+G10)),0)</f>
        <v/>
      </c>
      <c r="J10" s="33">
        <f>E10+F10+G10+I10</f>
        <v/>
      </c>
      <c r="K10" s="32" t="n"/>
      <c r="L10" s="52" t="n">
        <v>0</v>
      </c>
      <c r="M10" s="54">
        <f>J10*(1+L10)</f>
        <v/>
      </c>
      <c r="N10" s="33">
        <f>M10-D10</f>
        <v/>
      </c>
      <c r="O10" s="34">
        <f>IFERROR(M10/D10-1,0)</f>
        <v/>
      </c>
    </row>
    <row r="11" ht="15" customHeight="1">
      <c r="A11" s="50" t="inlineStr">
        <is>
          <t>6520-0000</t>
        </is>
      </c>
      <c r="B11" s="50" t="inlineStr">
        <is>
          <t>Real Estate Tax Certiorari Fees</t>
        </is>
      </c>
      <c r="C11" s="23" t="n"/>
      <c r="D11" s="51" t="n"/>
      <c r="E11" s="51" t="n"/>
      <c r="F11" s="32" t="n">
        <v>0</v>
      </c>
      <c r="G11" s="32" t="n">
        <v>0</v>
      </c>
      <c r="H11" s="51" t="n"/>
      <c r="I11" s="33">
        <f>IFERROR(IF((E11+F11+G11)&gt;=D11,(E11+F11+G11)/Setup!$B$10*Setup!$B$11,D11-(E11+F11+G11)),0)</f>
        <v/>
      </c>
      <c r="J11" s="33">
        <f>E11+F11+G11+I11</f>
        <v/>
      </c>
      <c r="K11" s="32" t="n"/>
      <c r="L11" s="52" t="n">
        <v>0</v>
      </c>
      <c r="M11" s="54">
        <f>J11*(1+L11)</f>
        <v/>
      </c>
      <c r="N11" s="33">
        <f>M11-D11</f>
        <v/>
      </c>
      <c r="O11" s="34">
        <f>IFERROR(M11/D11-1,0)</f>
        <v/>
      </c>
    </row>
    <row r="12" ht="15" customHeight="1">
      <c r="A12" s="50" t="inlineStr">
        <is>
          <t>6525-0000</t>
        </is>
      </c>
      <c r="B12" s="50" t="inlineStr">
        <is>
          <t>Accounting Fees</t>
        </is>
      </c>
      <c r="C12" s="23" t="n"/>
      <c r="D12" s="51" t="n"/>
      <c r="E12" s="51" t="n"/>
      <c r="F12" s="32" t="n">
        <v>0</v>
      </c>
      <c r="G12" s="32" t="n">
        <v>0</v>
      </c>
      <c r="H12" s="51" t="n"/>
      <c r="I12" s="33">
        <f>IFERROR(IF((E12+F12+G12)&gt;=D12,(E12+F12+G12)/Setup!$B$10*Setup!$B$11,D12-(E12+F12+G12)),0)</f>
        <v/>
      </c>
      <c r="J12" s="33">
        <f>E12+F12+G12+I12</f>
        <v/>
      </c>
      <c r="K12" s="32" t="n"/>
      <c r="L12" s="52" t="n">
        <v>0</v>
      </c>
      <c r="M12" s="54">
        <f>J12*(1+L12)</f>
        <v/>
      </c>
      <c r="N12" s="33">
        <f>M12-D12</f>
        <v/>
      </c>
      <c r="O12" s="34">
        <f>IFERROR(M12/D12-1,0)</f>
        <v/>
      </c>
    </row>
    <row r="13" ht="15" customHeight="1">
      <c r="A13" s="50" t="inlineStr">
        <is>
          <t>6590-0000</t>
        </is>
      </c>
      <c r="B13" s="50" t="inlineStr">
        <is>
          <t>Other Professional Fees</t>
        </is>
      </c>
      <c r="C13" s="23" t="n"/>
      <c r="D13" s="51" t="n"/>
      <c r="E13" s="51" t="n"/>
      <c r="F13" s="32" t="n">
        <v>0</v>
      </c>
      <c r="G13" s="32" t="n">
        <v>0</v>
      </c>
      <c r="H13" s="51" t="n"/>
      <c r="I13" s="33">
        <f>IFERROR(IF((E13+F13+G13)&gt;=D13,(E13+F13+G13)/Setup!$B$10*Setup!$B$11,D13-(E13+F13+G13)),0)</f>
        <v/>
      </c>
      <c r="J13" s="33">
        <f>E13+F13+G13+I13</f>
        <v/>
      </c>
      <c r="K13" s="32" t="n"/>
      <c r="L13" s="52" t="n">
        <v>0</v>
      </c>
      <c r="M13" s="54">
        <f>J13*(1+L13)</f>
        <v/>
      </c>
      <c r="N13" s="33">
        <f>M13-D13</f>
        <v/>
      </c>
      <c r="O13" s="34">
        <f>IFERROR(M13/D13-1,0)</f>
        <v/>
      </c>
    </row>
    <row r="14" ht="15" customHeight="1">
      <c r="A14" s="50" t="n"/>
      <c r="B14" s="50" t="n"/>
      <c r="C14" s="23" t="n"/>
      <c r="D14" s="51" t="n">
        <v>0</v>
      </c>
      <c r="E14" s="51" t="n">
        <v>0</v>
      </c>
      <c r="F14" s="32" t="n">
        <v>0</v>
      </c>
      <c r="G14" s="32" t="n">
        <v>0</v>
      </c>
      <c r="H14" s="51" t="n">
        <v>0</v>
      </c>
      <c r="I14" s="33">
        <f>IFERROR(D14-(E14+F14+G14),0)</f>
        <v/>
      </c>
      <c r="J14" s="33">
        <f>E14+F14+G14+I14</f>
        <v/>
      </c>
      <c r="K14" s="52" t="n"/>
      <c r="L14" s="52" t="n">
        <v>0</v>
      </c>
      <c r="M14" s="54">
        <f>J14*(1+L14)</f>
        <v/>
      </c>
      <c r="N14" s="33">
        <f>M14-D14</f>
        <v/>
      </c>
      <c r="O14" s="34">
        <f>IFERROR(M14/D14-1,0)</f>
        <v/>
      </c>
    </row>
    <row r="15" ht="15" customHeight="1">
      <c r="A15" s="50" t="n"/>
      <c r="B15" s="50" t="n"/>
      <c r="C15" s="23" t="n"/>
      <c r="D15" s="51" t="n">
        <v>0</v>
      </c>
      <c r="E15" s="51" t="n">
        <v>0</v>
      </c>
      <c r="F15" s="32" t="n">
        <v>0</v>
      </c>
      <c r="G15" s="32" t="n">
        <v>0</v>
      </c>
      <c r="H15" s="51" t="n">
        <v>0</v>
      </c>
      <c r="I15" s="33">
        <f>IFERROR(D15-(E15+F15+G15),0)</f>
        <v/>
      </c>
      <c r="J15" s="33">
        <f>E15+F15+G15+I15</f>
        <v/>
      </c>
      <c r="K15" s="52" t="n"/>
      <c r="L15" s="52" t="n">
        <v>0</v>
      </c>
      <c r="M15" s="54">
        <f>J15*(1+L15)</f>
        <v/>
      </c>
      <c r="N15" s="33">
        <f>M15-D15</f>
        <v/>
      </c>
      <c r="O15" s="34">
        <f>IFERROR(M15/D15-1,0)</f>
        <v/>
      </c>
    </row>
    <row r="16" ht="15" customHeight="1">
      <c r="A16" s="50" t="n"/>
      <c r="B16" s="50" t="n"/>
      <c r="C16" s="23" t="n"/>
      <c r="D16" s="51" t="n">
        <v>0</v>
      </c>
      <c r="E16" s="51" t="n">
        <v>0</v>
      </c>
      <c r="F16" s="32" t="n">
        <v>0</v>
      </c>
      <c r="G16" s="32" t="n">
        <v>0</v>
      </c>
      <c r="H16" s="51" t="n">
        <v>0</v>
      </c>
      <c r="I16" s="33">
        <f>IFERROR(D16-(E16+F16+G16),0)</f>
        <v/>
      </c>
      <c r="J16" s="33">
        <f>E16+F16+G16+I16</f>
        <v/>
      </c>
      <c r="K16" s="52" t="n"/>
      <c r="L16" s="52" t="n">
        <v>0</v>
      </c>
      <c r="M16" s="54">
        <f>J16*(1+L16)</f>
        <v/>
      </c>
      <c r="N16" s="33">
        <f>M16-D16</f>
        <v/>
      </c>
      <c r="O16" s="34">
        <f>IFERROR(M16/D16-1,0)</f>
        <v/>
      </c>
    </row>
    <row r="17" ht="15" customHeight="1">
      <c r="A17" s="35" t="n"/>
      <c r="B17" s="35" t="inlineStr">
        <is>
          <t>Total Professional Fees</t>
        </is>
      </c>
      <c r="C17" s="35" t="n"/>
      <c r="D17" s="36">
        <f>SUM(D8:D16)</f>
        <v/>
      </c>
      <c r="E17" s="36">
        <f>SUM(E8:E16)</f>
        <v/>
      </c>
      <c r="F17" s="36">
        <f>SUM(F8:F16)</f>
        <v/>
      </c>
      <c r="G17" s="36">
        <f>SUM(G8:G16)</f>
        <v/>
      </c>
      <c r="H17" s="36">
        <f>SUM(H8:H16)</f>
        <v/>
      </c>
      <c r="I17" s="36">
        <f>SUM(I8:I16)</f>
        <v/>
      </c>
      <c r="J17" s="36">
        <f>SUM(J8:J16)</f>
        <v/>
      </c>
      <c r="K17" s="35">
        <f>SUM(K8:K16)</f>
        <v/>
      </c>
      <c r="L17" s="35" t="n"/>
      <c r="M17" s="36">
        <f>SUM(M8:M16)</f>
        <v/>
      </c>
      <c r="N17" s="36">
        <f>SUM(N8:N16)</f>
        <v/>
      </c>
      <c r="O17" s="37">
        <f>IFERROR(M17/D17-1,0)</f>
        <v/>
      </c>
    </row>
    <row r="19" ht="15" customHeight="1">
      <c r="A19" s="7" t="inlineStr">
        <is>
          <t>Administrative &amp; Other</t>
        </is>
      </c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81" t="n"/>
      <c r="N19" s="82" t="n"/>
    </row>
    <row r="20" ht="15" customHeight="1">
      <c r="A20" s="50" t="inlineStr">
        <is>
          <t>6706-0020</t>
        </is>
      </c>
      <c r="B20" s="50" t="inlineStr">
        <is>
          <t>Water Cooler Expense</t>
        </is>
      </c>
      <c r="C20" s="23" t="n"/>
      <c r="D20" s="51" t="n"/>
      <c r="E20" s="51" t="n"/>
      <c r="F20" s="32" t="n">
        <v>0</v>
      </c>
      <c r="G20" s="32" t="n">
        <v>0</v>
      </c>
      <c r="H20" s="51" t="n"/>
      <c r="I20" s="33">
        <f>IFERROR(IF((E20+F20+G20)&gt;=D20,(E20+F20+G20)/Setup!$B$10*Setup!$B$11,D20-(E20+F20+G20)),0)</f>
        <v/>
      </c>
      <c r="J20" s="33">
        <f>E20+F20+G20+I20</f>
        <v/>
      </c>
      <c r="K20" s="32" t="n"/>
      <c r="L20" s="52" t="n">
        <v>0</v>
      </c>
      <c r="M20" s="54">
        <f>J20*(1+L20)</f>
        <v/>
      </c>
      <c r="N20" s="33">
        <f>M20-D20</f>
        <v/>
      </c>
      <c r="O20" s="34">
        <f>IFERROR(M20/D20-1,0)</f>
        <v/>
      </c>
    </row>
    <row r="21" ht="15" customHeight="1">
      <c r="A21" s="50" t="inlineStr">
        <is>
          <t>6708-0000</t>
        </is>
      </c>
      <c r="B21" s="50" t="inlineStr">
        <is>
          <t>Stationery &amp; Printing</t>
        </is>
      </c>
      <c r="C21" s="23" t="n"/>
      <c r="D21" s="51" t="n"/>
      <c r="E21" s="51" t="n"/>
      <c r="F21" s="32" t="n">
        <v>0</v>
      </c>
      <c r="G21" s="32" t="n">
        <v>0</v>
      </c>
      <c r="H21" s="51" t="n"/>
      <c r="I21" s="33">
        <f>IFERROR(IF((E21+F21+G21)&gt;=D21,(E21+F21+G21)/Setup!$B$10*Setup!$B$11,D21-(E21+F21+G21)),0)</f>
        <v/>
      </c>
      <c r="J21" s="33">
        <f>E21+F21+G21+I21</f>
        <v/>
      </c>
      <c r="K21" s="32" t="n"/>
      <c r="L21" s="52" t="n">
        <v>0</v>
      </c>
      <c r="M21" s="54">
        <f>J21*(1+L21)</f>
        <v/>
      </c>
      <c r="N21" s="33">
        <f>M21-D21</f>
        <v/>
      </c>
      <c r="O21" s="34">
        <f>IFERROR(M21/D21-1,0)</f>
        <v/>
      </c>
    </row>
    <row r="22" ht="15" customHeight="1">
      <c r="A22" s="50" t="inlineStr">
        <is>
          <t>6710-0000</t>
        </is>
      </c>
      <c r="B22" s="50" t="inlineStr">
        <is>
          <t>Postage Expense</t>
        </is>
      </c>
      <c r="C22" s="23" t="n"/>
      <c r="D22" s="51" t="n"/>
      <c r="E22" s="51" t="n"/>
      <c r="F22" s="32" t="n">
        <v>0</v>
      </c>
      <c r="G22" s="32" t="n">
        <v>0</v>
      </c>
      <c r="H22" s="51" t="n"/>
      <c r="I22" s="33">
        <f>IFERROR(IF((E22+F22+G22)&gt;=D22,(E22+F22+G22)/Setup!$B$10*Setup!$B$11,D22-(E22+F22+G22)),0)</f>
        <v/>
      </c>
      <c r="J22" s="33">
        <f>E22+F22+G22+I22</f>
        <v/>
      </c>
      <c r="K22" s="32" t="n"/>
      <c r="L22" s="52" t="n">
        <v>0</v>
      </c>
      <c r="M22" s="54">
        <f>J22*(1+L22)</f>
        <v/>
      </c>
      <c r="N22" s="33">
        <f>M22-D22</f>
        <v/>
      </c>
      <c r="O22" s="34">
        <f>IFERROR(M22/D22-1,0)</f>
        <v/>
      </c>
    </row>
    <row r="23" ht="15" customHeight="1">
      <c r="A23" s="50" t="inlineStr">
        <is>
          <t>6710-0015</t>
        </is>
      </c>
      <c r="B23" s="50" t="inlineStr">
        <is>
          <t>Messenger Expense</t>
        </is>
      </c>
      <c r="C23" s="23" t="n"/>
      <c r="D23" s="51" t="n"/>
      <c r="E23" s="51" t="n"/>
      <c r="F23" s="32" t="n">
        <v>0</v>
      </c>
      <c r="G23" s="32" t="n">
        <v>0</v>
      </c>
      <c r="H23" s="51" t="n"/>
      <c r="I23" s="33">
        <f>IFERROR(IF((E23+F23+G23)&gt;=D23,(E23+F23+G23)/Setup!$B$10*Setup!$B$11,D23-(E23+F23+G23)),0)</f>
        <v/>
      </c>
      <c r="J23" s="33">
        <f>E23+F23+G23+I23</f>
        <v/>
      </c>
      <c r="K23" s="32" t="n"/>
      <c r="L23" s="52" t="n">
        <v>0</v>
      </c>
      <c r="M23" s="54">
        <f>J23*(1+L23)</f>
        <v/>
      </c>
      <c r="N23" s="33">
        <f>M23-D23</f>
        <v/>
      </c>
      <c r="O23" s="34">
        <f>IFERROR(M23/D23-1,0)</f>
        <v/>
      </c>
    </row>
    <row r="24" ht="15" customHeight="1">
      <c r="A24" s="50" t="inlineStr">
        <is>
          <t>6712-0000</t>
        </is>
      </c>
      <c r="B24" s="50" t="inlineStr">
        <is>
          <t>Computer Software</t>
        </is>
      </c>
      <c r="C24" s="23" t="n"/>
      <c r="D24" s="51" t="n"/>
      <c r="E24" s="51" t="n"/>
      <c r="F24" s="32" t="n">
        <v>0</v>
      </c>
      <c r="G24" s="32" t="n">
        <v>0</v>
      </c>
      <c r="H24" s="51" t="n"/>
      <c r="I24" s="33">
        <f>IFERROR(IF((E24+F24+G24)&gt;=D24,(E24+F24+G24)/Setup!$B$10*Setup!$B$11,D24-(E24+F24+G24)),0)</f>
        <v/>
      </c>
      <c r="J24" s="33">
        <f>E24+F24+G24+I24</f>
        <v/>
      </c>
      <c r="K24" s="32" t="n"/>
      <c r="L24" s="52" t="n">
        <v>0</v>
      </c>
      <c r="M24" s="54">
        <f>J24*(1+L24)</f>
        <v/>
      </c>
      <c r="N24" s="33">
        <f>M24-D24</f>
        <v/>
      </c>
      <c r="O24" s="34">
        <f>IFERROR(M24/D24-1,0)</f>
        <v/>
      </c>
    </row>
    <row r="25" ht="15" customHeight="1">
      <c r="A25" s="50" t="inlineStr">
        <is>
          <t>6714-0000</t>
        </is>
      </c>
      <c r="B25" s="50" t="inlineStr">
        <is>
          <t>Telephone Expense</t>
        </is>
      </c>
      <c r="C25" s="23" t="n"/>
      <c r="D25" s="51" t="n"/>
      <c r="E25" s="51" t="n"/>
      <c r="F25" s="32" t="n">
        <v>0</v>
      </c>
      <c r="G25" s="32" t="n">
        <v>0</v>
      </c>
      <c r="H25" s="51" t="n"/>
      <c r="I25" s="33">
        <f>IFERROR(IF((E25+F25+G25)&gt;=D25,(E25+F25+G25)/Setup!$B$10*Setup!$B$11,D25-(E25+F25+G25)),0)</f>
        <v/>
      </c>
      <c r="J25" s="33">
        <f>E25+F25+G25+I25</f>
        <v/>
      </c>
      <c r="K25" s="32" t="n"/>
      <c r="L25" s="52" t="n">
        <v>0</v>
      </c>
      <c r="M25" s="54">
        <f>J25*(1+L25)</f>
        <v/>
      </c>
      <c r="N25" s="33">
        <f>M25-D25</f>
        <v/>
      </c>
      <c r="O25" s="34">
        <f>IFERROR(M25/D25-1,0)</f>
        <v/>
      </c>
    </row>
    <row r="26" ht="15" customHeight="1">
      <c r="A26" s="50" t="inlineStr">
        <is>
          <t>6716-0000</t>
        </is>
      </c>
      <c r="B26" s="50" t="inlineStr">
        <is>
          <t>Cable TV Expense</t>
        </is>
      </c>
      <c r="C26" s="23" t="n"/>
      <c r="D26" s="51" t="n"/>
      <c r="E26" s="51" t="n"/>
      <c r="F26" s="32" t="n">
        <v>0</v>
      </c>
      <c r="G26" s="32" t="n">
        <v>0</v>
      </c>
      <c r="H26" s="51" t="n"/>
      <c r="I26" s="33">
        <f>IFERROR(IF((E26+F26+G26)&gt;=D26,(E26+F26+G26)/Setup!$B$10*Setup!$B$11,D26-(E26+F26+G26)),0)</f>
        <v/>
      </c>
      <c r="J26" s="33">
        <f>E26+F26+G26+I26</f>
        <v/>
      </c>
      <c r="K26" s="32" t="n"/>
      <c r="L26" s="52" t="n">
        <v>0</v>
      </c>
      <c r="M26" s="54">
        <f>J26*(1+L26)</f>
        <v/>
      </c>
      <c r="N26" s="33">
        <f>M26-D26</f>
        <v/>
      </c>
      <c r="O26" s="34">
        <f>IFERROR(M26/D26-1,0)</f>
        <v/>
      </c>
    </row>
    <row r="27" ht="15" customHeight="1">
      <c r="A27" s="50" t="inlineStr">
        <is>
          <t>6718-0000</t>
        </is>
      </c>
      <c r="B27" s="50" t="inlineStr">
        <is>
          <t>Photocopy Expense</t>
        </is>
      </c>
      <c r="C27" s="23" t="n"/>
      <c r="D27" s="51" t="n"/>
      <c r="E27" s="51" t="n"/>
      <c r="F27" s="32" t="n">
        <v>0</v>
      </c>
      <c r="G27" s="32" t="n">
        <v>0</v>
      </c>
      <c r="H27" s="51" t="n"/>
      <c r="I27" s="33">
        <f>IFERROR(IF((E27+F27+G27)&gt;=D27,(E27+F27+G27)/Setup!$B$10*Setup!$B$11,D27-(E27+F27+G27)),0)</f>
        <v/>
      </c>
      <c r="J27" s="33">
        <f>E27+F27+G27+I27</f>
        <v/>
      </c>
      <c r="K27" s="32" t="n"/>
      <c r="L27" s="52" t="n">
        <v>0</v>
      </c>
      <c r="M27" s="54">
        <f>J27*(1+L27)</f>
        <v/>
      </c>
      <c r="N27" s="33">
        <f>M27-D27</f>
        <v/>
      </c>
      <c r="O27" s="34">
        <f>IFERROR(M27/D27-1,0)</f>
        <v/>
      </c>
    </row>
    <row r="28" ht="15" customHeight="1">
      <c r="A28" s="50" t="inlineStr">
        <is>
          <t>6720-0000</t>
        </is>
      </c>
      <c r="B28" s="50" t="inlineStr">
        <is>
          <t>Dues &amp; Subscriptions</t>
        </is>
      </c>
      <c r="C28" s="23" t="n"/>
      <c r="D28" s="51" t="n"/>
      <c r="E28" s="51" t="n"/>
      <c r="F28" s="32" t="n">
        <v>0</v>
      </c>
      <c r="G28" s="32" t="n">
        <v>0</v>
      </c>
      <c r="H28" s="51" t="n"/>
      <c r="I28" s="33">
        <f>IFERROR(IF((E28+F28+G28)&gt;=D28,(E28+F28+G28)/Setup!$B$10*Setup!$B$11,D28-(E28+F28+G28)),0)</f>
        <v/>
      </c>
      <c r="J28" s="33">
        <f>E28+F28+G28+I28</f>
        <v/>
      </c>
      <c r="K28" s="32" t="n"/>
      <c r="L28" s="52" t="n">
        <v>0</v>
      </c>
      <c r="M28" s="54">
        <f>J28*(1+L28)</f>
        <v/>
      </c>
      <c r="N28" s="33">
        <f>M28-D28</f>
        <v/>
      </c>
      <c r="O28" s="34">
        <f>IFERROR(M28/D28-1,0)</f>
        <v/>
      </c>
    </row>
    <row r="29" ht="15" customHeight="1">
      <c r="A29" s="50" t="inlineStr">
        <is>
          <t>6722-0000</t>
        </is>
      </c>
      <c r="B29" s="50" t="inlineStr">
        <is>
          <t>Education &amp; Seminars</t>
        </is>
      </c>
      <c r="C29" s="23" t="n"/>
      <c r="D29" s="51" t="n"/>
      <c r="E29" s="51" t="n"/>
      <c r="F29" s="32" t="n">
        <v>0</v>
      </c>
      <c r="G29" s="32" t="n">
        <v>0</v>
      </c>
      <c r="H29" s="51" t="n"/>
      <c r="I29" s="33">
        <f>IFERROR(IF((E29+F29+G29)&gt;=D29,(E29+F29+G29)/Setup!$B$10*Setup!$B$11,D29-(E29+F29+G29)),0)</f>
        <v/>
      </c>
      <c r="J29" s="33">
        <f>E29+F29+G29+I29</f>
        <v/>
      </c>
      <c r="K29" s="32" t="n"/>
      <c r="L29" s="52" t="n">
        <v>0</v>
      </c>
      <c r="M29" s="54">
        <f>J29*(1+L29)</f>
        <v/>
      </c>
      <c r="N29" s="33">
        <f>M29-D29</f>
        <v/>
      </c>
      <c r="O29" s="34">
        <f>IFERROR(M29/D29-1,0)</f>
        <v/>
      </c>
    </row>
    <row r="30" ht="15" customHeight="1">
      <c r="A30" s="50" t="inlineStr">
        <is>
          <t>6726-0000</t>
        </is>
      </c>
      <c r="B30" s="50" t="inlineStr">
        <is>
          <t>Inspection Fees &amp; Permits</t>
        </is>
      </c>
      <c r="C30" s="23" t="n"/>
      <c r="D30" s="51" t="n"/>
      <c r="E30" s="51" t="n"/>
      <c r="F30" s="32" t="n">
        <v>0</v>
      </c>
      <c r="G30" s="32" t="n">
        <v>0</v>
      </c>
      <c r="H30" s="51" t="n"/>
      <c r="I30" s="33">
        <f>IFERROR(IF((E30+F30+G30)&gt;=D30,(E30+F30+G30)/Setup!$B$10*Setup!$B$11,D30-(E30+F30+G30)),0)</f>
        <v/>
      </c>
      <c r="J30" s="33">
        <f>E30+F30+G30+I30</f>
        <v/>
      </c>
      <c r="K30" s="32" t="n"/>
      <c r="L30" s="52" t="n">
        <v>0</v>
      </c>
      <c r="M30" s="54">
        <f>J30*(1+L30)</f>
        <v/>
      </c>
      <c r="N30" s="33">
        <f>M30-D30</f>
        <v/>
      </c>
      <c r="O30" s="34">
        <f>IFERROR(M30/D30-1,0)</f>
        <v/>
      </c>
    </row>
    <row r="31" ht="15" customHeight="1">
      <c r="A31" s="50" t="inlineStr">
        <is>
          <t>6728-0000</t>
        </is>
      </c>
      <c r="B31" s="50" t="inlineStr">
        <is>
          <t>Violations</t>
        </is>
      </c>
      <c r="C31" s="23" t="n"/>
      <c r="D31" s="51" t="n"/>
      <c r="E31" s="51" t="n"/>
      <c r="F31" s="32" t="n">
        <v>0</v>
      </c>
      <c r="G31" s="32" t="n">
        <v>0</v>
      </c>
      <c r="H31" s="51" t="n"/>
      <c r="I31" s="33">
        <f>IFERROR(IF((E31+F31+G31)&gt;=D31,(E31+F31+G31)/Setup!$B$10*Setup!$B$11,D31-(E31+F31+G31)),0)</f>
        <v/>
      </c>
      <c r="J31" s="33">
        <f>E31+F31+G31+I31</f>
        <v/>
      </c>
      <c r="K31" s="32" t="n"/>
      <c r="L31" s="52" t="n">
        <v>0</v>
      </c>
      <c r="M31" s="54">
        <f>J31*(1+L31)</f>
        <v/>
      </c>
      <c r="N31" s="33">
        <f>M31-D31</f>
        <v/>
      </c>
      <c r="O31" s="34">
        <f>IFERROR(M31/D31-1,0)</f>
        <v/>
      </c>
    </row>
    <row r="32" ht="15" customHeight="1">
      <c r="A32" s="50" t="inlineStr">
        <is>
          <t>6732-0000</t>
        </is>
      </c>
      <c r="B32" s="50" t="inlineStr">
        <is>
          <t>Meter Reading Charges</t>
        </is>
      </c>
      <c r="C32" s="23" t="n"/>
      <c r="D32" s="51" t="n"/>
      <c r="E32" s="51" t="n"/>
      <c r="F32" s="32" t="n">
        <v>0</v>
      </c>
      <c r="G32" s="32" t="n">
        <v>0</v>
      </c>
      <c r="H32" s="51" t="n"/>
      <c r="I32" s="33">
        <f>IFERROR(IF((E32+F32+G32)&gt;=D32,(E32+F32+G32)/Setup!$B$10*Setup!$B$11,D32-(E32+F32+G32)),0)</f>
        <v/>
      </c>
      <c r="J32" s="33">
        <f>E32+F32+G32+I32</f>
        <v/>
      </c>
      <c r="K32" s="32" t="n"/>
      <c r="L32" s="52" t="n">
        <v>0</v>
      </c>
      <c r="M32" s="54">
        <f>J32*(1+L32)</f>
        <v/>
      </c>
      <c r="N32" s="33">
        <f>M32-D32</f>
        <v/>
      </c>
      <c r="O32" s="34">
        <f>IFERROR(M32/D32-1,0)</f>
        <v/>
      </c>
    </row>
    <row r="33" ht="15" customHeight="1">
      <c r="A33" s="50" t="inlineStr">
        <is>
          <t>6734-0000</t>
        </is>
      </c>
      <c r="B33" s="50" t="inlineStr">
        <is>
          <t>Gratuities</t>
        </is>
      </c>
      <c r="C33" s="23" t="n"/>
      <c r="D33" s="51" t="n"/>
      <c r="E33" s="51" t="n"/>
      <c r="F33" s="32" t="n">
        <v>0</v>
      </c>
      <c r="G33" s="32" t="n">
        <v>0</v>
      </c>
      <c r="H33" s="51" t="n"/>
      <c r="I33" s="33">
        <f>IFERROR(IF((E33+F33+G33)&gt;=D33,(E33+F33+G33)/Setup!$B$10*Setup!$B$11,D33-(E33+F33+G33)),0)</f>
        <v/>
      </c>
      <c r="J33" s="33">
        <f>E33+F33+G33+I33</f>
        <v/>
      </c>
      <c r="K33" s="32" t="n"/>
      <c r="L33" s="52" t="n">
        <v>0</v>
      </c>
      <c r="M33" s="54">
        <f>J33*(1+L33)</f>
        <v/>
      </c>
      <c r="N33" s="33">
        <f>M33-D33</f>
        <v/>
      </c>
      <c r="O33" s="34">
        <f>IFERROR(M33/D33-1,0)</f>
        <v/>
      </c>
    </row>
    <row r="34" ht="15" customHeight="1">
      <c r="A34" s="50" t="inlineStr">
        <is>
          <t>6736-0000</t>
        </is>
      </c>
      <c r="B34" s="50" t="inlineStr">
        <is>
          <t>Donations</t>
        </is>
      </c>
      <c r="C34" s="23" t="n"/>
      <c r="D34" s="51" t="n"/>
      <c r="E34" s="51" t="n"/>
      <c r="F34" s="32" t="n">
        <v>0</v>
      </c>
      <c r="G34" s="32" t="n">
        <v>0</v>
      </c>
      <c r="H34" s="51" t="n"/>
      <c r="I34" s="33">
        <f>IFERROR(IF((E34+F34+G34)&gt;=D34,(E34+F34+G34)/Setup!$B$10*Setup!$B$11,D34-(E34+F34+G34)),0)</f>
        <v/>
      </c>
      <c r="J34" s="33">
        <f>E34+F34+G34+I34</f>
        <v/>
      </c>
      <c r="K34" s="32" t="n"/>
      <c r="L34" s="52" t="n">
        <v>0</v>
      </c>
      <c r="M34" s="54">
        <f>J34*(1+L34)</f>
        <v/>
      </c>
      <c r="N34" s="33">
        <f>M34-D34</f>
        <v/>
      </c>
      <c r="O34" s="34">
        <f>IFERROR(M34/D34-1,0)</f>
        <v/>
      </c>
    </row>
    <row r="35" ht="15" customHeight="1">
      <c r="A35" s="50" t="inlineStr">
        <is>
          <t>6738-0000</t>
        </is>
      </c>
      <c r="B35" s="50" t="inlineStr">
        <is>
          <t>Meals Reimbursement - Admin</t>
        </is>
      </c>
      <c r="C35" s="23" t="n"/>
      <c r="D35" s="51" t="n"/>
      <c r="E35" s="51" t="n"/>
      <c r="F35" s="32" t="n">
        <v>0</v>
      </c>
      <c r="G35" s="32" t="n">
        <v>0</v>
      </c>
      <c r="H35" s="51" t="n"/>
      <c r="I35" s="33">
        <f>IFERROR(IF((E35+F35+G35)&gt;=D35,(E35+F35+G35)/Setup!$B$10*Setup!$B$11,D35-(E35+F35+G35)),0)</f>
        <v/>
      </c>
      <c r="J35" s="33">
        <f>E35+F35+G35+I35</f>
        <v/>
      </c>
      <c r="K35" s="32" t="n"/>
      <c r="L35" s="52" t="n">
        <v>0</v>
      </c>
      <c r="M35" s="54">
        <f>J35*(1+L35)</f>
        <v/>
      </c>
      <c r="N35" s="33">
        <f>M35-D35</f>
        <v/>
      </c>
      <c r="O35" s="34">
        <f>IFERROR(M35/D35-1,0)</f>
        <v/>
      </c>
    </row>
    <row r="36" ht="15" customHeight="1">
      <c r="A36" s="50" t="inlineStr">
        <is>
          <t>6740-0000</t>
        </is>
      </c>
      <c r="B36" s="50" t="inlineStr">
        <is>
          <t>Security Guards</t>
        </is>
      </c>
      <c r="C36" s="23" t="n"/>
      <c r="D36" s="51" t="n"/>
      <c r="E36" s="51" t="n"/>
      <c r="F36" s="32" t="n">
        <v>0</v>
      </c>
      <c r="G36" s="32" t="n">
        <v>0</v>
      </c>
      <c r="H36" s="51" t="n"/>
      <c r="I36" s="33">
        <f>IFERROR(IF((E36+F36+G36)&gt;=D36,(E36+F36+G36)/Setup!$B$10*Setup!$B$11,D36-(E36+F36+G36)),0)</f>
        <v/>
      </c>
      <c r="J36" s="33">
        <f>E36+F36+G36+I36</f>
        <v/>
      </c>
      <c r="K36" s="32" t="n"/>
      <c r="L36" s="52" t="n">
        <v>0</v>
      </c>
      <c r="M36" s="54">
        <f>J36*(1+L36)</f>
        <v/>
      </c>
      <c r="N36" s="33">
        <f>M36-D36</f>
        <v/>
      </c>
      <c r="O36" s="34">
        <f>IFERROR(M36/D36-1,0)</f>
        <v/>
      </c>
    </row>
    <row r="37" ht="15" customHeight="1">
      <c r="A37" s="50" t="inlineStr">
        <is>
          <t>6742-0000</t>
        </is>
      </c>
      <c r="B37" s="50" t="inlineStr">
        <is>
          <t>Travel Expenses</t>
        </is>
      </c>
      <c r="C37" s="23" t="n"/>
      <c r="D37" s="51" t="n"/>
      <c r="E37" s="51" t="n"/>
      <c r="F37" s="32" t="n">
        <v>0</v>
      </c>
      <c r="G37" s="32" t="n">
        <v>0</v>
      </c>
      <c r="H37" s="51" t="n"/>
      <c r="I37" s="33">
        <f>IFERROR(IF((E37+F37+G37)&gt;=D37,(E37+F37+G37)/Setup!$B$10*Setup!$B$11,D37-(E37+F37+G37)),0)</f>
        <v/>
      </c>
      <c r="J37" s="33">
        <f>E37+F37+G37+I37</f>
        <v/>
      </c>
      <c r="K37" s="32" t="n"/>
      <c r="L37" s="52" t="n">
        <v>0</v>
      </c>
      <c r="M37" s="54">
        <f>J37*(1+L37)</f>
        <v/>
      </c>
      <c r="N37" s="33">
        <f>M37-D37</f>
        <v/>
      </c>
      <c r="O37" s="34">
        <f>IFERROR(M37/D37-1,0)</f>
        <v/>
      </c>
    </row>
    <row r="38" ht="15" customHeight="1">
      <c r="A38" s="50" t="inlineStr">
        <is>
          <t>6746-0000</t>
        </is>
      </c>
      <c r="B38" s="50" t="inlineStr">
        <is>
          <t>Lobby &amp; Hallway Decorations</t>
        </is>
      </c>
      <c r="C38" s="23" t="n"/>
      <c r="D38" s="51" t="n"/>
      <c r="E38" s="51" t="n"/>
      <c r="F38" s="32" t="n">
        <v>0</v>
      </c>
      <c r="G38" s="32" t="n">
        <v>0</v>
      </c>
      <c r="H38" s="51" t="n"/>
      <c r="I38" s="33">
        <f>IFERROR(IF((E38+F38+G38)&gt;=D38,(E38+F38+G38)/Setup!$B$10*Setup!$B$11,D38-(E38+F38+G38)),0)</f>
        <v/>
      </c>
      <c r="J38" s="33">
        <f>E38+F38+G38+I38</f>
        <v/>
      </c>
      <c r="K38" s="32" t="n"/>
      <c r="L38" s="52" t="n">
        <v>0</v>
      </c>
      <c r="M38" s="54">
        <f>J38*(1+L38)</f>
        <v/>
      </c>
      <c r="N38" s="33">
        <f>M38-D38</f>
        <v/>
      </c>
      <c r="O38" s="34">
        <f>IFERROR(M38/D38-1,0)</f>
        <v/>
      </c>
    </row>
    <row r="39" ht="15" customHeight="1">
      <c r="A39" s="50" t="inlineStr">
        <is>
          <t>6748-0000</t>
        </is>
      </c>
      <c r="B39" s="50" t="inlineStr">
        <is>
          <t>Party Supplies</t>
        </is>
      </c>
      <c r="C39" s="23" t="n"/>
      <c r="D39" s="51" t="n"/>
      <c r="E39" s="51" t="n"/>
      <c r="F39" s="32" t="n">
        <v>0</v>
      </c>
      <c r="G39" s="32" t="n">
        <v>0</v>
      </c>
      <c r="H39" s="51" t="n"/>
      <c r="I39" s="33">
        <f>IFERROR(IF((E39+F39+G39)&gt;=D39,(E39+F39+G39)/Setup!$B$10*Setup!$B$11,D39-(E39+F39+G39)),0)</f>
        <v/>
      </c>
      <c r="J39" s="33">
        <f>E39+F39+G39+I39</f>
        <v/>
      </c>
      <c r="K39" s="32" t="n"/>
      <c r="L39" s="52" t="n">
        <v>0</v>
      </c>
      <c r="M39" s="54">
        <f>J39*(1+L39)</f>
        <v/>
      </c>
      <c r="N39" s="33">
        <f>M39-D39</f>
        <v/>
      </c>
      <c r="O39" s="34">
        <f>IFERROR(M39/D39-1,0)</f>
        <v/>
      </c>
    </row>
    <row r="40" ht="15" customHeight="1">
      <c r="A40" s="50" t="inlineStr">
        <is>
          <t>6754-0000</t>
        </is>
      </c>
      <c r="B40" s="50" t="inlineStr">
        <is>
          <t>Credit Check</t>
        </is>
      </c>
      <c r="C40" s="23" t="n"/>
      <c r="D40" s="51" t="n"/>
      <c r="E40" s="51" t="n"/>
      <c r="F40" s="32" t="n">
        <v>0</v>
      </c>
      <c r="G40" s="32" t="n">
        <v>0</v>
      </c>
      <c r="H40" s="51" t="n"/>
      <c r="I40" s="33">
        <f>IFERROR(IF((E40+F40+G40)&gt;=D40,(E40+F40+G40)/Setup!$B$10*Setup!$B$11,D40-(E40+F40+G40)),0)</f>
        <v/>
      </c>
      <c r="J40" s="33">
        <f>E40+F40+G40+I40</f>
        <v/>
      </c>
      <c r="K40" s="32" t="n"/>
      <c r="L40" s="52" t="n">
        <v>0</v>
      </c>
      <c r="M40" s="54">
        <f>J40*(1+L40)</f>
        <v/>
      </c>
      <c r="N40" s="33">
        <f>M40-D40</f>
        <v/>
      </c>
      <c r="O40" s="34">
        <f>IFERROR(M40/D40-1,0)</f>
        <v/>
      </c>
    </row>
    <row r="41" ht="15" customHeight="1">
      <c r="A41" s="50" t="inlineStr">
        <is>
          <t>6762-0000</t>
        </is>
      </c>
      <c r="B41" s="50" t="inlineStr">
        <is>
          <t>1098 Fee's</t>
        </is>
      </c>
      <c r="C41" s="23" t="n"/>
      <c r="D41" s="51" t="n"/>
      <c r="E41" s="51" t="n"/>
      <c r="F41" s="32" t="n">
        <v>0</v>
      </c>
      <c r="G41" s="32" t="n">
        <v>0</v>
      </c>
      <c r="H41" s="51" t="n"/>
      <c r="I41" s="33">
        <f>IFERROR(IF((E41+F41+G41)&gt;=D41,(E41+F41+G41)/Setup!$B$10*Setup!$B$11,D41-(E41+F41+G41)),0)</f>
        <v/>
      </c>
      <c r="J41" s="33">
        <f>E41+F41+G41+I41</f>
        <v/>
      </c>
      <c r="K41" s="32" t="n"/>
      <c r="L41" s="52" t="n">
        <v>0</v>
      </c>
      <c r="M41" s="54">
        <f>J41*(1+L41)</f>
        <v/>
      </c>
      <c r="N41" s="33">
        <f>M41-D41</f>
        <v/>
      </c>
      <c r="O41" s="34">
        <f>IFERROR(M41/D41-1,0)</f>
        <v/>
      </c>
    </row>
    <row r="42" ht="15" customHeight="1">
      <c r="A42" s="50" t="inlineStr">
        <is>
          <t>6763-0000</t>
        </is>
      </c>
      <c r="B42" s="50" t="inlineStr">
        <is>
          <t>Safety Notices</t>
        </is>
      </c>
      <c r="C42" s="23" t="n"/>
      <c r="D42" s="51" t="n"/>
      <c r="E42" s="51" t="n"/>
      <c r="F42" s="32" t="n">
        <v>0</v>
      </c>
      <c r="G42" s="32" t="n">
        <v>0</v>
      </c>
      <c r="H42" s="51" t="n"/>
      <c r="I42" s="33">
        <f>IFERROR(IF((E42+F42+G42)&gt;=D42,(E42+F42+G42)/Setup!$B$10*Setup!$B$11,D42-(E42+F42+G42)),0)</f>
        <v/>
      </c>
      <c r="J42" s="33">
        <f>E42+F42+G42+I42</f>
        <v/>
      </c>
      <c r="K42" s="32" t="n"/>
      <c r="L42" s="52" t="n">
        <v>0</v>
      </c>
      <c r="M42" s="54">
        <f>J42*(1+L42)</f>
        <v/>
      </c>
      <c r="N42" s="33">
        <f>M42-D42</f>
        <v/>
      </c>
      <c r="O42" s="34">
        <f>IFERROR(M42/D42-1,0)</f>
        <v/>
      </c>
    </row>
    <row r="43" ht="15" customHeight="1">
      <c r="A43" s="50" t="inlineStr">
        <is>
          <t>6764-0000</t>
        </is>
      </c>
      <c r="B43" s="50" t="inlineStr">
        <is>
          <t>Abatement Processing</t>
        </is>
      </c>
      <c r="C43" s="23" t="n"/>
      <c r="D43" s="51" t="n"/>
      <c r="E43" s="51" t="n"/>
      <c r="F43" s="32" t="n">
        <v>0</v>
      </c>
      <c r="G43" s="32" t="n">
        <v>0</v>
      </c>
      <c r="H43" s="51" t="n"/>
      <c r="I43" s="33">
        <f>IFERROR(IF((E43+F43+G43)&gt;=D43,(E43+F43+G43)/Setup!$B$10*Setup!$B$11,D43-(E43+F43+G43)),0)</f>
        <v/>
      </c>
      <c r="J43" s="33">
        <f>E43+F43+G43+I43</f>
        <v/>
      </c>
      <c r="K43" s="32" t="n"/>
      <c r="L43" s="52" t="n">
        <v>0</v>
      </c>
      <c r="M43" s="54">
        <f>J43*(1+L43)</f>
        <v/>
      </c>
      <c r="N43" s="33">
        <f>M43-D43</f>
        <v/>
      </c>
      <c r="O43" s="34">
        <f>IFERROR(M43/D43-1,0)</f>
        <v/>
      </c>
    </row>
    <row r="44" ht="15" customHeight="1">
      <c r="A44" s="50" t="inlineStr">
        <is>
          <t>6768-0000</t>
        </is>
      </c>
      <c r="B44" s="50" t="inlineStr">
        <is>
          <t>Secretary Services</t>
        </is>
      </c>
      <c r="C44" s="23" t="n"/>
      <c r="D44" s="51" t="n"/>
      <c r="E44" s="51" t="n"/>
      <c r="F44" s="32" t="n">
        <v>0</v>
      </c>
      <c r="G44" s="32" t="n">
        <v>0</v>
      </c>
      <c r="H44" s="51" t="n"/>
      <c r="I44" s="33">
        <f>IFERROR(IF((E44+F44+G44)&gt;=D44,(E44+F44+G44)/Setup!$B$10*Setup!$B$11,D44-(E44+F44+G44)),0)</f>
        <v/>
      </c>
      <c r="J44" s="33">
        <f>E44+F44+G44+I44</f>
        <v/>
      </c>
      <c r="K44" s="32" t="n"/>
      <c r="L44" s="52" t="n">
        <v>0</v>
      </c>
      <c r="M44" s="54">
        <f>J44*(1+L44)</f>
        <v/>
      </c>
      <c r="N44" s="33">
        <f>M44-D44</f>
        <v/>
      </c>
      <c r="O44" s="34">
        <f>IFERROR(M44/D44-1,0)</f>
        <v/>
      </c>
    </row>
    <row r="45" ht="15" customHeight="1">
      <c r="A45" s="50" t="inlineStr">
        <is>
          <t>6774-0000</t>
        </is>
      </c>
      <c r="B45" s="50" t="inlineStr">
        <is>
          <t>Bank Charges</t>
        </is>
      </c>
      <c r="C45" s="23" t="n"/>
      <c r="D45" s="51" t="n"/>
      <c r="E45" s="51" t="n"/>
      <c r="F45" s="32" t="n">
        <v>0</v>
      </c>
      <c r="G45" s="32" t="n">
        <v>0</v>
      </c>
      <c r="H45" s="51" t="n"/>
      <c r="I45" s="33">
        <f>IFERROR(IF((E45+F45+G45)&gt;=D45,(E45+F45+G45)/Setup!$B$10*Setup!$B$11,D45-(E45+F45+G45)),0)</f>
        <v/>
      </c>
      <c r="J45" s="33">
        <f>E45+F45+G45+I45</f>
        <v/>
      </c>
      <c r="K45" s="32" t="n"/>
      <c r="L45" s="52" t="n">
        <v>0</v>
      </c>
      <c r="M45" s="54">
        <f>J45*(1+L45)</f>
        <v/>
      </c>
      <c r="N45" s="33">
        <f>M45-D45</f>
        <v/>
      </c>
      <c r="O45" s="34">
        <f>IFERROR(M45/D45-1,0)</f>
        <v/>
      </c>
    </row>
    <row r="46" ht="15" customHeight="1">
      <c r="A46" s="50" t="inlineStr">
        <is>
          <t>6795-0000</t>
        </is>
      </c>
      <c r="B46" s="50" t="inlineStr">
        <is>
          <t>Other Administrative</t>
        </is>
      </c>
      <c r="C46" s="23" t="n"/>
      <c r="D46" s="51" t="n"/>
      <c r="E46" s="51" t="n"/>
      <c r="F46" s="32" t="n">
        <v>0</v>
      </c>
      <c r="G46" s="32" t="n">
        <v>0</v>
      </c>
      <c r="H46" s="51" t="n"/>
      <c r="I46" s="33">
        <f>IFERROR(IF((E46+F46+G46)&gt;=D46,(E46+F46+G46)/Setup!$B$10*Setup!$B$11,D46-(E46+F46+G46)),0)</f>
        <v/>
      </c>
      <c r="J46" s="33">
        <f>E46+F46+G46+I46</f>
        <v/>
      </c>
      <c r="K46" s="32" t="n"/>
      <c r="L46" s="52" t="n">
        <v>0</v>
      </c>
      <c r="M46" s="54">
        <f>J46*(1+L46)</f>
        <v/>
      </c>
      <c r="N46" s="33">
        <f>M46-D46</f>
        <v/>
      </c>
      <c r="O46" s="34">
        <f>IFERROR(M46/D46-1,0)</f>
        <v/>
      </c>
    </row>
    <row r="47" ht="15" customHeight="1">
      <c r="A47" s="50" t="n"/>
      <c r="B47" s="50" t="n"/>
      <c r="C47" s="23" t="n"/>
      <c r="D47" s="51" t="n">
        <v>0</v>
      </c>
      <c r="E47" s="51" t="n">
        <v>0</v>
      </c>
      <c r="F47" s="32" t="n">
        <v>0</v>
      </c>
      <c r="G47" s="32" t="n">
        <v>0</v>
      </c>
      <c r="H47" s="51" t="n">
        <v>0</v>
      </c>
      <c r="I47" s="33">
        <f>IFERROR(D47-(E47+F47+G47),0)</f>
        <v/>
      </c>
      <c r="J47" s="33">
        <f>E47+F47+G47+I47</f>
        <v/>
      </c>
      <c r="K47" s="52" t="n"/>
      <c r="L47" s="52" t="n">
        <v>0</v>
      </c>
      <c r="M47" s="54">
        <f>J47*(1+L47)</f>
        <v/>
      </c>
      <c r="N47" s="33">
        <f>M47-D47</f>
        <v/>
      </c>
      <c r="O47" s="34">
        <f>IFERROR(M47/D47-1,0)</f>
        <v/>
      </c>
    </row>
    <row r="48" ht="15" customHeight="1">
      <c r="A48" s="50" t="n"/>
      <c r="B48" s="50" t="n"/>
      <c r="C48" s="23" t="n"/>
      <c r="D48" s="51" t="n">
        <v>0</v>
      </c>
      <c r="E48" s="51" t="n">
        <v>0</v>
      </c>
      <c r="F48" s="32" t="n">
        <v>0</v>
      </c>
      <c r="G48" s="32" t="n">
        <v>0</v>
      </c>
      <c r="H48" s="51" t="n">
        <v>0</v>
      </c>
      <c r="I48" s="33">
        <f>IFERROR(D48-(E48+F48+G48),0)</f>
        <v/>
      </c>
      <c r="J48" s="33">
        <f>E48+F48+G48+I48</f>
        <v/>
      </c>
      <c r="K48" s="52" t="n"/>
      <c r="L48" s="52" t="n">
        <v>0</v>
      </c>
      <c r="M48" s="54">
        <f>J48*(1+L48)</f>
        <v/>
      </c>
      <c r="N48" s="33">
        <f>M48-D48</f>
        <v/>
      </c>
      <c r="O48" s="34">
        <f>IFERROR(M48/D48-1,0)</f>
        <v/>
      </c>
    </row>
    <row r="49" ht="15" customHeight="1">
      <c r="A49" s="50" t="n"/>
      <c r="B49" s="50" t="n"/>
      <c r="C49" s="23" t="n"/>
      <c r="D49" s="51" t="n">
        <v>0</v>
      </c>
      <c r="E49" s="51" t="n">
        <v>0</v>
      </c>
      <c r="F49" s="32" t="n">
        <v>0</v>
      </c>
      <c r="G49" s="32" t="n">
        <v>0</v>
      </c>
      <c r="H49" s="51" t="n">
        <v>0</v>
      </c>
      <c r="I49" s="33">
        <f>IFERROR(D49-(E49+F49+G49),0)</f>
        <v/>
      </c>
      <c r="J49" s="33">
        <f>E49+F49+G49+I49</f>
        <v/>
      </c>
      <c r="K49" s="52" t="n"/>
      <c r="L49" s="52" t="n">
        <v>0</v>
      </c>
      <c r="M49" s="54">
        <f>J49*(1+L49)</f>
        <v/>
      </c>
      <c r="N49" s="33">
        <f>M49-D49</f>
        <v/>
      </c>
      <c r="O49" s="34">
        <f>IFERROR(M49/D49-1,0)</f>
        <v/>
      </c>
    </row>
    <row r="50" ht="15" customHeight="1">
      <c r="A50" s="35" t="n"/>
      <c r="B50" s="35" t="inlineStr">
        <is>
          <t>Total Administrative &amp; Other</t>
        </is>
      </c>
      <c r="C50" s="35" t="n"/>
      <c r="D50" s="36">
        <f>SUM(D20:D49)</f>
        <v/>
      </c>
      <c r="E50" s="36">
        <f>SUM(E20:E49)</f>
        <v/>
      </c>
      <c r="F50" s="36">
        <f>SUM(F20:F49)</f>
        <v/>
      </c>
      <c r="G50" s="36">
        <f>SUM(G20:G49)</f>
        <v/>
      </c>
      <c r="H50" s="36">
        <f>SUM(H20:H49)</f>
        <v/>
      </c>
      <c r="I50" s="36">
        <f>SUM(I20:I49)</f>
        <v/>
      </c>
      <c r="J50" s="36">
        <f>SUM(J20:J49)</f>
        <v/>
      </c>
      <c r="K50" s="35">
        <f>SUM(K20:K49)</f>
        <v/>
      </c>
      <c r="L50" s="35" t="n"/>
      <c r="M50" s="36">
        <f>SUM(M20:M49)</f>
        <v/>
      </c>
      <c r="N50" s="36">
        <f>SUM(N20:N49)</f>
        <v/>
      </c>
      <c r="O50" s="37">
        <f>IFERROR(M50/D50-1,0)</f>
        <v/>
      </c>
    </row>
    <row r="52" ht="15" customHeight="1">
      <c r="A52" s="7" t="inlineStr">
        <is>
          <t>Insurance</t>
        </is>
      </c>
      <c r="B52" s="81" t="n"/>
      <c r="C52" s="81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2" t="n"/>
    </row>
    <row r="53" ht="15" customHeight="1">
      <c r="A53" s="50" t="inlineStr">
        <is>
          <t>6105-0000</t>
        </is>
      </c>
      <c r="B53" s="50" t="inlineStr">
        <is>
          <t>Package Policy</t>
        </is>
      </c>
      <c r="C53" s="23" t="n"/>
      <c r="D53" s="51" t="n"/>
      <c r="E53" s="51" t="n"/>
      <c r="F53" s="32" t="n">
        <v>0</v>
      </c>
      <c r="G53" s="32" t="n">
        <v>0</v>
      </c>
      <c r="H53" s="51" t="n"/>
      <c r="I53" s="33">
        <f>IFERROR(IF((E53+F53+G53)&gt;=D53,(E53+F53+G53)/Setup!$B$10*Setup!$B$11,D53-(E53+F53+G53)),0)</f>
        <v/>
      </c>
      <c r="J53" s="33">
        <f>E53+F53+G53+I53</f>
        <v/>
      </c>
      <c r="K53" s="32" t="n"/>
      <c r="L53" s="52" t="n">
        <v>0</v>
      </c>
      <c r="M53" s="53">
        <f>'Insurance Schedule'!L12</f>
        <v/>
      </c>
      <c r="N53" s="33">
        <f>M53-D53</f>
        <v/>
      </c>
      <c r="O53" s="34">
        <f>IFERROR(M53/D53-1,0)</f>
        <v/>
      </c>
    </row>
    <row r="54" ht="15" customHeight="1">
      <c r="A54" s="50" t="inlineStr">
        <is>
          <t>6110-0000</t>
        </is>
      </c>
      <c r="B54" s="50" t="inlineStr">
        <is>
          <t>General Liability</t>
        </is>
      </c>
      <c r="C54" s="23" t="n"/>
      <c r="D54" s="51" t="n"/>
      <c r="E54" s="51" t="n"/>
      <c r="F54" s="32" t="n">
        <v>0</v>
      </c>
      <c r="G54" s="32" t="n">
        <v>0</v>
      </c>
      <c r="H54" s="51" t="n"/>
      <c r="I54" s="33">
        <f>IFERROR(IF((E54+F54+G54)&gt;=D54,(E54+F54+G54)/Setup!$B$10*Setup!$B$11,D54-(E54+F54+G54)),0)</f>
        <v/>
      </c>
      <c r="J54" s="33">
        <f>E54+F54+G54+I54</f>
        <v/>
      </c>
      <c r="K54" s="32" t="n"/>
      <c r="L54" s="52" t="n">
        <v>0</v>
      </c>
      <c r="M54" s="53">
        <f>'Insurance Schedule'!L13</f>
        <v/>
      </c>
      <c r="N54" s="33">
        <f>M54-D54</f>
        <v/>
      </c>
      <c r="O54" s="34">
        <f>IFERROR(M54/D54-1,0)</f>
        <v/>
      </c>
    </row>
    <row r="55" ht="15" customHeight="1">
      <c r="A55" s="50" t="inlineStr">
        <is>
          <t>6115-0000</t>
        </is>
      </c>
      <c r="B55" s="50" t="inlineStr">
        <is>
          <t>Umbrella Insurance</t>
        </is>
      </c>
      <c r="C55" s="23" t="n"/>
      <c r="D55" s="51" t="n"/>
      <c r="E55" s="51" t="n"/>
      <c r="F55" s="32" t="n">
        <v>0</v>
      </c>
      <c r="G55" s="32" t="n">
        <v>0</v>
      </c>
      <c r="H55" s="51" t="n"/>
      <c r="I55" s="33">
        <f>IFERROR(IF((E55+F55+G55)&gt;=D55,(E55+F55+G55)/Setup!$B$10*Setup!$B$11,D55-(E55+F55+G55)),0)</f>
        <v/>
      </c>
      <c r="J55" s="33">
        <f>E55+F55+G55+I55</f>
        <v/>
      </c>
      <c r="K55" s="32" t="n"/>
      <c r="L55" s="52" t="n">
        <v>0</v>
      </c>
      <c r="M55" s="53">
        <f>'Insurance Schedule'!L14</f>
        <v/>
      </c>
      <c r="N55" s="33">
        <f>M55-D55</f>
        <v/>
      </c>
      <c r="O55" s="34">
        <f>IFERROR(M55/D55-1,0)</f>
        <v/>
      </c>
    </row>
    <row r="56" ht="15" customHeight="1">
      <c r="A56" s="50" t="inlineStr">
        <is>
          <t>6120-0000</t>
        </is>
      </c>
      <c r="B56" s="50" t="inlineStr">
        <is>
          <t>Umbrella Insurance</t>
        </is>
      </c>
      <c r="C56" s="23" t="n"/>
      <c r="D56" s="51" t="n"/>
      <c r="E56" s="51" t="n"/>
      <c r="F56" s="32" t="n">
        <v>0</v>
      </c>
      <c r="G56" s="32" t="n">
        <v>0</v>
      </c>
      <c r="H56" s="51" t="n"/>
      <c r="I56" s="33">
        <f>IFERROR(IF((E56+F56+G56)&gt;=D56,(E56+F56+G56)/Setup!$B$10*Setup!$B$11,D56-(E56+F56+G56)),0)</f>
        <v/>
      </c>
      <c r="J56" s="33">
        <f>E56+F56+G56+I56</f>
        <v/>
      </c>
      <c r="K56" s="32" t="n"/>
      <c r="L56" s="52" t="n">
        <v>0</v>
      </c>
      <c r="M56" s="53">
        <f>'Insurance Schedule'!L19</f>
        <v/>
      </c>
      <c r="N56" s="33">
        <f>M56-D56</f>
        <v/>
      </c>
      <c r="O56" s="34">
        <f>IFERROR(M56/D56-1,0)</f>
        <v/>
      </c>
    </row>
    <row r="57" ht="15" customHeight="1">
      <c r="A57" s="50" t="inlineStr">
        <is>
          <t>6125-0000</t>
        </is>
      </c>
      <c r="B57" s="50" t="inlineStr">
        <is>
          <t>D&amp;O Insurance</t>
        </is>
      </c>
      <c r="C57" s="23" t="n"/>
      <c r="D57" s="51" t="n"/>
      <c r="E57" s="51" t="n"/>
      <c r="F57" s="32" t="n">
        <v>0</v>
      </c>
      <c r="G57" s="32" t="n">
        <v>0</v>
      </c>
      <c r="H57" s="51" t="n"/>
      <c r="I57" s="33">
        <f>IFERROR(IF((E57+F57+G57)&gt;=D57,(E57+F57+G57)/Setup!$B$10*Setup!$B$11,D57-(E57+F57+G57)),0)</f>
        <v/>
      </c>
      <c r="J57" s="33">
        <f>E57+F57+G57+I57</f>
        <v/>
      </c>
      <c r="K57" s="32" t="n"/>
      <c r="L57" s="52" t="n">
        <v>0</v>
      </c>
      <c r="M57" s="53">
        <f>'Insurance Schedule'!L15</f>
        <v/>
      </c>
      <c r="N57" s="33">
        <f>M57-D57</f>
        <v/>
      </c>
      <c r="O57" s="34">
        <f>IFERROR(M57/D57-1,0)</f>
        <v/>
      </c>
    </row>
    <row r="58" ht="15" customHeight="1">
      <c r="A58" s="50" t="inlineStr">
        <is>
          <t>6126-0000</t>
        </is>
      </c>
      <c r="B58" s="50" t="inlineStr">
        <is>
          <t>Cyber Insurance</t>
        </is>
      </c>
      <c r="C58" s="23" t="n"/>
      <c r="D58" s="51" t="n"/>
      <c r="E58" s="51" t="n"/>
      <c r="F58" s="32" t="n">
        <v>0</v>
      </c>
      <c r="G58" s="32" t="n">
        <v>0</v>
      </c>
      <c r="H58" s="51" t="n"/>
      <c r="I58" s="33">
        <f>IFERROR(IF((E58+F58+G58)&gt;=D58,(E58+F58+G58)/Setup!$B$10*Setup!$B$11,D58-(E58+F58+G58)),0)</f>
        <v/>
      </c>
      <c r="J58" s="33">
        <f>E58+F58+G58+I58</f>
        <v/>
      </c>
      <c r="K58" s="32" t="n"/>
      <c r="L58" s="52" t="n">
        <v>0</v>
      </c>
      <c r="M58" s="53">
        <f>'Insurance Schedule'!L16</f>
        <v/>
      </c>
      <c r="N58" s="33">
        <f>M58-D58</f>
        <v/>
      </c>
      <c r="O58" s="34">
        <f>IFERROR(M58/D58-1,0)</f>
        <v/>
      </c>
    </row>
    <row r="59" ht="15" customHeight="1">
      <c r="A59" s="50" t="inlineStr">
        <is>
          <t>6135-0000</t>
        </is>
      </c>
      <c r="B59" s="50" t="inlineStr">
        <is>
          <t>Crime/Fidelity</t>
        </is>
      </c>
      <c r="C59" s="23" t="n"/>
      <c r="D59" s="51" t="n"/>
      <c r="E59" s="51" t="n"/>
      <c r="F59" s="32" t="n">
        <v>0</v>
      </c>
      <c r="G59" s="32" t="n">
        <v>0</v>
      </c>
      <c r="H59" s="51" t="n"/>
      <c r="I59" s="33">
        <f>IFERROR(IF((E59+F59+G59)&gt;=D59,(E59+F59+G59)/Setup!$B$10*Setup!$B$11,D59-(E59+F59+G59)),0)</f>
        <v/>
      </c>
      <c r="J59" s="33">
        <f>E59+F59+G59+I59</f>
        <v/>
      </c>
      <c r="K59" s="32" t="n"/>
      <c r="L59" s="52" t="n">
        <v>0</v>
      </c>
      <c r="M59" s="53">
        <f>'Insurance Schedule'!L17</f>
        <v/>
      </c>
      <c r="N59" s="33">
        <f>M59-D59</f>
        <v/>
      </c>
      <c r="O59" s="34">
        <f>IFERROR(M59/D59-1,0)</f>
        <v/>
      </c>
    </row>
    <row r="60" ht="15" customHeight="1">
      <c r="A60" s="50" t="inlineStr">
        <is>
          <t>6180-0000</t>
        </is>
      </c>
      <c r="B60" s="50" t="inlineStr">
        <is>
          <t>D&amp;O (alt GL)</t>
        </is>
      </c>
      <c r="C60" s="23" t="n"/>
      <c r="D60" s="51" t="n"/>
      <c r="E60" s="51" t="n"/>
      <c r="F60" s="32" t="n">
        <v>0</v>
      </c>
      <c r="G60" s="32" t="n">
        <v>0</v>
      </c>
      <c r="H60" s="51" t="n"/>
      <c r="I60" s="33">
        <f>IFERROR(IF((E60+F60+G60)&gt;=D60,(E60+F60+G60)/Setup!$B$10*Setup!$B$11,D60-(E60+F60+G60)),0)</f>
        <v/>
      </c>
      <c r="J60" s="33">
        <f>E60+F60+G60+I60</f>
        <v/>
      </c>
      <c r="K60" s="32" t="n"/>
      <c r="L60" s="52" t="n">
        <v>0</v>
      </c>
      <c r="M60" s="53">
        <f>'Insurance Schedule'!L20</f>
        <v/>
      </c>
      <c r="N60" s="33">
        <f>M60-D60</f>
        <v/>
      </c>
      <c r="O60" s="34">
        <f>IFERROR(M60/D60-1,0)</f>
        <v/>
      </c>
    </row>
    <row r="61" ht="15" customHeight="1">
      <c r="A61" s="50" t="inlineStr">
        <is>
          <t>6195-0000</t>
        </is>
      </c>
      <c r="B61" s="50" t="inlineStr">
        <is>
          <t>Other Insurance</t>
        </is>
      </c>
      <c r="C61" s="23" t="n"/>
      <c r="D61" s="51" t="n"/>
      <c r="E61" s="51" t="n"/>
      <c r="F61" s="32" t="n">
        <v>0</v>
      </c>
      <c r="G61" s="32" t="n">
        <v>0</v>
      </c>
      <c r="H61" s="51" t="n"/>
      <c r="I61" s="33">
        <f>IFERROR(IF((E61+F61+G61)&gt;=D61,(E61+F61+G61)/Setup!$B$10*Setup!$B$11,D61-(E61+F61+G61)),0)</f>
        <v/>
      </c>
      <c r="J61" s="33">
        <f>E61+F61+G61+I61</f>
        <v/>
      </c>
      <c r="K61" s="32" t="n"/>
      <c r="L61" s="52" t="n">
        <v>0</v>
      </c>
      <c r="M61" s="53">
        <f>'Insurance Schedule'!L18</f>
        <v/>
      </c>
      <c r="N61" s="33">
        <f>M61-D61</f>
        <v/>
      </c>
      <c r="O61" s="34">
        <f>IFERROR(M61/D61-1,0)</f>
        <v/>
      </c>
    </row>
    <row r="62" ht="15" customHeight="1">
      <c r="A62" s="50" t="n"/>
      <c r="B62" s="50" t="n"/>
      <c r="C62" s="23" t="n"/>
      <c r="D62" s="51" t="n">
        <v>0</v>
      </c>
      <c r="E62" s="51" t="n">
        <v>0</v>
      </c>
      <c r="F62" s="32" t="n">
        <v>0</v>
      </c>
      <c r="G62" s="32" t="n">
        <v>0</v>
      </c>
      <c r="H62" s="51" t="n">
        <v>0</v>
      </c>
      <c r="I62" s="33">
        <f>IFERROR(D62-(E62+F62+G62),0)</f>
        <v/>
      </c>
      <c r="J62" s="33">
        <f>E62+F62+G62+I62</f>
        <v/>
      </c>
      <c r="K62" s="52" t="n"/>
      <c r="L62" s="52" t="n">
        <v>0</v>
      </c>
      <c r="M62" s="54">
        <f>J62*(1+L62)</f>
        <v/>
      </c>
      <c r="N62" s="33">
        <f>M62-D62</f>
        <v/>
      </c>
      <c r="O62" s="34">
        <f>IFERROR(M62/D62-1,0)</f>
        <v/>
      </c>
    </row>
    <row r="63" ht="15" customHeight="1">
      <c r="A63" s="50" t="n"/>
      <c r="B63" s="50" t="n"/>
      <c r="C63" s="23" t="n"/>
      <c r="D63" s="51" t="n">
        <v>0</v>
      </c>
      <c r="E63" s="51" t="n">
        <v>0</v>
      </c>
      <c r="F63" s="32" t="n">
        <v>0</v>
      </c>
      <c r="G63" s="32" t="n">
        <v>0</v>
      </c>
      <c r="H63" s="51" t="n">
        <v>0</v>
      </c>
      <c r="I63" s="33">
        <f>IFERROR(D63-(E63+F63+G63),0)</f>
        <v/>
      </c>
      <c r="J63" s="33">
        <f>E63+F63+G63+I63</f>
        <v/>
      </c>
      <c r="K63" s="52" t="n"/>
      <c r="L63" s="52" t="n">
        <v>0</v>
      </c>
      <c r="M63" s="54">
        <f>J63*(1+L63)</f>
        <v/>
      </c>
      <c r="N63" s="33">
        <f>M63-D63</f>
        <v/>
      </c>
      <c r="O63" s="34">
        <f>IFERROR(M63/D63-1,0)</f>
        <v/>
      </c>
    </row>
    <row r="64" ht="15" customHeight="1">
      <c r="A64" s="50" t="n"/>
      <c r="B64" s="50" t="n"/>
      <c r="C64" s="23" t="n"/>
      <c r="D64" s="51" t="n">
        <v>0</v>
      </c>
      <c r="E64" s="51" t="n">
        <v>0</v>
      </c>
      <c r="F64" s="32" t="n">
        <v>0</v>
      </c>
      <c r="G64" s="32" t="n">
        <v>0</v>
      </c>
      <c r="H64" s="51" t="n">
        <v>0</v>
      </c>
      <c r="I64" s="33">
        <f>IFERROR(D64-(E64+F64+G64),0)</f>
        <v/>
      </c>
      <c r="J64" s="33">
        <f>E64+F64+G64+I64</f>
        <v/>
      </c>
      <c r="K64" s="52" t="n"/>
      <c r="L64" s="52" t="n">
        <v>0</v>
      </c>
      <c r="M64" s="54">
        <f>J64*(1+L64)</f>
        <v/>
      </c>
      <c r="N64" s="33">
        <f>M64-D64</f>
        <v/>
      </c>
      <c r="O64" s="34">
        <f>IFERROR(M64/D64-1,0)</f>
        <v/>
      </c>
    </row>
    <row r="65" ht="15" customHeight="1">
      <c r="A65" s="35" t="n"/>
      <c r="B65" s="35" t="inlineStr">
        <is>
          <t>Total Insurance</t>
        </is>
      </c>
      <c r="C65" s="35" t="n"/>
      <c r="D65" s="36">
        <f>SUM(D53:D64)</f>
        <v/>
      </c>
      <c r="E65" s="36">
        <f>SUM(E53:E64)</f>
        <v/>
      </c>
      <c r="F65" s="36">
        <f>SUM(F53:F64)</f>
        <v/>
      </c>
      <c r="G65" s="36">
        <f>SUM(G53:G64)</f>
        <v/>
      </c>
      <c r="H65" s="36">
        <f>SUM(H53:H64)</f>
        <v/>
      </c>
      <c r="I65" s="36">
        <f>SUM(I53:I64)</f>
        <v/>
      </c>
      <c r="J65" s="36">
        <f>SUM(J53:J64)</f>
        <v/>
      </c>
      <c r="K65" s="35">
        <f>SUM(K53:K64)</f>
        <v/>
      </c>
      <c r="L65" s="35" t="n"/>
      <c r="M65" s="36">
        <f>SUM(M53:M64)</f>
        <v/>
      </c>
      <c r="N65" s="36">
        <f>SUM(N53:N64)</f>
        <v/>
      </c>
      <c r="O65" s="37">
        <f>IFERROR(M65/D65-1,0)</f>
        <v/>
      </c>
    </row>
    <row r="67" ht="15" customHeight="1">
      <c r="A67" s="7" t="inlineStr">
        <is>
          <t>Taxes</t>
        </is>
      </c>
      <c r="B67" s="81" t="n"/>
      <c r="C67" s="81" t="n"/>
      <c r="D67" s="81" t="n"/>
      <c r="E67" s="81" t="n"/>
      <c r="F67" s="81" t="n"/>
      <c r="G67" s="81" t="n"/>
      <c r="H67" s="81" t="n"/>
      <c r="I67" s="81" t="n"/>
      <c r="J67" s="81" t="n"/>
      <c r="K67" s="81" t="n"/>
      <c r="L67" s="81" t="n"/>
      <c r="M67" s="81" t="n"/>
      <c r="N67" s="82" t="n"/>
    </row>
    <row r="68" ht="15" customHeight="1">
      <c r="A68" s="50" t="inlineStr">
        <is>
          <t>6310-0000</t>
        </is>
      </c>
      <c r="B68" s="50" t="inlineStr">
        <is>
          <t>Corporation Tax</t>
        </is>
      </c>
      <c r="C68" s="23" t="n"/>
      <c r="D68" s="51" t="n"/>
      <c r="E68" s="51" t="n"/>
      <c r="F68" s="32" t="n">
        <v>0</v>
      </c>
      <c r="G68" s="32" t="n">
        <v>0</v>
      </c>
      <c r="H68" s="51" t="n"/>
      <c r="I68" s="33">
        <f>IFERROR(IF((E68+F68+G68)&gt;=D68,(E68+F68+G68)/Setup!$B$10*Setup!$B$11,D68-(E68+F68+G68)),0)</f>
        <v/>
      </c>
      <c r="J68" s="33">
        <f>E68+F68+G68+I68</f>
        <v/>
      </c>
      <c r="K68" s="32" t="n"/>
      <c r="L68" s="52" t="n">
        <v>0</v>
      </c>
      <c r="M68" s="54">
        <f>J68*(1+L68)</f>
        <v/>
      </c>
      <c r="N68" s="33">
        <f>M68-D68</f>
        <v/>
      </c>
      <c r="O68" s="34">
        <f>IFERROR(M68/D68-1,0)</f>
        <v/>
      </c>
    </row>
    <row r="69" ht="15" customHeight="1">
      <c r="A69" s="50" t="inlineStr">
        <is>
          <t>6315-0000</t>
        </is>
      </c>
      <c r="B69" s="50" t="inlineStr">
        <is>
          <t>Real Estate Tax</t>
        </is>
      </c>
      <c r="C69" s="23" t="inlineStr">
        <is>
          <t>Gross Tax from RE Taxes calc</t>
        </is>
      </c>
      <c r="D69" s="51" t="n"/>
      <c r="E69" s="51" t="n"/>
      <c r="F69" s="32" t="n">
        <v>0</v>
      </c>
      <c r="G69" s="32" t="n">
        <v>0</v>
      </c>
      <c r="H69" s="51" t="n"/>
      <c r="I69" s="33">
        <f>IFERROR(IF((E69+F69+G69)&gt;=D69,(E69+F69+G69)/Setup!$B$10*Setup!$B$11,D69-(E69+F69+G69)),0)</f>
        <v/>
      </c>
      <c r="J69" s="33">
        <f>E69+F69+G69+I69</f>
        <v/>
      </c>
      <c r="K69" s="32" t="n"/>
      <c r="L69" s="52" t="n">
        <v>0</v>
      </c>
      <c r="M69" s="53">
        <f>'RE Taxes'!B15</f>
        <v/>
      </c>
      <c r="N69" s="33">
        <f>M69-D69</f>
        <v/>
      </c>
      <c r="O69" s="34">
        <f>IFERROR(M69/D69-1,0)</f>
        <v/>
      </c>
    </row>
    <row r="70" ht="15" customHeight="1">
      <c r="A70" s="50" t="inlineStr">
        <is>
          <t>6315-0010</t>
        </is>
      </c>
      <c r="B70" s="50" t="inlineStr">
        <is>
          <t>Real Estate Tax Abatement</t>
        </is>
      </c>
      <c r="C70" s="23" t="inlineStr">
        <is>
          <t>Co-op Abatement (negated)</t>
        </is>
      </c>
      <c r="D70" s="51" t="n"/>
      <c r="E70" s="51" t="n"/>
      <c r="F70" s="32" t="n">
        <v>0</v>
      </c>
      <c r="G70" s="32" t="n">
        <v>0</v>
      </c>
      <c r="H70" s="51" t="n"/>
      <c r="I70" s="33">
        <f>IFERROR(IF((E70+F70+G70)&gt;=D70,(E70+F70+G70)/Setup!$B$10*Setup!$B$11,D70-(E70+F70+G70)),0)</f>
        <v/>
      </c>
      <c r="J70" s="33">
        <f>E70+F70+G70+I70</f>
        <v/>
      </c>
      <c r="K70" s="32" t="n"/>
      <c r="L70" s="52" t="n">
        <v>0</v>
      </c>
      <c r="M70" s="53">
        <f>-'RE Taxes'!D22</f>
        <v/>
      </c>
      <c r="N70" s="33">
        <f>M70-D70</f>
        <v/>
      </c>
      <c r="O70" s="34">
        <f>IFERROR(M70/D70-1,0)</f>
        <v/>
      </c>
    </row>
    <row r="71" ht="15" customHeight="1">
      <c r="A71" s="50" t="inlineStr">
        <is>
          <t>6315-0020</t>
        </is>
      </c>
      <c r="B71" s="50" t="inlineStr">
        <is>
          <t>STAR Exemption</t>
        </is>
      </c>
      <c r="C71" s="23" t="inlineStr">
        <is>
          <t>STAR Exemption (negated)</t>
        </is>
      </c>
      <c r="D71" s="51" t="n"/>
      <c r="E71" s="51" t="n"/>
      <c r="F71" s="32" t="n">
        <v>0</v>
      </c>
      <c r="G71" s="32" t="n">
        <v>0</v>
      </c>
      <c r="H71" s="51" t="n"/>
      <c r="I71" s="33">
        <f>IFERROR(IF((E71+F71+G71)&gt;=D71,(E71+F71+G71)/Setup!$B$10*Setup!$B$11,D71-(E71+F71+G71)),0)</f>
        <v/>
      </c>
      <c r="J71" s="33">
        <f>E71+F71+G71+I71</f>
        <v/>
      </c>
      <c r="K71" s="32" t="n"/>
      <c r="L71" s="52" t="n">
        <v>0</v>
      </c>
      <c r="M71" s="53">
        <f>-'RE Taxes'!D21</f>
        <v/>
      </c>
      <c r="N71" s="33">
        <f>M71-D71</f>
        <v/>
      </c>
      <c r="O71" s="34">
        <f>IFERROR(M71/D71-1,0)</f>
        <v/>
      </c>
    </row>
    <row r="72" ht="15" customHeight="1">
      <c r="A72" s="50" t="inlineStr">
        <is>
          <t>6315-0025</t>
        </is>
      </c>
      <c r="B72" s="50" t="inlineStr">
        <is>
          <t>Veteran Exemption</t>
        </is>
      </c>
      <c r="C72" s="23" t="inlineStr">
        <is>
          <t>Veteran Exemption (negated)</t>
        </is>
      </c>
      <c r="D72" s="51" t="n"/>
      <c r="E72" s="51" t="n"/>
      <c r="F72" s="32" t="n">
        <v>0</v>
      </c>
      <c r="G72" s="32" t="n">
        <v>0</v>
      </c>
      <c r="H72" s="51" t="n"/>
      <c r="I72" s="33">
        <f>IFERROR(IF((E72+F72+G72)&gt;=D72,(E72+F72+G72)/Setup!$B$10*Setup!$B$11,D72-(E72+F72+G72)),0)</f>
        <v/>
      </c>
      <c r="J72" s="33">
        <f>E72+F72+G72+I72</f>
        <v/>
      </c>
      <c r="K72" s="32" t="n"/>
      <c r="L72" s="52" t="n">
        <v>0</v>
      </c>
      <c r="M72" s="53">
        <f>-'RE Taxes'!D19</f>
        <v/>
      </c>
      <c r="N72" s="33">
        <f>M72-D72</f>
        <v/>
      </c>
      <c r="O72" s="34">
        <f>IFERROR(M72/D72-1,0)</f>
        <v/>
      </c>
    </row>
    <row r="73" ht="15" customHeight="1">
      <c r="A73" s="50" t="inlineStr">
        <is>
          <t>6315-0035</t>
        </is>
      </c>
      <c r="B73" s="50" t="inlineStr">
        <is>
          <t>SCHE Credit</t>
        </is>
      </c>
      <c r="C73" s="23" t="inlineStr">
        <is>
          <t>SCHE Credit (negated)</t>
        </is>
      </c>
      <c r="D73" s="51" t="n"/>
      <c r="E73" s="51" t="n"/>
      <c r="F73" s="32" t="n">
        <v>0</v>
      </c>
      <c r="G73" s="32" t="n">
        <v>0</v>
      </c>
      <c r="H73" s="51" t="n"/>
      <c r="I73" s="33">
        <f>IFERROR(IF((E73+F73+G73)&gt;=D73,(E73+F73+G73)/Setup!$B$10*Setup!$B$11,D73-(E73+F73+G73)),0)</f>
        <v/>
      </c>
      <c r="J73" s="33">
        <f>E73+F73+G73+I73</f>
        <v/>
      </c>
      <c r="K73" s="32" t="n"/>
      <c r="L73" s="52" t="n">
        <v>0</v>
      </c>
      <c r="M73" s="53">
        <f>-'RE Taxes'!D20</f>
        <v/>
      </c>
      <c r="N73" s="33">
        <f>M73-D73</f>
        <v/>
      </c>
      <c r="O73" s="34">
        <f>IFERROR(M73/D73-1,0)</f>
        <v/>
      </c>
    </row>
    <row r="74" ht="15" customHeight="1">
      <c r="A74" s="50" t="inlineStr">
        <is>
          <t>6320-0000</t>
        </is>
      </c>
      <c r="B74" s="50" t="inlineStr">
        <is>
          <t>Commercial RE Tax</t>
        </is>
      </c>
      <c r="C74" s="23" t="n"/>
      <c r="D74" s="51" t="n"/>
      <c r="E74" s="51" t="n"/>
      <c r="F74" s="32" t="n">
        <v>0</v>
      </c>
      <c r="G74" s="32" t="n">
        <v>0</v>
      </c>
      <c r="H74" s="51" t="n"/>
      <c r="I74" s="33">
        <f>IFERROR(IF((E74+F74+G74)&gt;=D74,(E74+F74+G74)/Setup!$B$10*Setup!$B$11,D74-(E74+F74+G74)),0)</f>
        <v/>
      </c>
      <c r="J74" s="33">
        <f>E74+F74+G74+I74</f>
        <v/>
      </c>
      <c r="K74" s="32" t="n"/>
      <c r="L74" s="52" t="n">
        <v>0</v>
      </c>
      <c r="M74" s="54">
        <f>J74*(1+L74)</f>
        <v/>
      </c>
      <c r="N74" s="33">
        <f>M74-D74</f>
        <v/>
      </c>
      <c r="O74" s="34">
        <f>IFERROR(M74/D74-1,0)</f>
        <v/>
      </c>
    </row>
    <row r="75" ht="15" customHeight="1">
      <c r="A75" s="50" t="inlineStr">
        <is>
          <t>6325-0000</t>
        </is>
      </c>
      <c r="B75" s="50" t="inlineStr">
        <is>
          <t>Other Taxes</t>
        </is>
      </c>
      <c r="C75" s="23" t="n"/>
      <c r="D75" s="51" t="n"/>
      <c r="E75" s="51" t="n"/>
      <c r="F75" s="32" t="n">
        <v>0</v>
      </c>
      <c r="G75" s="32" t="n">
        <v>0</v>
      </c>
      <c r="H75" s="51" t="n"/>
      <c r="I75" s="33">
        <f>IFERROR(IF((E75+F75+G75)&gt;=D75,(E75+F75+G75)/Setup!$B$10*Setup!$B$11,D75-(E75+F75+G75)),0)</f>
        <v/>
      </c>
      <c r="J75" s="33">
        <f>E75+F75+G75+I75</f>
        <v/>
      </c>
      <c r="K75" s="32" t="n"/>
      <c r="L75" s="52" t="n">
        <v>0</v>
      </c>
      <c r="M75" s="54">
        <f>J75*(1+L75)</f>
        <v/>
      </c>
      <c r="N75" s="33">
        <f>M75-D75</f>
        <v/>
      </c>
      <c r="O75" s="34">
        <f>IFERROR(M75/D75-1,0)</f>
        <v/>
      </c>
    </row>
    <row r="76" ht="15" customHeight="1">
      <c r="A76" s="50" t="inlineStr">
        <is>
          <t>6335-0000</t>
        </is>
      </c>
      <c r="B76" s="50" t="inlineStr">
        <is>
          <t>BID Tax</t>
        </is>
      </c>
      <c r="C76" s="23" t="n"/>
      <c r="D76" s="51" t="n">
        <v>0</v>
      </c>
      <c r="E76" s="51" t="n">
        <v>0</v>
      </c>
      <c r="F76" s="32" t="n">
        <v>0</v>
      </c>
      <c r="G76" s="32" t="n">
        <v>0</v>
      </c>
      <c r="H76" s="51" t="n">
        <v>0</v>
      </c>
      <c r="I76" s="33">
        <f>IFERROR(D76-(E76+F76+G76),0)</f>
        <v/>
      </c>
      <c r="J76" s="33">
        <f>E76+F76+G76+I76</f>
        <v/>
      </c>
      <c r="K76" s="52" t="n"/>
      <c r="L76" s="52" t="n">
        <v>0</v>
      </c>
      <c r="M76" s="54">
        <f>J76*(1+L76)</f>
        <v/>
      </c>
      <c r="N76" s="33">
        <f>M76-D76</f>
        <v/>
      </c>
      <c r="O76" s="34">
        <f>IFERROR(M76/D76-1,0)</f>
        <v/>
      </c>
    </row>
    <row r="77" ht="15" customHeight="1">
      <c r="A77" s="50" t="n"/>
      <c r="B77" s="50" t="n"/>
      <c r="C77" s="23" t="n"/>
      <c r="D77" s="51" t="n">
        <v>0</v>
      </c>
      <c r="E77" s="51" t="n">
        <v>0</v>
      </c>
      <c r="F77" s="32" t="n">
        <v>0</v>
      </c>
      <c r="G77" s="32" t="n">
        <v>0</v>
      </c>
      <c r="H77" s="51" t="n">
        <v>0</v>
      </c>
      <c r="I77" s="33">
        <f>IFERROR(D77-(E77+F77+G77),0)</f>
        <v/>
      </c>
      <c r="J77" s="33">
        <f>E77+F77+G77+I77</f>
        <v/>
      </c>
      <c r="K77" s="52" t="n"/>
      <c r="L77" s="52" t="n">
        <v>0</v>
      </c>
      <c r="M77" s="54">
        <f>J77*(1+L77)</f>
        <v/>
      </c>
      <c r="N77" s="33">
        <f>M77-D77</f>
        <v/>
      </c>
      <c r="O77" s="34">
        <f>IFERROR(M77/D77-1,0)</f>
        <v/>
      </c>
    </row>
    <row r="78" ht="15" customHeight="1">
      <c r="A78" s="50" t="n"/>
      <c r="B78" s="50" t="n"/>
      <c r="C78" s="23" t="n"/>
      <c r="D78" s="51" t="n">
        <v>0</v>
      </c>
      <c r="E78" s="51" t="n">
        <v>0</v>
      </c>
      <c r="F78" s="32" t="n">
        <v>0</v>
      </c>
      <c r="G78" s="32" t="n">
        <v>0</v>
      </c>
      <c r="H78" s="51" t="n">
        <v>0</v>
      </c>
      <c r="I78" s="33">
        <f>IFERROR(D78-(E78+F78+G78),0)</f>
        <v/>
      </c>
      <c r="J78" s="33">
        <f>E78+F78+G78+I78</f>
        <v/>
      </c>
      <c r="K78" s="52" t="n"/>
      <c r="L78" s="52" t="n">
        <v>0</v>
      </c>
      <c r="M78" s="54">
        <f>J78*(1+L78)</f>
        <v/>
      </c>
      <c r="N78" s="33">
        <f>M78-D78</f>
        <v/>
      </c>
      <c r="O78" s="34">
        <f>IFERROR(M78/D78-1,0)</f>
        <v/>
      </c>
    </row>
    <row r="79" ht="15" customHeight="1">
      <c r="A79" s="35" t="n"/>
      <c r="B79" s="35" t="inlineStr">
        <is>
          <t>Total Taxes</t>
        </is>
      </c>
      <c r="C79" s="35" t="n"/>
      <c r="D79" s="36">
        <f>SUM(D68:D78)</f>
        <v/>
      </c>
      <c r="E79" s="36">
        <f>SUM(E68:E78)</f>
        <v/>
      </c>
      <c r="F79" s="36">
        <f>SUM(F68:F78)</f>
        <v/>
      </c>
      <c r="G79" s="36">
        <f>SUM(G68:G78)</f>
        <v/>
      </c>
      <c r="H79" s="36">
        <f>SUM(H68:H78)</f>
        <v/>
      </c>
      <c r="I79" s="36">
        <f>SUM(I68:I78)</f>
        <v/>
      </c>
      <c r="J79" s="36">
        <f>SUM(J68:J78)</f>
        <v/>
      </c>
      <c r="K79" s="35">
        <f>SUM(K68:K78)</f>
        <v/>
      </c>
      <c r="L79" s="35" t="n"/>
      <c r="M79" s="36">
        <f>SUM(M68:M78)</f>
        <v/>
      </c>
      <c r="N79" s="36">
        <f>SUM(N68:N78)</f>
        <v/>
      </c>
      <c r="O79" s="37">
        <f>IFERROR(M79/D79-1,0)</f>
        <v/>
      </c>
    </row>
    <row r="81" ht="15" customHeight="1">
      <c r="A81" s="7" t="inlineStr">
        <is>
          <t>Financial Expenses</t>
        </is>
      </c>
      <c r="B81" s="81" t="n"/>
      <c r="C81" s="81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81" t="n"/>
      <c r="N81" s="82" t="n"/>
    </row>
    <row r="82" ht="15" customHeight="1">
      <c r="A82" s="50" t="inlineStr">
        <is>
          <t>6905-0000</t>
        </is>
      </c>
      <c r="B82" s="50" t="inlineStr">
        <is>
          <t>Interest Expense</t>
        </is>
      </c>
      <c r="C82" s="23" t="n"/>
      <c r="D82" s="51" t="n"/>
      <c r="E82" s="51" t="n"/>
      <c r="F82" s="32" t="n">
        <v>0</v>
      </c>
      <c r="G82" s="32" t="n">
        <v>0</v>
      </c>
      <c r="H82" s="51" t="n"/>
      <c r="I82" s="33">
        <f>IFERROR(IF((E82+F82+G82)&gt;=D82,(E82+F82+G82)/Setup!$B$10*Setup!$B$11,D82-(E82+F82+G82)),0)</f>
        <v/>
      </c>
      <c r="J82" s="33">
        <f>E82+F82+G82+I82</f>
        <v/>
      </c>
      <c r="K82" s="32" t="n"/>
      <c r="L82" s="52" t="n">
        <v>0</v>
      </c>
      <c r="M82" s="54">
        <f>J82*(1+L82)</f>
        <v/>
      </c>
      <c r="N82" s="33">
        <f>M82-D82</f>
        <v/>
      </c>
      <c r="O82" s="34">
        <f>IFERROR(M82/D82-1,0)</f>
        <v/>
      </c>
    </row>
    <row r="83" ht="15" customHeight="1">
      <c r="A83" s="50" t="n"/>
      <c r="B83" s="50" t="n"/>
      <c r="C83" s="23" t="n"/>
      <c r="D83" s="51" t="n"/>
      <c r="E83" s="51" t="n"/>
      <c r="F83" s="32" t="n"/>
      <c r="G83" s="32" t="n"/>
      <c r="H83" s="51" t="n"/>
      <c r="I83" s="33" t="n"/>
      <c r="J83" s="33" t="n"/>
      <c r="K83" s="32" t="n"/>
      <c r="L83" s="52" t="n"/>
      <c r="M83" s="54" t="n"/>
      <c r="N83" s="33" t="n"/>
      <c r="O83" s="34" t="n"/>
    </row>
    <row r="84" ht="15" customHeight="1">
      <c r="A84" s="50" t="inlineStr">
        <is>
          <t>6925-0000</t>
        </is>
      </c>
      <c r="B84" s="50" t="inlineStr">
        <is>
          <t>Equipment Lease</t>
        </is>
      </c>
      <c r="C84" s="23" t="n"/>
      <c r="D84" s="51" t="n"/>
      <c r="E84" s="51" t="n"/>
      <c r="F84" s="32" t="n">
        <v>0</v>
      </c>
      <c r="G84" s="32" t="n">
        <v>0</v>
      </c>
      <c r="H84" s="51" t="n"/>
      <c r="I84" s="33">
        <f>IFERROR(IF((E84+F84+G84)&gt;=D84,(E84+F84+G84)/Setup!$B$10*Setup!$B$11,D84-(E84+F84+G84)),0)</f>
        <v/>
      </c>
      <c r="J84" s="33">
        <f>E84+F84+G84+I84</f>
        <v/>
      </c>
      <c r="K84" s="32" t="n"/>
      <c r="L84" s="52" t="n">
        <v>0</v>
      </c>
      <c r="M84" s="54">
        <f>J84*(1+L84)</f>
        <v/>
      </c>
      <c r="N84" s="33">
        <f>M84-D84</f>
        <v/>
      </c>
      <c r="O84" s="34">
        <f>IFERROR(M84/D84-1,0)</f>
        <v/>
      </c>
    </row>
    <row r="85" ht="15" customHeight="1">
      <c r="A85" s="50" t="inlineStr">
        <is>
          <t>6995-0000</t>
        </is>
      </c>
      <c r="B85" s="50" t="inlineStr">
        <is>
          <t>Other Financial Expense</t>
        </is>
      </c>
      <c r="C85" s="23" t="n"/>
      <c r="D85" s="51" t="n"/>
      <c r="E85" s="51" t="n"/>
      <c r="F85" s="32" t="n">
        <v>0</v>
      </c>
      <c r="G85" s="32" t="n">
        <v>0</v>
      </c>
      <c r="H85" s="51" t="n"/>
      <c r="I85" s="33">
        <f>IFERROR(IF((E85+F85+G85)&gt;=D85,(E85+F85+G85)/Setup!$B$10*Setup!$B$11,D85-(E85+F85+G85)),0)</f>
        <v/>
      </c>
      <c r="J85" s="33">
        <f>E85+F85+G85+I85</f>
        <v/>
      </c>
      <c r="K85" s="32" t="n"/>
      <c r="L85" s="52" t="n">
        <v>0</v>
      </c>
      <c r="M85" s="54">
        <f>J85*(1+L85)</f>
        <v/>
      </c>
      <c r="N85" s="33">
        <f>M85-D85</f>
        <v/>
      </c>
      <c r="O85" s="34">
        <f>IFERROR(M85/D85-1,0)</f>
        <v/>
      </c>
    </row>
    <row r="86" ht="15" customHeight="1">
      <c r="A86" s="50" t="inlineStr">
        <is>
          <t>6996-0000</t>
        </is>
      </c>
      <c r="B86" s="50" t="inlineStr">
        <is>
          <t>Other Financial</t>
        </is>
      </c>
      <c r="C86" s="23" t="n"/>
      <c r="D86" s="51" t="n"/>
      <c r="E86" s="51" t="n"/>
      <c r="F86" s="32" t="n">
        <v>0</v>
      </c>
      <c r="G86" s="32" t="n">
        <v>0</v>
      </c>
      <c r="H86" s="51" t="n"/>
      <c r="I86" s="33">
        <f>IFERROR(IF((E86+F86+G86)&gt;=D86,(E86+F86+G86)/Setup!$B$10*Setup!$B$11,D86-(E86+F86+G86)),0)</f>
        <v/>
      </c>
      <c r="J86" s="33">
        <f>E86+F86+G86+I86</f>
        <v/>
      </c>
      <c r="K86" s="32" t="n"/>
      <c r="L86" s="52" t="n">
        <v>0</v>
      </c>
      <c r="M86" s="54">
        <f>J86*(1+L86)</f>
        <v/>
      </c>
      <c r="N86" s="33">
        <f>M86-D86</f>
        <v/>
      </c>
      <c r="O86" s="34">
        <f>IFERROR(M86/D86-1,0)</f>
        <v/>
      </c>
    </row>
    <row r="87" ht="15" customHeight="1">
      <c r="A87" s="50" t="inlineStr">
        <is>
          <t>6920-0000</t>
        </is>
      </c>
      <c r="B87" s="50" t="inlineStr">
        <is>
          <t>Financing Fees</t>
        </is>
      </c>
      <c r="C87" s="23" t="n"/>
      <c r="D87" s="51" t="n"/>
      <c r="E87" s="51" t="n"/>
      <c r="F87" s="32" t="n">
        <v>0</v>
      </c>
      <c r="G87" s="32" t="n">
        <v>0</v>
      </c>
      <c r="H87" s="51" t="n"/>
      <c r="I87" s="33">
        <f>IFERROR(IF((E87+F87+G87)&gt;=D87,(E87+F87+G87)/Setup!$B$10*Setup!$B$11,D87-(E87+F87+G87)),0)</f>
        <v/>
      </c>
      <c r="J87" s="33">
        <f>E87+F87+G87+I87</f>
        <v/>
      </c>
      <c r="K87" s="32" t="n"/>
      <c r="L87" s="52" t="n">
        <v>0</v>
      </c>
      <c r="M87" s="54">
        <f>J87*(1+L87)</f>
        <v/>
      </c>
      <c r="N87" s="33">
        <f>M87-D87</f>
        <v/>
      </c>
      <c r="O87" s="34">
        <f>IFERROR(M87/D87-1,0)</f>
        <v/>
      </c>
    </row>
    <row r="88" ht="15" customHeight="1">
      <c r="A88" s="50" t="inlineStr">
        <is>
          <t>2510-0000</t>
        </is>
      </c>
      <c r="B88" s="50" t="inlineStr">
        <is>
          <t>Mortgage Amortization</t>
        </is>
      </c>
      <c r="C88" s="23" t="n"/>
      <c r="D88" s="51" t="n">
        <v>0</v>
      </c>
      <c r="E88" s="51" t="n">
        <v>0</v>
      </c>
      <c r="F88" s="32" t="n">
        <v>0</v>
      </c>
      <c r="G88" s="32" t="n">
        <v>0</v>
      </c>
      <c r="H88" s="51" t="n">
        <v>0</v>
      </c>
      <c r="I88" s="33">
        <f>IFERROR(D88-(E88+F88+G88),0)</f>
        <v/>
      </c>
      <c r="J88" s="33">
        <f>E88+F88+G88+I88</f>
        <v/>
      </c>
      <c r="K88" s="52" t="n"/>
      <c r="L88" s="52" t="n">
        <v>0</v>
      </c>
      <c r="M88" s="54">
        <f>J88*(1+L88)</f>
        <v/>
      </c>
      <c r="N88" s="33">
        <f>M88-D88</f>
        <v/>
      </c>
      <c r="O88" s="34">
        <f>IFERROR(M88/D88-1,0)</f>
        <v/>
      </c>
    </row>
    <row r="89" ht="15" customHeight="1">
      <c r="A89" s="50" t="n"/>
      <c r="B89" s="50" t="n"/>
      <c r="C89" s="23" t="n"/>
      <c r="D89" s="51" t="n">
        <v>0</v>
      </c>
      <c r="E89" s="51" t="n">
        <v>0</v>
      </c>
      <c r="F89" s="32" t="n">
        <v>0</v>
      </c>
      <c r="G89" s="32" t="n">
        <v>0</v>
      </c>
      <c r="H89" s="51" t="n">
        <v>0</v>
      </c>
      <c r="I89" s="33">
        <f>IFERROR(D89-(E89+F89+G89),0)</f>
        <v/>
      </c>
      <c r="J89" s="33">
        <f>E89+F89+G89+I89</f>
        <v/>
      </c>
      <c r="K89" s="52" t="n"/>
      <c r="L89" s="52" t="n">
        <v>0</v>
      </c>
      <c r="M89" s="54">
        <f>J89*(1+L89)</f>
        <v/>
      </c>
      <c r="N89" s="33">
        <f>M89-D89</f>
        <v/>
      </c>
      <c r="O89" s="34">
        <f>IFERROR(M89/D89-1,0)</f>
        <v/>
      </c>
    </row>
    <row r="90" ht="15" customHeight="1">
      <c r="A90" s="50" t="n"/>
      <c r="B90" s="50" t="n"/>
      <c r="C90" s="23" t="n"/>
      <c r="D90" s="51" t="n">
        <v>0</v>
      </c>
      <c r="E90" s="51" t="n">
        <v>0</v>
      </c>
      <c r="F90" s="32" t="n">
        <v>0</v>
      </c>
      <c r="G90" s="32" t="n">
        <v>0</v>
      </c>
      <c r="H90" s="51" t="n">
        <v>0</v>
      </c>
      <c r="I90" s="33">
        <f>IFERROR(D90-(E90+F90+G90),0)</f>
        <v/>
      </c>
      <c r="J90" s="33">
        <f>E90+F90+G90+I90</f>
        <v/>
      </c>
      <c r="K90" s="52" t="n"/>
      <c r="L90" s="52" t="n">
        <v>0</v>
      </c>
      <c r="M90" s="54">
        <f>J90*(1+L90)</f>
        <v/>
      </c>
      <c r="N90" s="33">
        <f>M90-D90</f>
        <v/>
      </c>
      <c r="O90" s="34">
        <f>IFERROR(M90/D90-1,0)</f>
        <v/>
      </c>
    </row>
    <row r="91" ht="15" customHeight="1">
      <c r="A91" s="35" t="n"/>
      <c r="B91" s="35" t="inlineStr">
        <is>
          <t>Total Financial Expenses</t>
        </is>
      </c>
      <c r="C91" s="35" t="n"/>
      <c r="D91" s="36">
        <f>SUM(D82:D90)</f>
        <v/>
      </c>
      <c r="E91" s="36">
        <f>SUM(E82:E90)</f>
        <v/>
      </c>
      <c r="F91" s="36">
        <f>SUM(F82:F90)</f>
        <v/>
      </c>
      <c r="G91" s="36">
        <f>SUM(G82:G90)</f>
        <v/>
      </c>
      <c r="H91" s="36">
        <f>SUM(H82:H90)</f>
        <v/>
      </c>
      <c r="I91" s="36">
        <f>SUM(I82:I90)</f>
        <v/>
      </c>
      <c r="J91" s="36">
        <f>SUM(J82:J90)</f>
        <v/>
      </c>
      <c r="K91" s="35">
        <f>SUM(K82:K90)</f>
        <v/>
      </c>
      <c r="L91" s="35" t="n"/>
      <c r="M91" s="36">
        <f>SUM(M82:M90)</f>
        <v/>
      </c>
      <c r="N91" s="36">
        <f>SUM(N82:N90)</f>
        <v/>
      </c>
      <c r="O91" s="37">
        <f>IFERROR(M91/D91-1,0)</f>
        <v/>
      </c>
    </row>
    <row r="93" ht="15" customHeight="1">
      <c r="A93" s="55" t="n"/>
      <c r="B93" s="55" t="inlineStr">
        <is>
          <t>TOTAL GEN &amp; ADMIN</t>
        </is>
      </c>
      <c r="C93" s="56" t="n"/>
      <c r="D93" s="57">
        <f>D17+D50+D65+D79+D91</f>
        <v/>
      </c>
      <c r="E93" s="57">
        <f>E17+E50+E65+E79+E91</f>
        <v/>
      </c>
      <c r="F93" s="57">
        <f>F17+F50+F65+F79+F91</f>
        <v/>
      </c>
      <c r="G93" s="57">
        <f>G17+G50+G65+G79+G91</f>
        <v/>
      </c>
      <c r="H93" s="57">
        <f>H17+H50+H65+H79+H91</f>
        <v/>
      </c>
      <c r="I93" s="57">
        <f>I17+I50+I65+I79+I91</f>
        <v/>
      </c>
      <c r="J93" s="57">
        <f>J17+J50+J65+J79+J91</f>
        <v/>
      </c>
      <c r="K93" s="56">
        <f>K17+K50+K65+K79+K91</f>
        <v/>
      </c>
      <c r="L93" s="56" t="n"/>
      <c r="M93" s="57">
        <f>M17+M50+M65+M79+M91</f>
        <v/>
      </c>
      <c r="N93" s="57">
        <f>N17+N50+N65+N79+N91</f>
        <v/>
      </c>
      <c r="O93" s="58">
        <f>IFERROR(M93/D93-1,0)</f>
        <v/>
      </c>
    </row>
  </sheetData>
  <mergeCells count="7">
    <mergeCell ref="A67:N67"/>
    <mergeCell ref="A2:N2"/>
    <mergeCell ref="A52:N52"/>
    <mergeCell ref="A7:N7"/>
    <mergeCell ref="A81:N81"/>
    <mergeCell ref="A19:N19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zoomScaleNormal="100" workbookViewId="0">
      <selection activeCell="A1" sqref="A1:E1"/>
    </sheetView>
  </sheetViews>
  <sheetFormatPr baseColWidth="10" defaultColWidth="8.6640625" defaultRowHeight="15" customHeight="1"/>
  <cols>
    <col width="30" customWidth="1" min="1" max="1"/>
    <col width="18" customWidth="1" min="2" max="2"/>
    <col width="35" customWidth="1" min="3" max="3"/>
    <col width="18" customWidth="1" min="4" max="4"/>
    <col width="20" customWidth="1" min="5" max="5"/>
  </cols>
  <sheetData>
    <row r="1" ht="15" customHeight="1">
      <c r="A1" s="29">
        <f>Setup!B5</f>
        <v/>
      </c>
    </row>
    <row r="2" ht="15" customHeight="1">
      <c r="A2" s="11" t="inlineStr">
        <is>
          <t>Real Estate Tax Calculation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TAX CALCULATION — Update assessed valuation and rates each budget cycle</t>
        </is>
      </c>
    </row>
    <row r="6" ht="15" customHeight="1">
      <c r="A6" s="2" t="inlineStr">
        <is>
          <t>1st Half — Current City Fiscal Year (Jul-Dec)</t>
        </is>
      </c>
      <c r="B6" s="81" t="n"/>
      <c r="C6" s="81" t="n"/>
      <c r="D6" s="81" t="n"/>
      <c r="E6" s="82" t="n"/>
    </row>
    <row r="7" ht="15" customHeight="1">
      <c r="A7" s="19" t="inlineStr">
        <is>
          <t>Assessed Valuation (Actual)</t>
        </is>
      </c>
      <c r="B7" s="41" t="n">
        <v>0</v>
      </c>
      <c r="C7" s="60" t="inlineStr">
        <is>
          <t>From DOF Notice of Property Value</t>
        </is>
      </c>
    </row>
    <row r="8" ht="15" customHeight="1">
      <c r="A8" s="19" t="inlineStr">
        <is>
          <t>Tax Rate (Actual)</t>
        </is>
      </c>
      <c r="B8" s="62" t="n">
        <v>0</v>
      </c>
      <c r="C8" s="60" t="inlineStr">
        <is>
          <t>Published rate for current city FY</t>
        </is>
      </c>
      <c r="D8" s="33">
        <f>B7*B8/2</f>
        <v/>
      </c>
      <c r="E8" s="60" t="inlineStr">
        <is>
          <t>← 1st Half Tax</t>
        </is>
      </c>
    </row>
    <row r="10" ht="15" customHeight="1">
      <c r="A10" s="2" t="inlineStr">
        <is>
          <t>2nd Half — Next City Fiscal Year (Jan-Jun)</t>
        </is>
      </c>
      <c r="B10" s="81" t="n"/>
      <c r="C10" s="81" t="n"/>
      <c r="D10" s="81" t="n"/>
      <c r="E10" s="82" t="n"/>
    </row>
    <row r="11" ht="15" customHeight="1">
      <c r="A11" s="19" t="inlineStr">
        <is>
          <t>Transitional AV Increase %</t>
        </is>
      </c>
      <c r="B11" s="79" t="n">
        <v>0</v>
      </c>
      <c r="C11" s="60" t="inlineStr">
        <is>
          <t>Estimated increase in assessed valuation</t>
        </is>
      </c>
    </row>
    <row r="12" ht="15" customHeight="1">
      <c r="A12" s="19" t="inlineStr">
        <is>
          <t>Estimated Assessed Valuation</t>
        </is>
      </c>
      <c r="B12" s="48">
        <f>B7*(1+B11)</f>
        <v/>
      </c>
      <c r="C12" s="60" t="inlineStr">
        <is>
          <t>AV × (1 + increase %)</t>
        </is>
      </c>
    </row>
    <row r="13" ht="15" customHeight="1">
      <c r="A13" s="19" t="inlineStr">
        <is>
          <t>Estimated Tax Rate</t>
        </is>
      </c>
      <c r="B13" s="62" t="n">
        <v>0</v>
      </c>
      <c r="C13" s="60" t="inlineStr">
        <is>
          <t>Estimated rate for next city FY</t>
        </is>
      </c>
      <c r="D13" s="33">
        <f>B12*B13/2</f>
        <v/>
      </c>
      <c r="E13" s="60" t="inlineStr">
        <is>
          <t>← 2nd Half Tax</t>
        </is>
      </c>
    </row>
    <row r="15" ht="15" customHeight="1">
      <c r="A15" s="40" t="inlineStr">
        <is>
          <t>GROSS TAX LIABILITY (Full Year)</t>
        </is>
      </c>
      <c r="B15" s="73">
        <f>D8+D13</f>
        <v/>
      </c>
      <c r="C15" s="80" t="inlineStr">
        <is>
          <t>1st Half + 2nd Half</t>
        </is>
      </c>
    </row>
    <row r="17" ht="15" customHeight="1">
      <c r="A17" s="4" t="inlineStr">
        <is>
          <t>TAX EXEMPTIONS &amp; ABATEMENTS</t>
        </is>
      </c>
    </row>
    <row r="18" ht="15" customHeight="1">
      <c r="A18" s="45" t="inlineStr">
        <is>
          <t>Exemption Type</t>
        </is>
      </c>
      <c r="B18" s="45" t="inlineStr">
        <is>
          <t>Growth %</t>
        </is>
      </c>
      <c r="C18" s="45" t="inlineStr">
        <is>
          <t>Current Year</t>
        </is>
      </c>
      <c r="D18" s="45" t="inlineStr">
        <is>
          <t>Budget Year</t>
        </is>
      </c>
      <c r="E18" s="45" t="inlineStr">
        <is>
          <t>Notes</t>
        </is>
      </c>
    </row>
    <row r="19" ht="15" customHeight="1">
      <c r="A19" s="21" t="inlineStr">
        <is>
          <t>Veteran Exemption</t>
        </is>
      </c>
      <c r="B19" s="43" t="n">
        <v>0</v>
      </c>
      <c r="C19" s="41" t="n">
        <v>0</v>
      </c>
      <c r="D19" s="48">
        <f>C19*(1+B19)</f>
        <v/>
      </c>
      <c r="E19" s="60" t="inlineStr">
        <is>
          <t>GL 6315-0025</t>
        </is>
      </c>
    </row>
    <row r="20" ht="15" customHeight="1">
      <c r="A20" s="21" t="inlineStr">
        <is>
          <t>Senior Citizen (SCHE)</t>
        </is>
      </c>
      <c r="B20" s="43" t="n">
        <v>0</v>
      </c>
      <c r="C20" s="41" t="n">
        <v>0</v>
      </c>
      <c r="D20" s="48">
        <f>C20*(1+B20)</f>
        <v/>
      </c>
      <c r="E20" s="60" t="inlineStr">
        <is>
          <t>GL 6315-0035</t>
        </is>
      </c>
    </row>
    <row r="21" ht="15" customHeight="1">
      <c r="A21" s="21" t="inlineStr">
        <is>
          <t>STAR Exemption</t>
        </is>
      </c>
      <c r="B21" s="43" t="n">
        <v>0</v>
      </c>
      <c r="C21" s="41" t="n">
        <v>0</v>
      </c>
      <c r="D21" s="48">
        <f>C21*(1+B21)</f>
        <v/>
      </c>
      <c r="E21" s="60" t="inlineStr">
        <is>
          <t>GL 6315-0020</t>
        </is>
      </c>
    </row>
    <row r="22" ht="15" customHeight="1">
      <c r="A22" s="21" t="inlineStr">
        <is>
          <t>Co-op Abatement</t>
        </is>
      </c>
      <c r="B22" s="43" t="n">
        <v>0</v>
      </c>
      <c r="C22" s="41" t="n">
        <v>0</v>
      </c>
      <c r="D22" s="48">
        <f>C22*(1+B22)</f>
        <v/>
      </c>
      <c r="E22" s="60" t="inlineStr">
        <is>
          <t>GL 6315-0010</t>
        </is>
      </c>
    </row>
    <row r="23" ht="15" customHeight="1">
      <c r="A23" s="35" t="inlineStr">
        <is>
          <t>TOTAL EXEMPTIONS</t>
        </is>
      </c>
      <c r="B23" s="35" t="n"/>
      <c r="C23" s="36">
        <f>SUM(C19:C22)</f>
        <v/>
      </c>
      <c r="D23" s="36">
        <f>SUM(D19:D22)</f>
        <v/>
      </c>
    </row>
    <row r="25" ht="15" customHeight="1">
      <c r="A25" s="40" t="inlineStr">
        <is>
          <t>NET TAX LIABILITY (Proposed Budget)</t>
        </is>
      </c>
      <c r="B25" s="73">
        <f>B15-D23</f>
        <v/>
      </c>
      <c r="C25" s="80" t="inlineStr">
        <is>
          <t>Gross Tax - Total Exemptions</t>
        </is>
      </c>
    </row>
  </sheetData>
  <mergeCells count="6">
    <mergeCell ref="A2:E2"/>
    <mergeCell ref="A10:E10"/>
    <mergeCell ref="A5:E5"/>
    <mergeCell ref="A1:E1"/>
    <mergeCell ref="A6:E6"/>
    <mergeCell ref="A17:E17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28" customWidth="1" min="2" max="2"/>
    <col width="16" customWidth="1" min="3" max="3"/>
    <col width="14" customWidth="1" min="4" max="5"/>
    <col width="12" customWidth="1" min="6" max="7"/>
    <col width="14" customWidth="1" min="8" max="9"/>
    <col width="12" customWidth="1" min="10" max="10"/>
    <col width="14" customWidth="1" min="11" max="12"/>
  </cols>
  <sheetData>
    <row r="1" ht="15" customHeight="1">
      <c r="A1" s="29">
        <f>Setup!B5</f>
        <v/>
      </c>
    </row>
    <row r="2" ht="15" customHeight="1">
      <c r="A2" s="11" t="inlineStr">
        <is>
          <t>Insurance Schedule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RENEWAL ASSUMPTIONS</t>
        </is>
      </c>
    </row>
    <row r="6" ht="15" customHeight="1">
      <c r="A6" s="19" t="inlineStr">
        <is>
          <t>Expected Renewal Increase %</t>
        </is>
      </c>
      <c r="C6" s="43" t="n">
        <v>0</v>
      </c>
    </row>
    <row r="7" ht="15" customHeight="1">
      <c r="A7" s="19" t="inlineStr">
        <is>
          <t>Renewal Effective Date</t>
        </is>
      </c>
      <c r="C7" s="23" t="inlineStr">
        <is>
          <t>Mar 2027</t>
        </is>
      </c>
    </row>
    <row r="8" ht="15" customHeight="1">
      <c r="A8" s="19" t="inlineStr">
        <is>
          <t>Pre-Renewal Months</t>
        </is>
      </c>
      <c r="C8" s="41" t="n">
        <v>0</v>
      </c>
    </row>
    <row r="9" ht="15" customHeight="1">
      <c r="A9" s="19" t="inlineStr">
        <is>
          <t>Post-Renewal Months</t>
        </is>
      </c>
      <c r="C9" s="41" t="n">
        <v>0</v>
      </c>
    </row>
    <row r="11" ht="23.25" customHeight="1">
      <c r="A11" s="30" t="inlineStr">
        <is>
          <t>GL Code</t>
        </is>
      </c>
      <c r="B11" s="30" t="inlineStr">
        <is>
          <t>Policy Type</t>
        </is>
      </c>
      <c r="C11" s="30" t="inlineStr">
        <is>
          <t>Current Annual
Premium</t>
        </is>
      </c>
      <c r="D11" s="30" t="inlineStr">
        <is>
          <t>Current Year
Budget</t>
        </is>
      </c>
      <c r="E11" s="30" t="inlineStr">
        <is>
          <t>Expires</t>
        </is>
      </c>
      <c r="F11" s="30" t="inlineStr">
        <is>
          <t>YTD Actual</t>
        </is>
      </c>
      <c r="G11" s="30" t="inlineStr">
        <is>
          <t>Accrual Adj</t>
        </is>
      </c>
      <c r="H11" s="30" t="inlineStr">
        <is>
          <t>Unpaid Bills</t>
        </is>
      </c>
      <c r="I11" s="30" t="inlineStr">
        <is>
          <t>Sep-Dec
Estimate</t>
        </is>
      </c>
      <c r="J11" s="30" t="inlineStr">
        <is>
          <t>12 Mo
Forecast</t>
        </is>
      </c>
      <c r="K11" s="30" t="inlineStr">
        <is>
          <t>Renewal
Increase %</t>
        </is>
      </c>
      <c r="L11" s="30" t="inlineStr">
        <is>
          <t>Proposed
Budget</t>
        </is>
      </c>
      <c r="M11" s="30" t="inlineStr">
        <is>
          <t>$ Variance</t>
        </is>
      </c>
    </row>
    <row r="12" ht="15" customHeight="1">
      <c r="A12" s="21" t="inlineStr">
        <is>
          <t>6105-0000</t>
        </is>
      </c>
      <c r="B12" s="21" t="inlineStr">
        <is>
          <t>Package Policy</t>
        </is>
      </c>
      <c r="C12" s="41" t="n"/>
      <c r="D12" s="41" t="n"/>
      <c r="E12" s="23" t="n"/>
      <c r="F12" s="32">
        <f>'Gen &amp; Admin'!E53</f>
        <v/>
      </c>
      <c r="G12" s="32">
        <f>'Gen &amp; Admin'!F53</f>
        <v/>
      </c>
      <c r="H12" s="32">
        <f>'Gen &amp; Admin'!G53</f>
        <v/>
      </c>
      <c r="I12" s="33">
        <f>C12-F12-G12-H12</f>
        <v/>
      </c>
      <c r="J12" s="33">
        <f>F12+G12+H12+I12</f>
        <v/>
      </c>
      <c r="K12" s="71">
        <f>$C$6</f>
        <v/>
      </c>
      <c r="L12" s="33">
        <f>C12/12*$C$8+(C12/12*(1+K12))*$C$9</f>
        <v/>
      </c>
      <c r="M12" s="33">
        <f>L12-C12</f>
        <v/>
      </c>
    </row>
    <row r="13" ht="15" customHeight="1">
      <c r="A13" s="21" t="inlineStr">
        <is>
          <t>6110-0000</t>
        </is>
      </c>
      <c r="B13" s="21" t="inlineStr">
        <is>
          <t>General Liability</t>
        </is>
      </c>
      <c r="C13" s="41" t="n"/>
      <c r="D13" s="41" t="n"/>
      <c r="E13" s="23" t="n"/>
      <c r="F13" s="32">
        <f>'Gen &amp; Admin'!E54</f>
        <v/>
      </c>
      <c r="G13" s="32">
        <f>'Gen &amp; Admin'!F54</f>
        <v/>
      </c>
      <c r="H13" s="32">
        <f>'Gen &amp; Admin'!G54</f>
        <v/>
      </c>
      <c r="I13" s="33">
        <f>C13-F13-G13-H13</f>
        <v/>
      </c>
      <c r="J13" s="33">
        <f>F13+G13+H13+I13</f>
        <v/>
      </c>
      <c r="K13" s="71">
        <f>$C$6</f>
        <v/>
      </c>
      <c r="L13" s="33">
        <f>C13/12*$C$8+(C13/12*(1+K13))*$C$9</f>
        <v/>
      </c>
      <c r="M13" s="33">
        <f>L13-C13</f>
        <v/>
      </c>
    </row>
    <row r="14" ht="15" customHeight="1">
      <c r="A14" s="21" t="inlineStr">
        <is>
          <t>6115-0000</t>
        </is>
      </c>
      <c r="B14" s="21" t="inlineStr">
        <is>
          <t>Umbrella Insurance</t>
        </is>
      </c>
      <c r="C14" s="41" t="n"/>
      <c r="D14" s="41" t="n"/>
      <c r="E14" s="23" t="n"/>
      <c r="F14" s="32">
        <f>'Gen &amp; Admin'!E55</f>
        <v/>
      </c>
      <c r="G14" s="32">
        <f>'Gen &amp; Admin'!F55</f>
        <v/>
      </c>
      <c r="H14" s="32">
        <f>'Gen &amp; Admin'!G55</f>
        <v/>
      </c>
      <c r="I14" s="33">
        <f>C14-F14-G14-H14</f>
        <v/>
      </c>
      <c r="J14" s="33">
        <f>F14+G14+H14+I14</f>
        <v/>
      </c>
      <c r="K14" s="71">
        <f>$C$6</f>
        <v/>
      </c>
      <c r="L14" s="33">
        <f>C14/12*$C$8+(C14/12*(1+K14))*$C$9</f>
        <v/>
      </c>
      <c r="M14" s="33">
        <f>L14-C14</f>
        <v/>
      </c>
    </row>
    <row r="15" ht="15" customHeight="1">
      <c r="A15" s="21" t="inlineStr">
        <is>
          <t>6125-0000</t>
        </is>
      </c>
      <c r="B15" s="21" t="inlineStr">
        <is>
          <t>D&amp;O Insurance</t>
        </is>
      </c>
      <c r="C15" s="41" t="n"/>
      <c r="D15" s="41" t="n"/>
      <c r="E15" s="23" t="n"/>
      <c r="F15" s="32">
        <f>'Gen &amp; Admin'!E57</f>
        <v/>
      </c>
      <c r="G15" s="32">
        <f>'Gen &amp; Admin'!F57</f>
        <v/>
      </c>
      <c r="H15" s="32">
        <f>'Gen &amp; Admin'!G57</f>
        <v/>
      </c>
      <c r="I15" s="33">
        <f>C15-F15-G15-H15</f>
        <v/>
      </c>
      <c r="J15" s="33">
        <f>F15+G15+H15+I15</f>
        <v/>
      </c>
      <c r="K15" s="71">
        <f>$C$6</f>
        <v/>
      </c>
      <c r="L15" s="33">
        <f>C15/12*$C$8+(C15/12*(1+K15))*$C$9</f>
        <v/>
      </c>
      <c r="M15" s="33">
        <f>L15-C15</f>
        <v/>
      </c>
    </row>
    <row r="16" ht="15" customHeight="1">
      <c r="A16" s="21" t="inlineStr">
        <is>
          <t>6126-0000</t>
        </is>
      </c>
      <c r="B16" s="21" t="inlineStr">
        <is>
          <t>Cyber Insurance</t>
        </is>
      </c>
      <c r="C16" s="41" t="n"/>
      <c r="D16" s="41" t="n"/>
      <c r="E16" s="23" t="n"/>
      <c r="F16" s="32">
        <f>'Gen &amp; Admin'!E58</f>
        <v/>
      </c>
      <c r="G16" s="32">
        <f>'Gen &amp; Admin'!F58</f>
        <v/>
      </c>
      <c r="H16" s="32">
        <f>'Gen &amp; Admin'!G58</f>
        <v/>
      </c>
      <c r="I16" s="33">
        <f>C16-F16-G16-H16</f>
        <v/>
      </c>
      <c r="J16" s="33">
        <f>F16+G16+H16+I16</f>
        <v/>
      </c>
      <c r="K16" s="71">
        <f>$C$6</f>
        <v/>
      </c>
      <c r="L16" s="33">
        <f>C16/12*$C$8+(C16/12*(1+K16))*$C$9</f>
        <v/>
      </c>
      <c r="M16" s="33">
        <f>L16-C16</f>
        <v/>
      </c>
    </row>
    <row r="17" ht="15" customHeight="1">
      <c r="A17" s="21" t="inlineStr">
        <is>
          <t>6135-0000</t>
        </is>
      </c>
      <c r="B17" s="21" t="inlineStr">
        <is>
          <t>Crime/Fidelity</t>
        </is>
      </c>
      <c r="C17" s="41" t="n"/>
      <c r="D17" s="41" t="n"/>
      <c r="E17" s="23" t="n"/>
      <c r="F17" s="32">
        <f>'Gen &amp; Admin'!E59</f>
        <v/>
      </c>
      <c r="G17" s="32">
        <f>'Gen &amp; Admin'!F59</f>
        <v/>
      </c>
      <c r="H17" s="32">
        <f>'Gen &amp; Admin'!G59</f>
        <v/>
      </c>
      <c r="I17" s="33">
        <f>C17-F17-G17-H17</f>
        <v/>
      </c>
      <c r="J17" s="33">
        <f>F17+G17+H17+I17</f>
        <v/>
      </c>
      <c r="K17" s="71">
        <f>$C$6</f>
        <v/>
      </c>
      <c r="L17" s="33">
        <f>C17/12*$C$8+(C17/12*(1+K17))*$C$9</f>
        <v/>
      </c>
      <c r="M17" s="33">
        <f>L17-C17</f>
        <v/>
      </c>
    </row>
    <row r="18" ht="15" customHeight="1">
      <c r="A18" s="21" t="inlineStr">
        <is>
          <t>6195-0000</t>
        </is>
      </c>
      <c r="B18" s="21" t="inlineStr">
        <is>
          <t>Other Insurance</t>
        </is>
      </c>
      <c r="C18" s="41" t="n"/>
      <c r="D18" s="41" t="n"/>
      <c r="E18" s="23" t="n"/>
      <c r="F18" s="32">
        <f>'Gen &amp; Admin'!E61</f>
        <v/>
      </c>
      <c r="G18" s="32">
        <f>'Gen &amp; Admin'!F61</f>
        <v/>
      </c>
      <c r="H18" s="32">
        <f>'Gen &amp; Admin'!G61</f>
        <v/>
      </c>
      <c r="I18" s="33">
        <f>C18-F18-G18-H18</f>
        <v/>
      </c>
      <c r="J18" s="33">
        <f>F18+G18+H18+I18</f>
        <v/>
      </c>
      <c r="K18" s="71">
        <f>$C$6</f>
        <v/>
      </c>
      <c r="L18" s="33">
        <f>C18/12*$C$8+(C18/12*(1+K18))*$C$9</f>
        <v/>
      </c>
      <c r="M18" s="33">
        <f>L18-C18</f>
        <v/>
      </c>
    </row>
    <row r="19" ht="15" customHeight="1">
      <c r="A19" s="21" t="inlineStr">
        <is>
          <t>6120-0000</t>
        </is>
      </c>
      <c r="B19" s="21" t="inlineStr">
        <is>
          <t>Umbrella Insurance (alt)</t>
        </is>
      </c>
      <c r="C19" s="41" t="n"/>
      <c r="D19" s="41" t="n"/>
      <c r="E19" s="23" t="n"/>
      <c r="F19" s="32">
        <f>'Gen &amp; Admin'!E56</f>
        <v/>
      </c>
      <c r="G19" s="32">
        <f>'Gen &amp; Admin'!F56</f>
        <v/>
      </c>
      <c r="H19" s="32">
        <f>'Gen &amp; Admin'!G56</f>
        <v/>
      </c>
      <c r="I19" s="33">
        <f>C19-F19-G19-H19</f>
        <v/>
      </c>
      <c r="J19" s="33">
        <f>F19+G19+H19+I19</f>
        <v/>
      </c>
      <c r="K19" s="71">
        <f>$C$6</f>
        <v/>
      </c>
      <c r="L19" s="33">
        <f>C19/12*$C$8+(C19/12*(1+K19))*$C$9</f>
        <v/>
      </c>
      <c r="M19" s="33">
        <f>L19-C19</f>
        <v/>
      </c>
    </row>
    <row r="20" ht="15" customHeight="1">
      <c r="A20" s="21" t="inlineStr">
        <is>
          <t>6180-0000</t>
        </is>
      </c>
      <c r="B20" s="21" t="inlineStr">
        <is>
          <t>D&amp;O Insurance (alt)</t>
        </is>
      </c>
      <c r="C20" s="41" t="n"/>
      <c r="D20" s="41" t="n"/>
      <c r="E20" s="23" t="n"/>
      <c r="F20" s="32">
        <f>'Gen &amp; Admin'!E60</f>
        <v/>
      </c>
      <c r="G20" s="32">
        <f>'Gen &amp; Admin'!F60</f>
        <v/>
      </c>
      <c r="H20" s="32">
        <f>'Gen &amp; Admin'!G60</f>
        <v/>
      </c>
      <c r="I20" s="33">
        <f>C20-F20-G20-H20</f>
        <v/>
      </c>
      <c r="J20" s="33">
        <f>F20+G20+H20+I20</f>
        <v/>
      </c>
      <c r="K20" s="71">
        <f>$C$6</f>
        <v/>
      </c>
      <c r="L20" s="33">
        <f>C20/12*$C$8+(C20/12*(1+K20))*$C$9</f>
        <v/>
      </c>
      <c r="M20" s="33">
        <f>L20-C20</f>
        <v/>
      </c>
    </row>
    <row r="21" ht="15" customHeight="1">
      <c r="A21" s="35" t="n"/>
      <c r="B21" s="35" t="inlineStr">
        <is>
          <t>TOTAL INSURANCE</t>
        </is>
      </c>
      <c r="C21" s="36">
        <f>SUM(C12:C20)</f>
        <v/>
      </c>
      <c r="D21" s="36">
        <f>SUM(D12:D20)</f>
        <v/>
      </c>
      <c r="E21" s="35" t="n"/>
      <c r="F21" s="36">
        <f>SUM(F12:F20)</f>
        <v/>
      </c>
      <c r="G21" s="36">
        <f>SUM(G12:G20)</f>
        <v/>
      </c>
      <c r="H21" s="36">
        <f>SUM(H12:H20)</f>
        <v/>
      </c>
      <c r="I21" s="36">
        <f>SUM(I12:I20)</f>
        <v/>
      </c>
      <c r="J21" s="36">
        <f>SUM(J12:J20)</f>
        <v/>
      </c>
      <c r="K21" s="35" t="n"/>
      <c r="L21" s="36">
        <f>SUM(L12:L20)</f>
        <v/>
      </c>
      <c r="M21" s="36">
        <f>SUM(M12:M20)</f>
        <v/>
      </c>
    </row>
  </sheetData>
  <mergeCells count="3">
    <mergeCell ref="A5:D5"/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2026-02-08T16:35:30Z</dcterms:created>
  <dcterms:modified xmlns:dcterms="http://purl.org/dc/terms/" xmlns:xsi="http://www.w3.org/2001/XMLSchema-instance" xsi:type="dcterms:W3CDTF">2026-03-21T13:02:01Z</dcterms:modified>
  <cp:lastModifiedBy>Jacob Sirotkin</cp:lastModifiedBy>
  <cp:revision>0</cp:revision>
</cp:coreProperties>
</file>