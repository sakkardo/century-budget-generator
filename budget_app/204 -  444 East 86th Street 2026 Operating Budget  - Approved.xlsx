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2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turynyc.sharepoint.com/Accounting/Accounting Common Folder Settings/01 - Accounting General/Budgets/Budgets - FAs only/2026 Budget/204/"/>
    </mc:Choice>
  </mc:AlternateContent>
  <xr:revisionPtr revIDLastSave="26" documentId="8_{C2DF5F37-448A-4B30-B2C4-7B919B366FB9}" xr6:coauthVersionLast="47" xr6:coauthVersionMax="47" xr10:uidLastSave="{7220DD5D-F973-2F45-8E93-8F42A22C64F2}"/>
  <workbookProtection lockStructure="1"/>
  <bookViews>
    <workbookView xWindow="26620" yWindow="3040" windowWidth="29040" windowHeight="15720" tabRatio="854" activeTab="5" xr2:uid="{00000000-000D-0000-FFFF-FFFF00000000}"/>
  </bookViews>
  <sheets>
    <sheet name="VLookup Data" sheetId="57" r:id="rId1"/>
    <sheet name="yardi_data (2)" sheetId="66" r:id="rId2"/>
    <sheet name="COV" sheetId="18" r:id="rId3"/>
    <sheet name="contents" sheetId="1" r:id="rId4"/>
    <sheet name=" bud" sheetId="3" r:id="rId5"/>
    <sheet name="yrlycomp" sheetId="2" r:id="rId6"/>
    <sheet name="Chart1" sheetId="75" state="hidden" r:id="rId7"/>
    <sheet name="Income" sheetId="47" r:id="rId8"/>
    <sheet name="Comm Rent &amp; Escalations" sheetId="59" r:id="rId9"/>
    <sheet name="EXP-Pie" sheetId="29" r:id="rId10"/>
    <sheet name="pyrl" sheetId="41" state="hidden" r:id="rId11"/>
    <sheet name="Payroll" sheetId="50" r:id="rId12"/>
    <sheet name="Gas" sheetId="44" state="hidden" r:id="rId13"/>
    <sheet name="Electric" sheetId="53" r:id="rId14"/>
    <sheet name="Electric 2" sheetId="67" r:id="rId15"/>
    <sheet name="elect" sheetId="45" state="hidden" r:id="rId16"/>
    <sheet name="Gas Cooking" sheetId="64" r:id="rId17"/>
    <sheet name="Gas-Heat" sheetId="68" r:id="rId18"/>
    <sheet name="Repairs &amp; Supplies" sheetId="9" r:id="rId19"/>
    <sheet name="Gen &amp; Admin" sheetId="61" r:id="rId20"/>
    <sheet name="Mortgage Info and Amort(NO PDF)" sheetId="62" r:id="rId21"/>
    <sheet name=" Insurance-Sched(No PDF)" sheetId="11" r:id="rId22"/>
    <sheet name="Water" sheetId="51" r:id="rId23"/>
    <sheet name="RE Taxes" sheetId="63" r:id="rId24"/>
    <sheet name="wtrswr" sheetId="15" state="hidden" r:id="rId25"/>
    <sheet name="CAP" sheetId="19" r:id="rId26"/>
    <sheet name="maint proof" sheetId="49" r:id="rId27"/>
    <sheet name="Chart for Annual Meeting" sheetId="70" r:id="rId28"/>
    <sheet name="Pie Chart for Annual" sheetId="72" r:id="rId29"/>
    <sheet name="Annual" sheetId="74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_IntlFixup" hidden="1">TRUE</definedName>
    <definedName name="__IntlFixupTable" localSheetId="28" hidden="1">#REF!</definedName>
    <definedName name="__IntlFixupTable" hidden="1">#REF!</definedName>
    <definedName name="_10__123Graph_CCHART_3" localSheetId="28" hidden="1">'Pie Chart for Annual'!#REF!</definedName>
    <definedName name="_11__123Graph_DCHART_3" localSheetId="28" hidden="1">'Pie Chart for Annual'!$V$9:$V$17</definedName>
    <definedName name="_1NOTES_FIELDS" localSheetId="28">#REF!</definedName>
    <definedName name="_1NOTES_FIELDS">#REF!</definedName>
    <definedName name="_2__123Graph_ACHART_3" localSheetId="28" hidden="1">'Pie Chart for Annual'!$S$9:$S$17</definedName>
    <definedName name="_9__123Graph_BCHART_3" localSheetId="28" hidden="1">'Pie Chart for Annual'!$T$9:$T$17</definedName>
    <definedName name="_xlnm._FilterDatabase" localSheetId="28" hidden="1">'Pie Chart for Annual'!$R$8:$V$8</definedName>
    <definedName name="_Key1" localSheetId="28" hidden="1">#REF!</definedName>
    <definedName name="_Key1" hidden="1">#REF!</definedName>
    <definedName name="_Order1" hidden="1">0</definedName>
    <definedName name="_Sort" localSheetId="28" hidden="1">#REF!</definedName>
    <definedName name="_Sort" hidden="1">#REF!</definedName>
    <definedName name="\0" localSheetId="28">#REF!</definedName>
    <definedName name="\0">#REF!</definedName>
    <definedName name="\P" localSheetId="15">'[1]2010 bud'!#REF!</definedName>
    <definedName name="\P" localSheetId="13">'[1]2010 bud'!#REF!</definedName>
    <definedName name="\P" localSheetId="12">'[1]2010 bud'!#REF!</definedName>
    <definedName name="\P" localSheetId="7">'[2]2011 bud'!#REF!</definedName>
    <definedName name="\P" localSheetId="10">'[3]2011 bud'!#REF!</definedName>
    <definedName name="\P" localSheetId="22">' bud'!#REF!</definedName>
    <definedName name="\P">' bud'!#REF!</definedName>
    <definedName name="a" localSheetId="28">'[4]Cash Flow-IBS'!#REF!</definedName>
    <definedName name="a">'[4]Cash Flow-IBS'!#REF!</definedName>
    <definedName name="aa" localSheetId="28">#REF!</definedName>
    <definedName name="aa">#REF!</definedName>
    <definedName name="AA.Report.Files" localSheetId="28" hidden="1">#REF!</definedName>
    <definedName name="AA.Report.Files" hidden="1">#REF!</definedName>
    <definedName name="AA.Reports.Available" hidden="1">#REF!</definedName>
    <definedName name="ab">#REF!</definedName>
    <definedName name="ac">#REF!</definedName>
    <definedName name="ADMIN" localSheetId="15">#REF!</definedName>
    <definedName name="ADMIN" localSheetId="13">#REF!</definedName>
    <definedName name="ADMIN" localSheetId="12">#REF!</definedName>
    <definedName name="ADMIN" localSheetId="7">#REF!</definedName>
    <definedName name="ADMIN" localSheetId="10">#REF!</definedName>
    <definedName name="ADMIN" localSheetId="22">#REF!</definedName>
    <definedName name="ADMIN">#REF!</definedName>
    <definedName name="AIRCONDITIONER">'[5]REQUIRED AND BASE INFO'!$C$32</definedName>
    <definedName name="AMORT">'[6]2Assumption'!#REF!</definedName>
    <definedName name="AmortizationTermYears" localSheetId="28">#REF!</definedName>
    <definedName name="AmortizationTermYears">#REF!</definedName>
    <definedName name="AmortizedLoanCosts" localSheetId="28">#REF!</definedName>
    <definedName name="AmortizedLoanCosts">#REF!</definedName>
    <definedName name="ANS_INFOPRT" localSheetId="28">#REF!</definedName>
    <definedName name="ANS_INFOPRT">#REF!</definedName>
    <definedName name="ANS_KEEPDATA">#REF!</definedName>
    <definedName name="ANS_MACROPRT1">#REF!</definedName>
    <definedName name="ANS_MACROPRT2">#REF!</definedName>
    <definedName name="ANS_MACROPRT3">#REF!</definedName>
    <definedName name="ANS_SWAPDATA">#REF!</definedName>
    <definedName name="ANS_UPDDATA">#REF!</definedName>
    <definedName name="ASSESSMENT">'[5]REQUIRED AND BASE INFO'!$C$33</definedName>
    <definedName name="BACKGRND" localSheetId="28">#REF!</definedName>
    <definedName name="BACKGRND">#REF!</definedName>
    <definedName name="BalanceOutstanding" localSheetId="28">#REF!</definedName>
    <definedName name="BalanceOutstanding">#REF!</definedName>
    <definedName name="BASE" localSheetId="28">[7]Budget!#REF!</definedName>
    <definedName name="BASE">[7]Budget!#REF!</definedName>
    <definedName name="BCK_COL" localSheetId="28">#REF!</definedName>
    <definedName name="BCK_COL">#REF!</definedName>
    <definedName name="BCK_LOOP" localSheetId="28">#REF!</definedName>
    <definedName name="BCK_LOOP">#REF!</definedName>
    <definedName name="Beginning_Balance" localSheetId="28">-FV(Interest_Rate/12,'Pie Chart for Annual'!Payment_Number-1,-'Pie Chart for Annual'!Monthly_Payment,Loan_Amount)</definedName>
    <definedName name="Beginning_Balance">-FV(Interest_Rate/12,Payment_Number-1,-Monthly_Payment,Loan_Amount)</definedName>
    <definedName name="BIKE">'[5]REQUIRED AND BASE INFO'!$C$34</definedName>
    <definedName name="Body" localSheetId="28">#REF!</definedName>
    <definedName name="Body">#REF!</definedName>
    <definedName name="BONUS">'[5]Payroll Data'!$S$34:$S$64</definedName>
    <definedName name="Brorrower" localSheetId="28">#REF!</definedName>
    <definedName name="Brorrower">#REF!</definedName>
    <definedName name="BUDGET">' bud'!$A$1:$G$54</definedName>
    <definedName name="Ca" localSheetId="28">#REF!</definedName>
    <definedName name="Ca">#REF!</definedName>
    <definedName name="CABLE">'[5]REQUIRED AND BASE INFO'!$C$35</definedName>
    <definedName name="CAPASMNT">'[5]REQUIRED AND BASE INFO'!$C$36</definedName>
    <definedName name="CF_Commercial" localSheetId="28">#REF!</definedName>
    <definedName name="CF_Commercial">#REF!</definedName>
    <definedName name="CF_Owned_Apt" localSheetId="28">#REF!</definedName>
    <definedName name="CF_Owned_Apt">#REF!</definedName>
    <definedName name="CF_Portfolio" localSheetId="28">#REF!</definedName>
    <definedName name="CF_Portfolio">#REF!</definedName>
    <definedName name="CF_Residential">#REF!</definedName>
    <definedName name="CF_Retail">#REF!</definedName>
    <definedName name="CLASS">'[5]Payroll Data'!$D$34:$D$63</definedName>
    <definedName name="CLEAN_LIST" localSheetId="28">#REF!</definedName>
    <definedName name="CLEAN_LIST">#REF!</definedName>
    <definedName name="CLEAN_LOOP" localSheetId="28">#REF!</definedName>
    <definedName name="CLEAN_LOOP">#REF!</definedName>
    <definedName name="ClosingDate" localSheetId="28">#REF!</definedName>
    <definedName name="ClosingDate">#REF!</definedName>
    <definedName name="COMMERCIAL">'[5]REQUIRED AND BASE INFO'!$C$45</definedName>
    <definedName name="COMP">yrlycomp!$A$1:$L$66</definedName>
    <definedName name="CONTENTS">contents!$A$1:$F$34</definedName>
    <definedName name="Contract_weeks_others">'[5]Payroll Data Table'!$A$123:$H$129</definedName>
    <definedName name="CoopAbate">'[5]Real Est Txs'!$J$34</definedName>
    <definedName name="_xlnm.Criteria" localSheetId="28">#REF!</definedName>
    <definedName name="_xlnm.Criteria" localSheetId="1">'yardi_data (2)'!#REF!</definedName>
    <definedName name="_xlnm.Criteria">#REF!</definedName>
    <definedName name="CURR_SCEN" localSheetId="28">#REF!</definedName>
    <definedName name="CURR_SCEN">#REF!</definedName>
    <definedName name="d" localSheetId="13">#REF!</definedName>
    <definedName name="d" localSheetId="22">#REF!</definedName>
    <definedName name="d">#REF!</definedName>
    <definedName name="D_VERSIONS" localSheetId="28">#REF!</definedName>
    <definedName name="D_VERSIONS">#REF!</definedName>
    <definedName name="Data.Dump" hidden="1">OFFSET([8]!Data.Top.Left,1,0)</definedName>
    <definedName name="Database.File" localSheetId="28" hidden="1">#REF!</definedName>
    <definedName name="Database.File" hidden="1">#REF!</definedName>
    <definedName name="date">#REF!</definedName>
    <definedName name="DATE1">#REF!</definedName>
    <definedName name="DATE2">#REF!</definedName>
    <definedName name="DaysInYear">#REF!</definedName>
    <definedName name="DefaultCrv">[9]MktData!$O$51</definedName>
    <definedName name="DEL_SCENARIO" localSheetId="28">#REF!</definedName>
    <definedName name="DEL_SCENARIO">#REF!</definedName>
    <definedName name="DLG_INFOPRT" localSheetId="28">#REF!</definedName>
    <definedName name="DLG_INFOPRT">#REF!</definedName>
    <definedName name="DLG_KEEPDATA" localSheetId="28">#REF!</definedName>
    <definedName name="DLG_KEEPDATA">#REF!</definedName>
    <definedName name="DLG_KHELP">#REF!</definedName>
    <definedName name="DLG_MACPRINT">#REF!</definedName>
    <definedName name="DLG_PERSONAL">#REF!</definedName>
    <definedName name="DLG_SAMPLE1">#REF!</definedName>
    <definedName name="DLG_SAMPLE2">#REF!</definedName>
    <definedName name="DLG_SWAPDATA">#REF!</definedName>
    <definedName name="DLG_UPDDATA">#REF!</definedName>
    <definedName name="DLG_UPDSC">#REF!</definedName>
    <definedName name="DLG_UPDUN">#REF!</definedName>
    <definedName name="ELECT" localSheetId="15">#REF!</definedName>
    <definedName name="ELECT" localSheetId="13">#REF!</definedName>
    <definedName name="ELECT" localSheetId="12">#REF!</definedName>
    <definedName name="ELECT" localSheetId="7">#REF!</definedName>
    <definedName name="ELECT" localSheetId="10">#REF!</definedName>
    <definedName name="ELECT" localSheetId="22">#REF!</definedName>
    <definedName name="ELECT">#REF!</definedName>
    <definedName name="ELECTRIC">'[5]REQUIRED AND BASE INFO'!$C$37</definedName>
    <definedName name="Ending_Balance" localSheetId="28">-FV(Interest_Rate/12,'Pie Chart for Annual'!Payment_Number,-'Pie Chart for Annual'!Monthly_Payment,Loan_Amount)</definedName>
    <definedName name="Ending_Balance">-FV(Interest_Rate/12,Payment_Number,-Monthly_Payment,Loan_Amount)</definedName>
    <definedName name="Entity" localSheetId="28">#REF!</definedName>
    <definedName name="Entity">#REF!</definedName>
    <definedName name="Export_10Y" localSheetId="28">#REF!</definedName>
    <definedName name="Export_10Y">#REF!</definedName>
    <definedName name="Export_10YIncrement" localSheetId="28">#REF!</definedName>
    <definedName name="Export_10YIncrement">#REF!</definedName>
    <definedName name="Export_12Y">#REF!</definedName>
    <definedName name="Export_12YIncrement">#REF!</definedName>
    <definedName name="Export_15Y">#REF!</definedName>
    <definedName name="Export_15YIncrement">#REF!</definedName>
    <definedName name="Export_20Y">#REF!</definedName>
    <definedName name="Export_20YIncrement">#REF!</definedName>
    <definedName name="Export_30Y">#REF!</definedName>
    <definedName name="Export_30YIncrement">#REF!</definedName>
    <definedName name="Export_40Y">#REF!</definedName>
    <definedName name="Export_40YIncrement">#REF!</definedName>
    <definedName name="Export_5Y">#REF!</definedName>
    <definedName name="Export_5YIncrement">#REF!</definedName>
    <definedName name="Export_7Y">#REF!</definedName>
    <definedName name="Export_7YIncrement">#REF!</definedName>
    <definedName name="Export_TelerateBlock">#REF!</definedName>
    <definedName name="Export_Write10Y">#REF!</definedName>
    <definedName name="Export_Write12Y">#REF!</definedName>
    <definedName name="Export_Write15Y">#REF!</definedName>
    <definedName name="Export_Write20Y">#REF!</definedName>
    <definedName name="Export_Write30Y">#REF!</definedName>
    <definedName name="Export_Write40Y">#REF!</definedName>
    <definedName name="Export_Write5Y">#REF!</definedName>
    <definedName name="Export_Write7Y">#REF!</definedName>
    <definedName name="File.Type" hidden="1">#REF!</definedName>
    <definedName name="FixedOrVariable" localSheetId="28">#REF!</definedName>
    <definedName name="FixedOrVariable">#REF!</definedName>
    <definedName name="Fly_DateVector">OFFSET([9]Curve!$AG$4,0,0,[9]Curve!$AT$9,1)</definedName>
    <definedName name="Fly_FlyVector">OFFSET([9]Curve!$AL$4,0,0,[9]Curve!$AT$9,1)</definedName>
    <definedName name="Fly_Ref2Vector">OFFSET([9]Curve!$AM$4,0,0,[9]Curve!$AT$9,1)</definedName>
    <definedName name="Fly_RefVector">OFFSET([9]Curve!$AH$4,0,0,[9]Curve!$AT$9,1)</definedName>
    <definedName name="Formation" localSheetId="28">'[10]Entity List'!#REF!</definedName>
    <definedName name="Formation">'[10]Entity List'!#REF!</definedName>
    <definedName name="FRANCH" localSheetId="15">#REF!</definedName>
    <definedName name="FRANCH" localSheetId="13">#REF!</definedName>
    <definedName name="FRANCH" localSheetId="12">#REF!</definedName>
    <definedName name="FRANCH" localSheetId="7">#REF!</definedName>
    <definedName name="FRANCH" localSheetId="10">#REF!</definedName>
    <definedName name="FRANCH" localSheetId="22">#REF!</definedName>
    <definedName name="FRANCH">#REF!</definedName>
    <definedName name="FRM_UPDSC" localSheetId="28">#REF!</definedName>
    <definedName name="FRM_UPDSC">#REF!</definedName>
    <definedName name="FUELSURCHARGE">'[5]REQUIRED AND BASE INFO'!$C$38</definedName>
    <definedName name="Future_Vacancies">[11]SUMMARY!$AB$7:$AB$1000</definedName>
    <definedName name="Future_Vacancy" localSheetId="28">#REF!</definedName>
    <definedName name="Future_Vacancy">#REF!</definedName>
    <definedName name="GARAGE">'[5]REQUIRED AND BASE INFO'!$C$39</definedName>
    <definedName name="GASHEAT" localSheetId="15">#REF!</definedName>
    <definedName name="GASHEAT" localSheetId="13">#REF!</definedName>
    <definedName name="GASHEAT" localSheetId="12">#REF!</definedName>
    <definedName name="GASHEAT" localSheetId="7">#REF!</definedName>
    <definedName name="GASHEAT" localSheetId="10">#REF!</definedName>
    <definedName name="GASHEAT" localSheetId="22">#REF!</definedName>
    <definedName name="GASHEAT">#REF!</definedName>
    <definedName name="gass" localSheetId="13">#REF!</definedName>
    <definedName name="gass">#REF!</definedName>
    <definedName name="GRAPH2">'Pie Chart for Annual'!$A$5:$O$40</definedName>
    <definedName name="GROSS">'[5]Payroll Data'!$N$34:$N$63</definedName>
    <definedName name="gsf" localSheetId="28">#REF!</definedName>
    <definedName name="gsf">#REF!</definedName>
    <definedName name="HANDYRATE">'[5]Payroll Data'!$O$6</definedName>
    <definedName name="Header_Row">ROW('[12]Loan Calculator'!$15:$15)</definedName>
    <definedName name="HOLIDAY__">'[5]Payroll Data'!$Q$34:$Q$63</definedName>
    <definedName name="HTML_CodePage" hidden="1">1252</definedName>
    <definedName name="HTML_Control" localSheetId="28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INCOME" localSheetId="15">#REF!</definedName>
    <definedName name="INCOME" localSheetId="13">#REF!</definedName>
    <definedName name="INCOME" localSheetId="12">#REF!</definedName>
    <definedName name="INCOME" localSheetId="7">Income!$A$1:$O$70</definedName>
    <definedName name="INCOME" localSheetId="10">#REF!</definedName>
    <definedName name="INCOME" localSheetId="22">#REF!</definedName>
    <definedName name="INCOME">#REF!</definedName>
    <definedName name="INCREASE" localSheetId="28">#REF!</definedName>
    <definedName name="INCREASE">#REF!</definedName>
    <definedName name="IndexRate" localSheetId="28">#REF!</definedName>
    <definedName name="IndexRate">#REF!</definedName>
    <definedName name="IndexRatePercent" localSheetId="28">#REF!</definedName>
    <definedName name="IndexRatePercent">#REF!</definedName>
    <definedName name="INF_ABOU_RANGE">#REF!</definedName>
    <definedName name="INF_CONVENTION">#REF!</definedName>
    <definedName name="INF_NOTE_RANGE">#REF!</definedName>
    <definedName name="INF_OVER_RANGE">#REF!</definedName>
    <definedName name="INF_STEP_RANGE">#REF!</definedName>
    <definedName name="INF_TIPS_RANGE">#REF!</definedName>
    <definedName name="INFO_ABOUT">#REF!</definedName>
    <definedName name="INFO_CONVENTION">#REF!</definedName>
    <definedName name="INFO_CURR_PRT">#REF!</definedName>
    <definedName name="INFO_LIST">#REF!</definedName>
    <definedName name="INFO_NOTESFX">#REF!</definedName>
    <definedName name="INFO_OVERVIEW">#REF!</definedName>
    <definedName name="INFO_PRINT">#REF!</definedName>
    <definedName name="INFO_STEPS">#REF!</definedName>
    <definedName name="INFO_TIPS">#REF!</definedName>
    <definedName name="INFO_TOPIC">#REF!</definedName>
    <definedName name="INFORMATION">#REF!</definedName>
    <definedName name="INS" localSheetId="10">#REF!</definedName>
    <definedName name="INS">' Insurance-Sched(No PDF)'!$B$1:$J$20</definedName>
    <definedName name="INT_RATE" localSheetId="28">'[6]2Assumption'!#REF!</definedName>
    <definedName name="INT_RATE">'[6]2Assumption'!#REF!</definedName>
    <definedName name="Interest" localSheetId="28">-IPMT(Interest_Rate/12,'Pie Chart for Annual'!Payment_Number,Number_of_Payments,Loan_Amount)</definedName>
    <definedName name="Interest">-IPMT(Interest_Rate/12,Payment_Number,Number_of_Payments,Loan_Amount)</definedName>
    <definedName name="Interest_Rate">'[12]Loan Calculator'!$E$5</definedName>
    <definedName name="InterestOnly" localSheetId="28">#REF!</definedName>
    <definedName name="InterestOnly">#REF!</definedName>
    <definedName name="InterestRateFixed" localSheetId="28">#REF!</definedName>
    <definedName name="InterestRateFixed">#REF!</definedName>
    <definedName name="K_EXISTS" localSheetId="28">#REF!</definedName>
    <definedName name="K_EXISTS">#REF!</definedName>
    <definedName name="K_HELP">#REF!</definedName>
    <definedName name="K_LIMIT">#REF!</definedName>
    <definedName name="K_UPDATE">#REF!</definedName>
    <definedName name="K_VERSIONS">#REF!</definedName>
    <definedName name="KEEPDATA">#REF!</definedName>
    <definedName name="Last_Row" localSheetId="28">IF('Pie Chart for Annual'!Values_Entered,Header_Row+Number_of_Payments,Header_Row)</definedName>
    <definedName name="Last_Row">IF(Values_Entered,Header_Row+Number_of_Payments,Header_Row)</definedName>
    <definedName name="LastPaymentDate" localSheetId="28">#REF!</definedName>
    <definedName name="LastPaymentDate">#REF!</definedName>
    <definedName name="LAUNDRY">'[5]REQUIRED AND BASE INFO'!$C$52</definedName>
    <definedName name="Lease_End" localSheetId="28">#REF!</definedName>
    <definedName name="Lease_End">#REF!</definedName>
    <definedName name="Lender" localSheetId="28">#REF!</definedName>
    <definedName name="Lender">#REF!</definedName>
    <definedName name="LinkCell" localSheetId="28">'[6]2Assumption'!#REF!</definedName>
    <definedName name="LinkCell">'[6]2Assumption'!#REF!</definedName>
    <definedName name="LinkFileEX" localSheetId="28">'[6]2Assumption'!#REF!</definedName>
    <definedName name="LinkFileEX">'[6]2Assumption'!#REF!</definedName>
    <definedName name="LinkFilePJ">'[6]2Assumption'!#REF!</definedName>
    <definedName name="LIST_ADDR" localSheetId="28">#REF!</definedName>
    <definedName name="LIST_ADDR">#REF!</definedName>
    <definedName name="LIST_RNG" localSheetId="28">#REF!</definedName>
    <definedName name="LIST_RNG">#REF!</definedName>
    <definedName name="Loan_Amount">'[12]Loan Calculator'!$E$4</definedName>
    <definedName name="Loan_Not_Paid" localSheetId="28">IF('Pie Chart for Annual'!Payment_Number&lt;=Number_of_Payments,1,0)</definedName>
    <definedName name="Loan_Not_Paid">IF(Payment_Number&lt;=Number_of_Payments,1,0)</definedName>
    <definedName name="Loan_Start">'[12]Loan Calculator'!$E$7</definedName>
    <definedName name="Loan_Years">'[12]Loan Calculator'!$E$6</definedName>
    <definedName name="LoanNumber" localSheetId="28">#REF!</definedName>
    <definedName name="LoanNumber">#REF!</definedName>
    <definedName name="MACRO_HIDE" localSheetId="28">#REF!</definedName>
    <definedName name="MACRO_HIDE">#REF!</definedName>
    <definedName name="MACRO_PRINT" localSheetId="28">#REF!</definedName>
    <definedName name="MACRO_PRINT">#REF!</definedName>
    <definedName name="MACRO_SHOW">#REF!</definedName>
    <definedName name="Macro1" localSheetId="28">#N/A</definedName>
    <definedName name="Macro1">#N/A</definedName>
    <definedName name="Macro2" localSheetId="28">#N/A</definedName>
    <definedName name="Macro2">#N/A</definedName>
    <definedName name="MACROS" localSheetId="28">#REF!</definedName>
    <definedName name="MACROS">#REF!</definedName>
    <definedName name="MACROS_RANGE" localSheetId="28">#REF!</definedName>
    <definedName name="MACROS_RANGE">#REF!</definedName>
    <definedName name="MAID">'[5]REQUIRED AND BASE INFO'!$C$40</definedName>
    <definedName name="MAINT">'[5]REQUIRED AND BASE INFO'!$C$28</definedName>
    <definedName name="MAINT_INC">'[5]REQUIRED AND BASE INFO'!$C$29</definedName>
    <definedName name="Market_Value" localSheetId="28">#REF!</definedName>
    <definedName name="Market_Value">#REF!</definedName>
    <definedName name="MarketRent">[13]SUMMARY!$E$1:$E$65536</definedName>
    <definedName name="matrix" localSheetId="28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urityDate">#REF!</definedName>
    <definedName name="MGMT" localSheetId="15">#REF!</definedName>
    <definedName name="MGMT" localSheetId="13">#REF!</definedName>
    <definedName name="MGMT" localSheetId="12">#REF!</definedName>
    <definedName name="MGMT" localSheetId="7">#REF!</definedName>
    <definedName name="MGMT" localSheetId="10">#REF!</definedName>
    <definedName name="MGMT" localSheetId="22">#REF!</definedName>
    <definedName name="MGMT">#REF!</definedName>
    <definedName name="mo" localSheetId="28">#REF!</definedName>
    <definedName name="mo">#REF!</definedName>
    <definedName name="MONTHLY">'[5]Payroll Data'!$U$34:$U$63</definedName>
    <definedName name="Monthly_Payment" localSheetId="28">-PMT(Interest_Rate/12,Number_of_Payments,Loan_Amount)</definedName>
    <definedName name="Monthly_Payment">-PMT(Interest_Rate/12,Number_of_Payments,Loan_Amount)</definedName>
    <definedName name="MonthlyPayment" localSheetId="28">#REF!</definedName>
    <definedName name="MonthlyPayment">#REF!</definedName>
    <definedName name="MTG" localSheetId="13">#REF!</definedName>
    <definedName name="MTG" localSheetId="7">#REF!</definedName>
    <definedName name="MTG" localSheetId="10">#REF!</definedName>
    <definedName name="MTG" localSheetId="22">#REF!</definedName>
    <definedName name="MTG">#REF!</definedName>
    <definedName name="NEW_HIRE">'[5]Payroll Data'!$O$28</definedName>
    <definedName name="NO_UPDATE" localSheetId="28">#REF!</definedName>
    <definedName name="NO_UPDATE">#REF!</definedName>
    <definedName name="NOTES_FIELDS" localSheetId="28">#REF!</definedName>
    <definedName name="NOTES_FIELDS">#REF!</definedName>
    <definedName name="NOTES_SHOW" localSheetId="28">#REF!</definedName>
    <definedName name="NOTES_SHOW">#REF!</definedName>
    <definedName name="Number_of_Payments">'[12]Loan Calculator'!$E$10</definedName>
    <definedName name="OIL" localSheetId="15">#REF!</definedName>
    <definedName name="OIL" localSheetId="13">#REF!</definedName>
    <definedName name="OIL" localSheetId="12">#REF!</definedName>
    <definedName name="OIL" localSheetId="7">#REF!</definedName>
    <definedName name="OIL" localSheetId="10">#REF!</definedName>
    <definedName name="OIL" localSheetId="22">#REF!</definedName>
    <definedName name="OIL">#REF!</definedName>
    <definedName name="OVERTIME_">'[5]Payroll Data'!$P$34:$P$63</definedName>
    <definedName name="Ownership" hidden="1">OFFSET([8]!Data.Top.Left,1,0)</definedName>
    <definedName name="PARKING">'[5]REQUIRED AND BASE INFO'!$C$41</definedName>
    <definedName name="PARTIME">'[5]Payroll Data'!$O$25</definedName>
    <definedName name="Payment_Date" localSheetId="28">DATE(YEAR(Loan_Start),MONTH(Loan_Start)+'Pie Chart for Annual'!Payment_Number,DAY(Loan_Start))</definedName>
    <definedName name="Payment_Date">DATE(YEAR(Loan_Start),MONTH(Loan_Start)+Payment_Number,DAY(Loan_Start))</definedName>
    <definedName name="Payment_Number" localSheetId="28">ROW()-Header_Row</definedName>
    <definedName name="Payment_Number">ROW()-Header_Row</definedName>
    <definedName name="PenaltyAmount" localSheetId="28">#REF!</definedName>
    <definedName name="PenaltyAmount">#REF!</definedName>
    <definedName name="PenaltyExpirationDate" localSheetId="28">#REF!</definedName>
    <definedName name="PenaltyExpirationDate">#REF!</definedName>
    <definedName name="PenaltyRate" localSheetId="28">#REF!</definedName>
    <definedName name="PenaltyRate">#REF!</definedName>
    <definedName name="PERSONALIZE">#REF!</definedName>
    <definedName name="PJLinkData">#REF!</definedName>
    <definedName name="PORTER">'[5]Payroll Data'!$O$7</definedName>
    <definedName name="PREV_SCEN" localSheetId="28">#REF!</definedName>
    <definedName name="PREV_SCEN">#REF!</definedName>
    <definedName name="Principal" localSheetId="28">-PPMT(Interest_Rate/12,'Pie Chart for Annual'!Payment_Number,Number_of_Payments,Loan_Amount)</definedName>
    <definedName name="Principal">-PPMT(Interest_Rate/12,Payment_Number,Number_of_Payments,Loan_Amount)</definedName>
    <definedName name="Print" localSheetId="28">#REF!</definedName>
    <definedName name="Print">#REF!</definedName>
    <definedName name="_xlnm.Print_Area" localSheetId="4">' bud'!$B$1:$G$53</definedName>
    <definedName name="_xlnm.Print_Area" localSheetId="21">' Insurance-Sched(No PDF)'!$A$1:$J$53</definedName>
    <definedName name="_xlnm.Print_Area" localSheetId="25">CAP!$A$1:$J$68</definedName>
    <definedName name="_xlnm.Print_Area" localSheetId="27">'Chart for Annual Meeting'!$A$4:$I$35</definedName>
    <definedName name="_xlnm.Print_Area" localSheetId="8">'Comm Rent &amp; Escalations'!$A$1:$G$62</definedName>
    <definedName name="_xlnm.Print_Area" localSheetId="3">contents!$B$1:$F$44</definedName>
    <definedName name="_xlnm.Print_Area" localSheetId="2">COV!$A$1:$I$44</definedName>
    <definedName name="_xlnm.Print_Area" localSheetId="15">elect!$A$1:$L$86</definedName>
    <definedName name="_xlnm.Print_Area" localSheetId="13">Electric!$A$1:$K$67</definedName>
    <definedName name="_xlnm.Print_Area" localSheetId="14">'Electric 2'!$A$1:$I$64</definedName>
    <definedName name="_xlnm.Print_Area" localSheetId="12">Gas!$A$1:$P$63</definedName>
    <definedName name="_xlnm.Print_Area" localSheetId="16">'Gas Cooking'!$A$1:$K$66</definedName>
    <definedName name="_xlnm.Print_Area" localSheetId="17">'Gas-Heat'!$A$1:$K$71</definedName>
    <definedName name="_xlnm.Print_Area" localSheetId="19">'Gen &amp; Admin'!$A$1:$J$78</definedName>
    <definedName name="_xlnm.Print_Area" localSheetId="7">Income!$A$1:$I$92</definedName>
    <definedName name="_xlnm.Print_Area" localSheetId="26">'maint proof'!#REF!</definedName>
    <definedName name="_xlnm.Print_Area" localSheetId="11">Payroll!$A$1:$M$93</definedName>
    <definedName name="_xlnm.Print_Area" localSheetId="28">'Pie Chart for Annual'!$A$1:$O$40</definedName>
    <definedName name="_xlnm.Print_Area" localSheetId="10">pyrl!$A$1:$L$74</definedName>
    <definedName name="_xlnm.Print_Area" localSheetId="23">'RE Taxes'!$A$1:$I$71</definedName>
    <definedName name="_xlnm.Print_Area" localSheetId="18">'Repairs &amp; Supplies'!$A$1:$J$78</definedName>
    <definedName name="_xlnm.Print_Area" localSheetId="22">Water!$A$1:$J$64</definedName>
    <definedName name="_xlnm.Print_Area" localSheetId="24">wtrswr!$A$1:$H$48</definedName>
    <definedName name="_xlnm.Print_Area" localSheetId="1">'yardi_data (2)'!$A$1:$H$625</definedName>
    <definedName name="_xlnm.Print_Area" localSheetId="5">yrlycomp!$A$1:$M$84</definedName>
    <definedName name="_xlnm.Print_Area">[14]RET!$A$7:$N$38</definedName>
    <definedName name="_xlnm.Print_Titles" localSheetId="18">'Repairs &amp; Supplies'!$1:$2</definedName>
    <definedName name="_xlnm.Print_Titles" localSheetId="1">'yardi_data (2)'!$8:$624</definedName>
    <definedName name="_xlnm.Print_Titles">#N/A</definedName>
    <definedName name="Print_Zone" localSheetId="1">'yardi_data (2)'!$A$8:$D$628</definedName>
    <definedName name="PROF" localSheetId="15">#REF!</definedName>
    <definedName name="PROF" localSheetId="13">#REF!</definedName>
    <definedName name="PROF" localSheetId="12">#REF!</definedName>
    <definedName name="PROF" localSheetId="7">#REF!</definedName>
    <definedName name="PROF" localSheetId="10">#REF!</definedName>
    <definedName name="PROF" localSheetId="22">#REF!</definedName>
    <definedName name="PROF">#REF!</definedName>
    <definedName name="PROF_RENT">'[5]REQUIRED AND BASE INFO'!$C$50</definedName>
    <definedName name="Profile">[13]SUMMARY!$O$1:$O$65536</definedName>
    <definedName name="PropApt">[13]SUMMARY!$P$1:$P$65536</definedName>
    <definedName name="Property" localSheetId="28">#REF!</definedName>
    <definedName name="Property">#REF!</definedName>
    <definedName name="PropertyNumber" localSheetId="28">#REF!</definedName>
    <definedName name="PropertyNumber">#REF!</definedName>
    <definedName name="PRPYRL" localSheetId="15">#REF!</definedName>
    <definedName name="PRPYRL" localSheetId="13">#REF!</definedName>
    <definedName name="PRPYRL" localSheetId="12">#REF!</definedName>
    <definedName name="PRPYRL" localSheetId="7">#REF!</definedName>
    <definedName name="PRPYRL" localSheetId="10">#REF!</definedName>
    <definedName name="PRPYRL" localSheetId="22">#REF!</definedName>
    <definedName name="PRPYRL">#REF!</definedName>
    <definedName name="PYRL" localSheetId="15">#REF!</definedName>
    <definedName name="PYRL" localSheetId="13">#REF!</definedName>
    <definedName name="PYRL" localSheetId="12">#REF!</definedName>
    <definedName name="PYRL" localSheetId="7">#REF!</definedName>
    <definedName name="PYRL" localSheetId="10">#REF!</definedName>
    <definedName name="PYRL" localSheetId="22">#REF!</definedName>
    <definedName name="PYRL">#REF!</definedName>
    <definedName name="RateCap" localSheetId="28">#REF!</definedName>
    <definedName name="RateCap">#REF!</definedName>
    <definedName name="Renovated_kitchen" localSheetId="28">#REF!</definedName>
    <definedName name="Renovated_kitchen">#REF!</definedName>
    <definedName name="Rent" localSheetId="28">#REF!</definedName>
    <definedName name="Rent">#REF!</definedName>
    <definedName name="RENTAL">'[5]REQUIRED AND BASE INFO'!$C$51</definedName>
    <definedName name="RES" localSheetId="28">#REF!</definedName>
    <definedName name="RES">#REF!</definedName>
    <definedName name="RES_INFOPRT" localSheetId="28">#REF!</definedName>
    <definedName name="RES_INFOPRT">#REF!</definedName>
    <definedName name="RES_KEEPDATA" localSheetId="28">#REF!</definedName>
    <definedName name="RES_KEEPDATA">#REF!</definedName>
    <definedName name="RES_MACROPRT">#REF!</definedName>
    <definedName name="RES_SAMPLE1">#REF!</definedName>
    <definedName name="RES_SAMPLE2">#REF!</definedName>
    <definedName name="RES_SWAPDATA">#REF!</definedName>
    <definedName name="RES_UPDDATA">#REF!</definedName>
    <definedName name="RES_UPDSC">#REF!</definedName>
    <definedName name="RES_UPDUN">#REF!</definedName>
    <definedName name="RETAX" localSheetId="15">#REF!</definedName>
    <definedName name="RETAX" localSheetId="13">#REF!</definedName>
    <definedName name="RETAX" localSheetId="12">#REF!</definedName>
    <definedName name="RETAX" localSheetId="7">#REF!</definedName>
    <definedName name="RETAX" localSheetId="10">#REF!</definedName>
    <definedName name="RETAX" localSheetId="22">#REF!</definedName>
    <definedName name="RETAX">#REF!</definedName>
    <definedName name="RN_TABLE">#REF!</definedName>
    <definedName name="RN_TABLE_RANGE">#REF!</definedName>
    <definedName name="RNG_NAME">#REF!</definedName>
    <definedName name="RNG_NUM">#REF!</definedName>
    <definedName name="RPRS">'Repairs &amp; Supplies'!$B$1:$J$50</definedName>
    <definedName name="rsf" localSheetId="28">#REF!</definedName>
    <definedName name="rsf">#REF!</definedName>
    <definedName name="SAMP_RESTORE">#REF!</definedName>
    <definedName name="SAMPDATA">#REF!</definedName>
    <definedName name="Sample1">[15]Template!#REF!</definedName>
    <definedName name="SCENARIO_LIST" localSheetId="28">#REF!</definedName>
    <definedName name="SCENARIO_LIST">#REF!</definedName>
    <definedName name="SCHE">'[5]Real Est Txs'!$J$28</definedName>
    <definedName name="SCRIE">'[5]Real Est Txs'!$J$35</definedName>
    <definedName name="SecuredProperty" localSheetId="28">#REF!</definedName>
    <definedName name="SecuredProperty">#REF!</definedName>
    <definedName name="Servicer" localSheetId="28">#REF!</definedName>
    <definedName name="Servicer">#REF!</definedName>
    <definedName name="ServicerAccount" localSheetId="28">#REF!</definedName>
    <definedName name="ServicerAccount">#REF!</definedName>
    <definedName name="Show.Acct.Update.Warning" hidden="1">#REF!</definedName>
    <definedName name="Show.MDB.Update.Warning" hidden="1">#REF!</definedName>
    <definedName name="SHT_PRINT">#REF!</definedName>
    <definedName name="SICK_">'[5]Payroll Data'!$R$34:$R$63</definedName>
    <definedName name="SICK_YTD">'[5]Payroll Data'!$K$34:$K$63</definedName>
    <definedName name="SPONSOR">'[7]REQUIRED AND BASE INFO'!$C$27</definedName>
    <definedName name="SQ_FT" localSheetId="28">#REF!</definedName>
    <definedName name="SQ_FT">#REF!</definedName>
    <definedName name="StarBasic">'[5]Real Est Txs'!$J$27</definedName>
    <definedName name="StarEnhanced">'[5]Real Est Txs'!$J$26</definedName>
    <definedName name="STEAM" localSheetId="28">#REF!</definedName>
    <definedName name="STEAM">#REF!</definedName>
    <definedName name="STORAGE">'[5]REQUIRED AND BASE INFO'!$C$42</definedName>
    <definedName name="SwapCrv">[8]!DefaultCrv</definedName>
    <definedName name="SWAPDATA" localSheetId="28">#REF!</definedName>
    <definedName name="SWAPDATA">#REF!</definedName>
    <definedName name="TABLE_CONTENT" localSheetId="28">#REF!</definedName>
    <definedName name="TABLE_CONTENT">#REF!</definedName>
    <definedName name="Tax">[16]Overview!$L$20</definedName>
    <definedName name="tx" localSheetId="13">#REF!</definedName>
    <definedName name="tx">#REF!</definedName>
    <definedName name="Type_Apt" localSheetId="28">#REF!</definedName>
    <definedName name="Type_Apt">#REF!</definedName>
    <definedName name="Type_Reno_Kit">[17]Master!$AC$6:$AC$140</definedName>
    <definedName name="Unit" localSheetId="28">#REF!</definedName>
    <definedName name="Unit">#REF!</definedName>
    <definedName name="units" localSheetId="28">#REF!</definedName>
    <definedName name="units">#REF!</definedName>
    <definedName name="UP_EXISTING" localSheetId="28">#REF!</definedName>
    <definedName name="UP_EXISTING">#REF!</definedName>
    <definedName name="UP_UNNAMED">#REF!</definedName>
    <definedName name="UPDATE">#REF!</definedName>
    <definedName name="UPDATE_LIST">#REF!</definedName>
    <definedName name="UPDATE_LOOP">#REF!</definedName>
    <definedName name="UPDATE_POST">#REF!</definedName>
    <definedName name="UPDATE_TEST">#REF!</definedName>
    <definedName name="UPDUN">#REF!</definedName>
    <definedName name="UPPER_LEFT">#REF!</definedName>
    <definedName name="Vac_Allowance">#REF!</definedName>
    <definedName name="Vacancies">[11]SUMMARY!$AC$7:$AC$1000</definedName>
    <definedName name="Vacancy" localSheetId="28">#REF!</definedName>
    <definedName name="Vacancy">#REF!</definedName>
    <definedName name="Vacancy_Allowance">[11]SUMMARY!$AD$7:$AD$1000</definedName>
    <definedName name="VACATION">'[5]Payroll Data'!$I$5:$J$18</definedName>
    <definedName name="VACATION_">'[5]Payroll Data'!$O$34:$O$63</definedName>
    <definedName name="Vacation_YTD">'[5]Payroll Data'!$J$34:$J$63</definedName>
    <definedName name="Value" hidden="1">#N/A</definedName>
    <definedName name="value1" localSheetId="28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s_Entered" localSheetId="28">IF(Loan_Amount*Interest_Rate*Loan_Years*Loan_Start&gt;0,1,0)</definedName>
    <definedName name="Values_Entered">IF(Loan_Amount*Interest_Rate*Loan_Years*Loan_Start&gt;0,1,0)</definedName>
    <definedName name="vczvzc" localSheetId="13">'[18]2011 bud'!#REF!</definedName>
    <definedName name="vczvzc" localSheetId="22">'[18]2011 bud'!#REF!</definedName>
    <definedName name="vczvzc">'[18]2011 bud'!#REF!</definedName>
    <definedName name="VDAYS">'[5]Payroll Data'!$I$34:$I$63</definedName>
    <definedName name="WATER" localSheetId="28">#REF!</definedName>
    <definedName name="WATER">#REF!</definedName>
    <definedName name="WEEKLY">'[5]Payroll Data'!$T$34:$T$63</definedName>
    <definedName name="Weeks_Left">[5]Payroll!$G$90</definedName>
    <definedName name="White_Out_1" localSheetId="28">#REF!</definedName>
    <definedName name="White_Out_1">#REF!</definedName>
    <definedName name="White_Out_2" localSheetId="28">#REF!</definedName>
    <definedName name="White_Out_2">#REF!</definedName>
    <definedName name="White_Out_3" localSheetId="28">#REF!</definedName>
    <definedName name="White_Out_3">#REF!</definedName>
    <definedName name="White_Out_4">#REF!</definedName>
    <definedName name="White_Out_5">#REF!</definedName>
    <definedName name="wrn.Full_Template." localSheetId="28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Value." localSheetId="28" hidden="1">{#N/A,#N/A,FALSE,"Cashflow Analysis";#N/A,#N/A,FALSE,"Sensitivity Analysis";#N/A,#N/A,FALSE,"PV";#N/A,#N/A,FALSE,"Pro Forma"}</definedName>
    <definedName name="wrn.Value." hidden="1">{#N/A,#N/A,FALSE,"Cashflow Analysis";#N/A,#N/A,FALSE,"Sensitivity Analysis";#N/A,#N/A,FALSE,"PV";#N/A,#N/A,FALSE,"Pro Forma"}</definedName>
    <definedName name="WTRSWR" localSheetId="7">#REF!</definedName>
    <definedName name="WTRSWR" localSheetId="10">#REF!</definedName>
    <definedName name="WTRSWR" localSheetId="22">Water!#REF!</definedName>
    <definedName name="WTRSWR">wtrswr!$A$1:$G$47</definedName>
    <definedName name="xxx">#REF!</definedName>
    <definedName name="YRs_Svc">'[5]Payroll Data'!$V$34:$V$63</definedName>
    <definedName name="Z_01608080_612C_4698_83A6_FC99AA50C65F_.wvu.PrintArea" localSheetId="28" hidden="1">'Pie Chart for Annual'!$A$1:$O$40</definedName>
    <definedName name="Z_21E631D0_7714_4E7E_8D95_74DC9C5C086A_.wvu.PrintArea" localSheetId="27" hidden="1">'Chart for Annual Meeting'!$A$4:$I$35</definedName>
    <definedName name="Z_21E631D0_7714_4E7E_8D95_74DC9C5C086A_.wvu.PrintArea" localSheetId="28" hidden="1">'Pie Chart for Annual'!$A$1:$O$40</definedName>
    <definedName name="ZM_ALL" localSheetId="28">#REF!</definedName>
    <definedName name="ZM_ALL">#REF!</definedName>
    <definedName name="ZM_NRML" localSheetId="28">#REF!</definedName>
    <definedName name="ZM_NRML">#REF!</definedName>
    <definedName name="ZM_RESTORE" localSheetId="28">#REF!</definedName>
    <definedName name="ZM_RESTORE">#REF!</definedName>
    <definedName name="ZM_SCRN">#REF!</definedName>
    <definedName name="ZM_TABLE">#REF!</definedName>
    <definedName name="ZOOM_RTN">#REF!</definedName>
    <definedName name="ZOOM_TEST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3" l="1"/>
  <c r="D17" i="63" l="1"/>
  <c r="F18" i="47"/>
  <c r="H43" i="47"/>
  <c r="J15" i="2"/>
  <c r="H37" i="47"/>
  <c r="I37" i="47" s="1"/>
  <c r="M14" i="2"/>
  <c r="F37" i="47"/>
  <c r="H67" i="61"/>
  <c r="H66" i="61"/>
  <c r="G60" i="61"/>
  <c r="G28" i="61"/>
  <c r="D31" i="61"/>
  <c r="D17" i="61"/>
  <c r="L22" i="50"/>
  <c r="K22" i="50"/>
  <c r="J22" i="50"/>
  <c r="I18" i="50"/>
  <c r="I8" i="50"/>
  <c r="I7" i="50"/>
  <c r="B7" i="50"/>
  <c r="B8" i="50"/>
  <c r="H22" i="19"/>
  <c r="H23" i="19"/>
  <c r="H24" i="19"/>
  <c r="H25" i="19"/>
  <c r="H26" i="19"/>
  <c r="J51" i="61"/>
  <c r="G29" i="11"/>
  <c r="E29" i="11"/>
  <c r="C29" i="11"/>
  <c r="C9" i="11"/>
  <c r="G9" i="11" s="1"/>
  <c r="D30" i="61"/>
  <c r="D41" i="9"/>
  <c r="J41" i="9"/>
  <c r="G41" i="9"/>
  <c r="G40" i="9"/>
  <c r="D15" i="9"/>
  <c r="E35" i="50"/>
  <c r="E34" i="50"/>
  <c r="B11" i="50"/>
  <c r="B9" i="50"/>
  <c r="B13" i="50"/>
  <c r="I71" i="50"/>
  <c r="I72" i="50"/>
  <c r="I70" i="50"/>
  <c r="E70" i="47"/>
  <c r="I11" i="2"/>
  <c r="J11" i="2"/>
  <c r="D67" i="61"/>
  <c r="J17" i="2"/>
  <c r="B13" i="66"/>
  <c r="J16" i="2"/>
  <c r="F38" i="61"/>
  <c r="F8" i="9"/>
  <c r="F44" i="9"/>
  <c r="F47" i="9"/>
  <c r="F16" i="9"/>
  <c r="F17" i="9"/>
  <c r="G67" i="61"/>
  <c r="J46" i="61"/>
  <c r="G13" i="61"/>
  <c r="J13" i="61"/>
  <c r="I69" i="50"/>
  <c r="I73" i="50"/>
  <c r="E38" i="50"/>
  <c r="L38" i="50" s="1"/>
  <c r="E37" i="50"/>
  <c r="E15" i="62"/>
  <c r="D39" i="68"/>
  <c r="D23" i="68"/>
  <c r="I30" i="68"/>
  <c r="H31" i="68"/>
  <c r="H47" i="53"/>
  <c r="I52" i="53"/>
  <c r="I51" i="53"/>
  <c r="I50" i="53"/>
  <c r="I49" i="53"/>
  <c r="I48" i="53"/>
  <c r="I47" i="53"/>
  <c r="I46" i="53"/>
  <c r="I45" i="53"/>
  <c r="I44" i="53"/>
  <c r="I43" i="53"/>
  <c r="I42" i="53"/>
  <c r="I41" i="53"/>
  <c r="F46" i="67"/>
  <c r="F41" i="67"/>
  <c r="H49" i="67"/>
  <c r="H48" i="67"/>
  <c r="H47" i="67"/>
  <c r="H46" i="67"/>
  <c r="H44" i="67"/>
  <c r="H43" i="67"/>
  <c r="H42" i="67"/>
  <c r="H41" i="67"/>
  <c r="H36" i="67"/>
  <c r="H35" i="67"/>
  <c r="H34" i="67"/>
  <c r="H33" i="67"/>
  <c r="H32" i="67"/>
  <c r="H31" i="67"/>
  <c r="H52" i="53"/>
  <c r="H51" i="53"/>
  <c r="H50" i="53"/>
  <c r="H49" i="53"/>
  <c r="H48" i="53"/>
  <c r="H46" i="53"/>
  <c r="H45" i="53"/>
  <c r="H44" i="53"/>
  <c r="H43" i="53"/>
  <c r="H42" i="53"/>
  <c r="H41" i="53"/>
  <c r="H36" i="53"/>
  <c r="H35" i="53"/>
  <c r="H34" i="53"/>
  <c r="H32" i="53"/>
  <c r="I36" i="53"/>
  <c r="I35" i="53"/>
  <c r="I34" i="53"/>
  <c r="I33" i="53"/>
  <c r="I36" i="64"/>
  <c r="I35" i="64"/>
  <c r="I34" i="64"/>
  <c r="I33" i="64"/>
  <c r="K30" i="53"/>
  <c r="K31" i="53"/>
  <c r="K32" i="53" s="1"/>
  <c r="K33" i="53" s="1"/>
  <c r="K34" i="53" s="1"/>
  <c r="K29" i="53"/>
  <c r="I31" i="53"/>
  <c r="H31" i="53"/>
  <c r="H36" i="64"/>
  <c r="H35" i="64"/>
  <c r="H34" i="64"/>
  <c r="H33" i="64"/>
  <c r="H32" i="64"/>
  <c r="I31" i="64"/>
  <c r="H31" i="64"/>
  <c r="D23" i="53"/>
  <c r="D39" i="53" s="1"/>
  <c r="G46" i="63"/>
  <c r="E39" i="51"/>
  <c r="E23" i="51"/>
  <c r="L12" i="51"/>
  <c r="L13" i="51"/>
  <c r="G13" i="51"/>
  <c r="G12" i="51"/>
  <c r="F23" i="51"/>
  <c r="E19" i="51"/>
  <c r="F19" i="51"/>
  <c r="G19" i="51"/>
  <c r="E18" i="51"/>
  <c r="F18" i="51" s="1"/>
  <c r="G18" i="51" s="1"/>
  <c r="F35" i="11"/>
  <c r="I68" i="61"/>
  <c r="I61" i="61"/>
  <c r="I57" i="61"/>
  <c r="I47" i="61"/>
  <c r="I18" i="61"/>
  <c r="I55" i="9"/>
  <c r="I36" i="9"/>
  <c r="I9" i="9"/>
  <c r="K77" i="50"/>
  <c r="E38" i="59"/>
  <c r="E30" i="59"/>
  <c r="E29" i="59"/>
  <c r="F41" i="59"/>
  <c r="G78" i="47"/>
  <c r="J60" i="61"/>
  <c r="G24" i="47"/>
  <c r="J43" i="2" s="1"/>
  <c r="G27" i="63"/>
  <c r="H27" i="63" s="1"/>
  <c r="H25" i="63"/>
  <c r="J10" i="2"/>
  <c r="K50" i="2"/>
  <c r="K57" i="2" s="1"/>
  <c r="K37" i="2"/>
  <c r="K20" i="2"/>
  <c r="G32" i="68"/>
  <c r="G33" i="68"/>
  <c r="G34" i="68"/>
  <c r="G32" i="53"/>
  <c r="G33" i="53"/>
  <c r="G34" i="53"/>
  <c r="F31" i="53"/>
  <c r="F68" i="61"/>
  <c r="E68" i="61"/>
  <c r="E53" i="47"/>
  <c r="G45" i="47"/>
  <c r="F45" i="47"/>
  <c r="E26" i="47"/>
  <c r="E18" i="47"/>
  <c r="I64" i="50"/>
  <c r="G34" i="2"/>
  <c r="F34" i="2"/>
  <c r="E26" i="19"/>
  <c r="E17" i="19"/>
  <c r="E45" i="9"/>
  <c r="E26" i="9"/>
  <c r="E20" i="19"/>
  <c r="E17" i="9"/>
  <c r="E40" i="9"/>
  <c r="E24" i="61"/>
  <c r="E38" i="61"/>
  <c r="E8" i="9"/>
  <c r="E47" i="9"/>
  <c r="E16" i="9"/>
  <c r="I31" i="68"/>
  <c r="E20" i="64"/>
  <c r="E19" i="64"/>
  <c r="F19" i="64" s="1"/>
  <c r="E18" i="64"/>
  <c r="I18" i="64" s="1"/>
  <c r="K18" i="64" s="1"/>
  <c r="E17" i="64"/>
  <c r="F17" i="64" s="1"/>
  <c r="E16" i="64"/>
  <c r="E15" i="64"/>
  <c r="F15" i="64" s="1"/>
  <c r="E14" i="64"/>
  <c r="F14" i="64" s="1"/>
  <c r="E13" i="64"/>
  <c r="F13" i="64" s="1"/>
  <c r="E12" i="64"/>
  <c r="E11" i="64"/>
  <c r="E10" i="64"/>
  <c r="E9" i="64"/>
  <c r="F9" i="64"/>
  <c r="F20" i="68"/>
  <c r="F19" i="68"/>
  <c r="F18" i="68"/>
  <c r="F17" i="68"/>
  <c r="F16" i="68"/>
  <c r="F15" i="68"/>
  <c r="F14" i="68"/>
  <c r="F13" i="68"/>
  <c r="F12" i="68"/>
  <c r="F11" i="68"/>
  <c r="F10" i="68"/>
  <c r="F9" i="68"/>
  <c r="K20" i="68"/>
  <c r="K19" i="68"/>
  <c r="K18" i="68"/>
  <c r="K17" i="68"/>
  <c r="K16" i="68"/>
  <c r="K15" i="68"/>
  <c r="K14" i="68"/>
  <c r="K13" i="68"/>
  <c r="K12" i="68"/>
  <c r="K11" i="68"/>
  <c r="K10" i="68"/>
  <c r="K9" i="68"/>
  <c r="I20" i="68"/>
  <c r="I19" i="68"/>
  <c r="I18" i="68"/>
  <c r="I17" i="68"/>
  <c r="I16" i="68"/>
  <c r="I15" i="68"/>
  <c r="I14" i="68"/>
  <c r="I13" i="68"/>
  <c r="I12" i="68"/>
  <c r="I11" i="68"/>
  <c r="I10" i="68"/>
  <c r="I9" i="68"/>
  <c r="H20" i="68"/>
  <c r="H19" i="68"/>
  <c r="H18" i="68"/>
  <c r="H17" i="68"/>
  <c r="H16" i="68"/>
  <c r="H15" i="68"/>
  <c r="H14" i="68"/>
  <c r="H13" i="68"/>
  <c r="H12" i="68"/>
  <c r="H11" i="68"/>
  <c r="H10" i="68"/>
  <c r="H9" i="68"/>
  <c r="F36" i="67"/>
  <c r="F35" i="67"/>
  <c r="F34" i="67"/>
  <c r="F33" i="67"/>
  <c r="F32" i="67"/>
  <c r="H20" i="67"/>
  <c r="H19" i="67"/>
  <c r="H18" i="67"/>
  <c r="H17" i="67"/>
  <c r="H16" i="67"/>
  <c r="H15" i="67"/>
  <c r="H14" i="67"/>
  <c r="H13" i="67"/>
  <c r="H12" i="67"/>
  <c r="H11" i="67"/>
  <c r="H10" i="67"/>
  <c r="H9" i="67"/>
  <c r="G36" i="64"/>
  <c r="G35" i="64"/>
  <c r="G34" i="64"/>
  <c r="G33" i="64"/>
  <c r="G32" i="64"/>
  <c r="I20" i="64"/>
  <c r="K20" i="64" s="1"/>
  <c r="I16" i="64"/>
  <c r="K16" i="64" s="1"/>
  <c r="I12" i="64"/>
  <c r="K12" i="64" s="1"/>
  <c r="I11" i="64"/>
  <c r="K11" i="64" s="1"/>
  <c r="I10" i="64"/>
  <c r="K10" i="64" s="1"/>
  <c r="H20" i="64"/>
  <c r="H19" i="64"/>
  <c r="H18" i="64"/>
  <c r="H17" i="64"/>
  <c r="H16" i="64"/>
  <c r="H15" i="64"/>
  <c r="H14" i="64"/>
  <c r="H13" i="64"/>
  <c r="H12" i="64"/>
  <c r="H11" i="64"/>
  <c r="H10" i="64"/>
  <c r="H9" i="64"/>
  <c r="F20" i="64"/>
  <c r="F16" i="64"/>
  <c r="F12" i="64"/>
  <c r="F11" i="64"/>
  <c r="F10" i="64"/>
  <c r="K16" i="53"/>
  <c r="K15" i="53"/>
  <c r="K14" i="53"/>
  <c r="K13" i="53"/>
  <c r="K12" i="53"/>
  <c r="K11" i="53"/>
  <c r="K10" i="53"/>
  <c r="I20" i="53"/>
  <c r="K20" i="53" s="1"/>
  <c r="I19" i="53"/>
  <c r="K19" i="53" s="1"/>
  <c r="I18" i="53"/>
  <c r="K18" i="53" s="1"/>
  <c r="I17" i="53"/>
  <c r="K17" i="53" s="1"/>
  <c r="I16" i="53"/>
  <c r="I15" i="53"/>
  <c r="I14" i="53"/>
  <c r="I13" i="53"/>
  <c r="I12" i="53"/>
  <c r="I11" i="53"/>
  <c r="I10" i="53"/>
  <c r="I9" i="53"/>
  <c r="K9" i="53" s="1"/>
  <c r="H20" i="53"/>
  <c r="H19" i="53"/>
  <c r="H18" i="53"/>
  <c r="H17" i="53"/>
  <c r="H16" i="53"/>
  <c r="H15" i="53"/>
  <c r="H14" i="53"/>
  <c r="H13" i="53"/>
  <c r="H12" i="53"/>
  <c r="H11" i="53"/>
  <c r="H10" i="53"/>
  <c r="H9" i="53"/>
  <c r="F20" i="53"/>
  <c r="F19" i="53"/>
  <c r="F18" i="53"/>
  <c r="F17" i="53"/>
  <c r="F16" i="53"/>
  <c r="F15" i="53"/>
  <c r="F14" i="53"/>
  <c r="F13" i="53"/>
  <c r="F12" i="53"/>
  <c r="F11" i="53"/>
  <c r="F10" i="53"/>
  <c r="F9" i="53"/>
  <c r="J47" i="2" l="1"/>
  <c r="I47" i="2" s="1"/>
  <c r="K18" i="47"/>
  <c r="G15" i="9"/>
  <c r="H15" i="9" s="1"/>
  <c r="H33" i="53"/>
  <c r="D33" i="53" s="1"/>
  <c r="D34" i="53"/>
  <c r="D36" i="53"/>
  <c r="E33" i="53"/>
  <c r="D32" i="53"/>
  <c r="E32" i="53"/>
  <c r="I19" i="64"/>
  <c r="K19" i="64" s="1"/>
  <c r="F18" i="64"/>
  <c r="I17" i="64"/>
  <c r="K17" i="64" s="1"/>
  <c r="I15" i="64"/>
  <c r="K15" i="64" s="1"/>
  <c r="I14" i="64"/>
  <c r="K14" i="64" s="1"/>
  <c r="I13" i="64"/>
  <c r="K13" i="64" s="1"/>
  <c r="I9" i="64"/>
  <c r="K9" i="64" s="1"/>
  <c r="E34" i="53" l="1"/>
  <c r="F34" i="53" s="1"/>
  <c r="F32" i="53"/>
  <c r="F33" i="53"/>
  <c r="E34" i="68" l="1"/>
  <c r="E35" i="53"/>
  <c r="G23" i="51"/>
  <c r="G30" i="51" s="1"/>
  <c r="E12" i="51"/>
  <c r="F12" i="51" s="1"/>
  <c r="E35" i="68" l="1"/>
  <c r="E36" i="68"/>
  <c r="E36" i="53"/>
  <c r="J31" i="19"/>
  <c r="I31" i="19"/>
  <c r="G31" i="19"/>
  <c r="F31" i="19"/>
  <c r="E31" i="19"/>
  <c r="B28" i="19"/>
  <c r="B13" i="9"/>
  <c r="G36" i="2"/>
  <c r="G37" i="2"/>
  <c r="G29" i="2"/>
  <c r="G20" i="2"/>
  <c r="G50" i="2"/>
  <c r="G31" i="2"/>
  <c r="G19" i="2"/>
  <c r="G35" i="2"/>
  <c r="G28" i="2"/>
  <c r="G23" i="2"/>
  <c r="P55" i="50"/>
  <c r="P56" i="50"/>
  <c r="P57" i="50"/>
  <c r="P58" i="50"/>
  <c r="P59" i="50"/>
  <c r="P60" i="50"/>
  <c r="O61" i="50"/>
  <c r="P54" i="50"/>
  <c r="G39" i="2" l="1"/>
  <c r="G57" i="2" s="1"/>
  <c r="G47" i="68"/>
  <c r="G21" i="53"/>
  <c r="R10" i="53" l="1"/>
  <c r="J67" i="61"/>
  <c r="B15" i="50"/>
  <c r="E32" i="59"/>
  <c r="H32" i="59" s="1"/>
  <c r="H42" i="47"/>
  <c r="I40" i="68"/>
  <c r="E40" i="68"/>
  <c r="E24" i="68"/>
  <c r="I24" i="68"/>
  <c r="I40" i="64"/>
  <c r="E40" i="64"/>
  <c r="E24" i="64"/>
  <c r="I24" i="64"/>
  <c r="I26" i="53" l="1"/>
  <c r="I25" i="53"/>
  <c r="J18" i="2" l="1"/>
  <c r="E14" i="51" l="1"/>
  <c r="E15" i="51"/>
  <c r="E16" i="51"/>
  <c r="E17" i="51"/>
  <c r="E13" i="51"/>
  <c r="F13" i="51" l="1"/>
  <c r="G42" i="53" l="1"/>
  <c r="G43" i="53"/>
  <c r="G44" i="53"/>
  <c r="G45" i="53"/>
  <c r="G46" i="53"/>
  <c r="G47" i="53"/>
  <c r="G48" i="53"/>
  <c r="G49" i="53"/>
  <c r="G50" i="53"/>
  <c r="G41" i="53"/>
  <c r="G35" i="53"/>
  <c r="G36" i="53"/>
  <c r="E41" i="53" l="1"/>
  <c r="E49" i="53"/>
  <c r="E48" i="53"/>
  <c r="E47" i="53"/>
  <c r="E46" i="53"/>
  <c r="E45" i="53"/>
  <c r="E44" i="53"/>
  <c r="E43" i="53"/>
  <c r="E42" i="53"/>
  <c r="G51" i="53"/>
  <c r="E51" i="53" s="1"/>
  <c r="E50" i="53"/>
  <c r="G52" i="53"/>
  <c r="E52" i="53" s="1"/>
  <c r="E10" i="11"/>
  <c r="E11" i="11" s="1"/>
  <c r="E12" i="11" s="1"/>
  <c r="E13" i="11" s="1"/>
  <c r="E14" i="11" s="1"/>
  <c r="B12" i="50" l="1"/>
  <c r="B10" i="50"/>
  <c r="K27" i="50"/>
  <c r="K26" i="50"/>
  <c r="L37" i="50"/>
  <c r="L41" i="50"/>
  <c r="L29" i="50"/>
  <c r="L26" i="50"/>
  <c r="L27" i="50"/>
  <c r="M6" i="50"/>
  <c r="L15" i="50"/>
  <c r="M15" i="50" s="1"/>
  <c r="B14" i="50"/>
  <c r="S30" i="49"/>
  <c r="V30" i="49"/>
  <c r="N52" i="49"/>
  <c r="B16" i="50" l="1"/>
  <c r="L16" i="50" s="1"/>
  <c r="B17" i="50"/>
  <c r="L17" i="50" s="1"/>
  <c r="M17" i="50" s="1"/>
  <c r="L18" i="50" l="1"/>
  <c r="M16" i="50"/>
  <c r="K52" i="49"/>
  <c r="G23" i="47" l="1"/>
  <c r="F323" i="49"/>
  <c r="C323" i="49"/>
  <c r="J36" i="9" l="1"/>
  <c r="H78" i="47"/>
  <c r="F36" i="2" l="1"/>
  <c r="F35" i="2"/>
  <c r="F31" i="2"/>
  <c r="F29" i="2"/>
  <c r="F28" i="2"/>
  <c r="F23" i="2"/>
  <c r="F19" i="2"/>
  <c r="F8" i="19" l="1"/>
  <c r="F8" i="61"/>
  <c r="B60" i="68"/>
  <c r="B59" i="68"/>
  <c r="B57" i="68"/>
  <c r="B56" i="68"/>
  <c r="B55" i="68"/>
  <c r="B8" i="68"/>
  <c r="B8" i="64"/>
  <c r="B55" i="64"/>
  <c r="B55" i="67"/>
  <c r="B8" i="67"/>
  <c r="B70" i="53"/>
  <c r="D26" i="47"/>
  <c r="D37" i="47" s="1"/>
  <c r="D45" i="47" s="1"/>
  <c r="D53" i="47" s="1"/>
  <c r="B80" i="68" l="1"/>
  <c r="B71" i="67"/>
  <c r="B71" i="64" s="1"/>
  <c r="F55" i="2"/>
  <c r="F50" i="2"/>
  <c r="F37" i="2"/>
  <c r="F20" i="2"/>
  <c r="J40" i="9"/>
  <c r="G34" i="47"/>
  <c r="K31" i="47"/>
  <c r="K30" i="47"/>
  <c r="E19" i="2"/>
  <c r="B12" i="3"/>
  <c r="F39" i="2" l="1"/>
  <c r="F57" i="2" s="1"/>
  <c r="K13" i="50"/>
  <c r="J11" i="50"/>
  <c r="J9" i="50"/>
  <c r="H33" i="47"/>
  <c r="E34" i="47"/>
  <c r="K32" i="47"/>
  <c r="K33" i="47"/>
  <c r="H45" i="47"/>
  <c r="M22" i="50"/>
  <c r="I61" i="50" s="1"/>
  <c r="K34" i="47" l="1"/>
  <c r="I33" i="47"/>
  <c r="H32" i="47"/>
  <c r="I32" i="47" s="1"/>
  <c r="H31" i="47"/>
  <c r="I31" i="47" s="1"/>
  <c r="H30" i="47"/>
  <c r="H181" i="51"/>
  <c r="G181" i="51"/>
  <c r="G170" i="51"/>
  <c r="E180" i="51"/>
  <c r="F180" i="51" s="1"/>
  <c r="E179" i="51"/>
  <c r="F179" i="51" s="1"/>
  <c r="E178" i="51"/>
  <c r="F178" i="51" s="1"/>
  <c r="E177" i="51"/>
  <c r="F177" i="51" s="1"/>
  <c r="E176" i="51"/>
  <c r="F176" i="51" s="1"/>
  <c r="E175" i="51"/>
  <c r="F175" i="51" s="1"/>
  <c r="E174" i="51"/>
  <c r="F174" i="51" s="1"/>
  <c r="E173" i="51"/>
  <c r="F173" i="51" s="1"/>
  <c r="E172" i="51"/>
  <c r="F172" i="51" s="1"/>
  <c r="G25" i="63"/>
  <c r="H34" i="47" l="1"/>
  <c r="L15" i="2"/>
  <c r="F34" i="47"/>
  <c r="I30" i="47"/>
  <c r="I34" i="47" s="1"/>
  <c r="E21" i="53"/>
  <c r="D21" i="53"/>
  <c r="M11" i="50"/>
  <c r="I52" i="68"/>
  <c r="I51" i="68"/>
  <c r="I50" i="68"/>
  <c r="I49" i="68"/>
  <c r="I48" i="68"/>
  <c r="I47" i="68"/>
  <c r="E47" i="68" s="1"/>
  <c r="I46" i="68"/>
  <c r="I45" i="68"/>
  <c r="I44" i="68"/>
  <c r="I43" i="68"/>
  <c r="I42" i="68"/>
  <c r="I41" i="68"/>
  <c r="D12" i="3" l="1"/>
  <c r="M15" i="2"/>
  <c r="F21" i="53"/>
  <c r="K21" i="53" s="1"/>
  <c r="H21" i="53"/>
  <c r="I21" i="53"/>
  <c r="I13" i="63"/>
  <c r="J10" i="50" l="1"/>
  <c r="F44" i="67"/>
  <c r="F25" i="53"/>
  <c r="H40" i="53" l="1"/>
  <c r="G40" i="53"/>
  <c r="E40" i="53"/>
  <c r="K40" i="53"/>
  <c r="I30" i="53" l="1"/>
  <c r="H30" i="53"/>
  <c r="F30" i="53"/>
  <c r="I29" i="53"/>
  <c r="H29" i="53"/>
  <c r="F29" i="53"/>
  <c r="I28" i="53"/>
  <c r="H28" i="53"/>
  <c r="F28" i="53"/>
  <c r="I27" i="53"/>
  <c r="H27" i="53"/>
  <c r="F27" i="53"/>
  <c r="H26" i="53"/>
  <c r="F26" i="53"/>
  <c r="H25" i="53"/>
  <c r="D24" i="53"/>
  <c r="D40" i="53" s="1"/>
  <c r="B24" i="53"/>
  <c r="B40" i="53" s="1"/>
  <c r="E15" i="74"/>
  <c r="E14" i="74"/>
  <c r="E13" i="74"/>
  <c r="E12" i="74"/>
  <c r="E11" i="74"/>
  <c r="E10" i="74"/>
  <c r="E9" i="74"/>
  <c r="E8" i="74"/>
  <c r="E7" i="74"/>
  <c r="T8" i="72"/>
  <c r="S8" i="72"/>
  <c r="E31" i="2"/>
  <c r="E35" i="2"/>
  <c r="E23" i="2"/>
  <c r="E36" i="2"/>
  <c r="E34" i="2"/>
  <c r="E29" i="2"/>
  <c r="E28" i="2"/>
  <c r="E169" i="51"/>
  <c r="F169" i="51" s="1"/>
  <c r="E168" i="51"/>
  <c r="F168" i="51" s="1"/>
  <c r="E167" i="51"/>
  <c r="F167" i="51" s="1"/>
  <c r="E166" i="51"/>
  <c r="F166" i="51" s="1"/>
  <c r="E165" i="51"/>
  <c r="F165" i="51" s="1"/>
  <c r="E164" i="51"/>
  <c r="F164" i="51" s="1"/>
  <c r="E163" i="51"/>
  <c r="F163" i="51" s="1"/>
  <c r="E162" i="51"/>
  <c r="F162" i="51" s="1"/>
  <c r="E161" i="51"/>
  <c r="F161" i="51" s="1"/>
  <c r="D36" i="2"/>
  <c r="D35" i="2"/>
  <c r="D34" i="2"/>
  <c r="D33" i="2"/>
  <c r="D32" i="2"/>
  <c r="D31" i="2"/>
  <c r="D29" i="2"/>
  <c r="D28" i="2"/>
  <c r="D23" i="2"/>
  <c r="D19" i="2"/>
  <c r="D42" i="53" l="1"/>
  <c r="F42" i="53" s="1"/>
  <c r="D43" i="53"/>
  <c r="F43" i="53" s="1"/>
  <c r="D44" i="53"/>
  <c r="F44" i="53" s="1"/>
  <c r="D46" i="53"/>
  <c r="F46" i="53" s="1"/>
  <c r="D48" i="53"/>
  <c r="F48" i="53" s="1"/>
  <c r="D41" i="53"/>
  <c r="K28" i="53"/>
  <c r="G37" i="53"/>
  <c r="K27" i="53"/>
  <c r="K26" i="53"/>
  <c r="K42" i="53"/>
  <c r="K46" i="53"/>
  <c r="K43" i="53"/>
  <c r="G53" i="53"/>
  <c r="K25" i="53"/>
  <c r="D49" i="53" l="1"/>
  <c r="F49" i="53" s="1"/>
  <c r="K49" i="53"/>
  <c r="D45" i="53"/>
  <c r="F45" i="53" s="1"/>
  <c r="K45" i="53"/>
  <c r="K48" i="53"/>
  <c r="D47" i="53"/>
  <c r="F47" i="53" s="1"/>
  <c r="K47" i="53"/>
  <c r="K44" i="53"/>
  <c r="D50" i="53"/>
  <c r="E53" i="53"/>
  <c r="I53" i="53" s="1"/>
  <c r="D51" i="53" l="1"/>
  <c r="F51" i="53" s="1"/>
  <c r="D35" i="53"/>
  <c r="D52" i="53"/>
  <c r="F50" i="53"/>
  <c r="F35" i="53" l="1"/>
  <c r="E39" i="59" l="1"/>
  <c r="H21" i="50"/>
  <c r="L21" i="50" s="1"/>
  <c r="L23" i="50" s="1"/>
  <c r="L13" i="2"/>
  <c r="L25" i="50" l="1"/>
  <c r="L31" i="50"/>
  <c r="L28" i="50"/>
  <c r="L30" i="50"/>
  <c r="D10" i="3"/>
  <c r="C62" i="3" s="1"/>
  <c r="J13" i="2"/>
  <c r="M13" i="2" s="1"/>
  <c r="H41" i="47"/>
  <c r="K14" i="50"/>
  <c r="J12" i="50"/>
  <c r="M12" i="50" s="1"/>
  <c r="J18" i="50" l="1"/>
  <c r="G510" i="57"/>
  <c r="F510" i="57"/>
  <c r="E510" i="57"/>
  <c r="D510" i="57"/>
  <c r="C510" i="57"/>
  <c r="E32" i="2" l="1"/>
  <c r="E157" i="51" l="1"/>
  <c r="F157" i="51" s="1"/>
  <c r="E156" i="51"/>
  <c r="F156" i="51" s="1"/>
  <c r="E155" i="51"/>
  <c r="F155" i="51" s="1"/>
  <c r="E154" i="51"/>
  <c r="F154" i="51" s="1"/>
  <c r="E153" i="51"/>
  <c r="F153" i="51" s="1"/>
  <c r="E152" i="51"/>
  <c r="F152" i="51" s="1"/>
  <c r="E151" i="51"/>
  <c r="F151" i="51" s="1"/>
  <c r="E150" i="51"/>
  <c r="F150" i="51" s="1"/>
  <c r="E149" i="51"/>
  <c r="F149" i="51" s="1"/>
  <c r="J48" i="2" l="1"/>
  <c r="K37" i="50" l="1"/>
  <c r="J37" i="50"/>
  <c r="M37" i="50" s="1"/>
  <c r="E146" i="51" l="1"/>
  <c r="F146" i="51" s="1"/>
  <c r="E147" i="51"/>
  <c r="F147" i="51" s="1"/>
  <c r="E148" i="51"/>
  <c r="F148" i="51" s="1"/>
  <c r="E158" i="51"/>
  <c r="F158" i="51" s="1"/>
  <c r="E159" i="51"/>
  <c r="F159" i="51" s="1"/>
  <c r="E160" i="51"/>
  <c r="F160" i="51" s="1"/>
  <c r="F9" i="47"/>
  <c r="F10" i="47" s="1"/>
  <c r="G8" i="47"/>
  <c r="H8" i="47" s="1"/>
  <c r="C145" i="51"/>
  <c r="E145" i="51" s="1"/>
  <c r="F145" i="51" s="1"/>
  <c r="E144" i="51"/>
  <c r="F144" i="51" s="1"/>
  <c r="E143" i="51"/>
  <c r="F143" i="51" s="1"/>
  <c r="E142" i="51"/>
  <c r="F142" i="51" s="1"/>
  <c r="E141" i="51"/>
  <c r="F141" i="51" s="1"/>
  <c r="E140" i="51"/>
  <c r="F140" i="51" s="1"/>
  <c r="E139" i="51"/>
  <c r="F139" i="51" s="1"/>
  <c r="E138" i="51"/>
  <c r="F138" i="51" s="1"/>
  <c r="E137" i="51"/>
  <c r="F137" i="51" s="1"/>
  <c r="B24" i="68"/>
  <c r="B24" i="64"/>
  <c r="G84" i="64"/>
  <c r="E84" i="64"/>
  <c r="B24" i="67"/>
  <c r="I84" i="64" l="1"/>
  <c r="F11" i="47"/>
  <c r="G11" i="47" s="1"/>
  <c r="H11" i="47" s="1"/>
  <c r="G10" i="47"/>
  <c r="H10" i="47" s="1"/>
  <c r="G9" i="47"/>
  <c r="H9" i="47" s="1"/>
  <c r="F84" i="64"/>
  <c r="K84" i="64" s="1"/>
  <c r="D84" i="64"/>
  <c r="H84" i="64" s="1"/>
  <c r="H44" i="63"/>
  <c r="H43" i="63" l="1"/>
  <c r="E602" i="57" l="1"/>
  <c r="D29" i="61" s="1"/>
  <c r="F600" i="57"/>
  <c r="F601" i="57"/>
  <c r="F602" i="57"/>
  <c r="F603" i="57"/>
  <c r="F604" i="57"/>
  <c r="G602" i="57"/>
  <c r="D602" i="57"/>
  <c r="C602" i="57"/>
  <c r="K38" i="50" l="1"/>
  <c r="E136" i="51" l="1"/>
  <c r="F136" i="51" s="1"/>
  <c r="E135" i="51"/>
  <c r="F135" i="51" s="1"/>
  <c r="E134" i="51"/>
  <c r="F134" i="51" s="1"/>
  <c r="E133" i="51"/>
  <c r="F133" i="51" s="1"/>
  <c r="E132" i="51"/>
  <c r="F132" i="51" s="1"/>
  <c r="E131" i="51"/>
  <c r="F131" i="51" s="1"/>
  <c r="E130" i="51"/>
  <c r="F130" i="51" s="1"/>
  <c r="E129" i="51"/>
  <c r="F129" i="51" s="1"/>
  <c r="E128" i="51"/>
  <c r="F128" i="51" s="1"/>
  <c r="E127" i="51"/>
  <c r="F127" i="51" s="1"/>
  <c r="E126" i="51"/>
  <c r="F126" i="51" s="1"/>
  <c r="E125" i="51"/>
  <c r="F125" i="51" s="1"/>
  <c r="G42" i="68" l="1"/>
  <c r="E42" i="68" s="1"/>
  <c r="G41" i="68"/>
  <c r="E41" i="68" s="1"/>
  <c r="G93" i="68"/>
  <c r="E93" i="68"/>
  <c r="D93" i="68"/>
  <c r="G42" i="64"/>
  <c r="G43" i="64"/>
  <c r="G44" i="64"/>
  <c r="G45" i="64"/>
  <c r="G46" i="64"/>
  <c r="G47" i="64"/>
  <c r="G48" i="64"/>
  <c r="G49" i="64"/>
  <c r="G50" i="64"/>
  <c r="G41" i="64"/>
  <c r="G52" i="64"/>
  <c r="G51" i="64"/>
  <c r="E21" i="64"/>
  <c r="F84" i="67"/>
  <c r="D84" i="67"/>
  <c r="F83" i="53"/>
  <c r="D83" i="53"/>
  <c r="H93" i="68" l="1"/>
  <c r="I93" i="68"/>
  <c r="F93" i="68"/>
  <c r="K93" i="68" s="1"/>
  <c r="H83" i="53"/>
  <c r="H84" i="67"/>
  <c r="G21" i="64"/>
  <c r="I21" i="64" s="1"/>
  <c r="F12" i="47" l="1"/>
  <c r="F13" i="47" s="1"/>
  <c r="F14" i="47" s="1"/>
  <c r="G14" i="47" l="1"/>
  <c r="H14" i="47" s="1"/>
  <c r="G13" i="47"/>
  <c r="H13" i="47" s="1"/>
  <c r="F49" i="47" l="1"/>
  <c r="G36" i="68" l="1"/>
  <c r="G35" i="68"/>
  <c r="D39" i="64"/>
  <c r="D23" i="64"/>
  <c r="I52" i="64"/>
  <c r="E52" i="64" s="1"/>
  <c r="I51" i="64"/>
  <c r="E51" i="64" s="1"/>
  <c r="I50" i="64"/>
  <c r="E50" i="64" s="1"/>
  <c r="I49" i="64"/>
  <c r="E49" i="64" s="1"/>
  <c r="I48" i="64"/>
  <c r="E48" i="64" s="1"/>
  <c r="I47" i="64"/>
  <c r="E47" i="64" s="1"/>
  <c r="I46" i="64"/>
  <c r="E46" i="64" s="1"/>
  <c r="I45" i="64"/>
  <c r="E45" i="64" s="1"/>
  <c r="I44" i="64"/>
  <c r="E44" i="64" s="1"/>
  <c r="I43" i="64"/>
  <c r="E43" i="64" s="1"/>
  <c r="I42" i="64"/>
  <c r="E42" i="64" s="1"/>
  <c r="I41" i="64"/>
  <c r="E41" i="64" s="1"/>
  <c r="D40" i="64"/>
  <c r="B40" i="64"/>
  <c r="I30" i="64"/>
  <c r="H30" i="64"/>
  <c r="F30" i="64"/>
  <c r="I29" i="64"/>
  <c r="H29" i="64"/>
  <c r="F29" i="64"/>
  <c r="I28" i="64"/>
  <c r="H28" i="64"/>
  <c r="F28" i="64"/>
  <c r="I27" i="64"/>
  <c r="H27" i="64"/>
  <c r="H43" i="64" s="1"/>
  <c r="D43" i="64" s="1"/>
  <c r="F27" i="64"/>
  <c r="I26" i="64"/>
  <c r="H26" i="64"/>
  <c r="H42" i="64" s="1"/>
  <c r="D42" i="64" s="1"/>
  <c r="F26" i="64"/>
  <c r="I25" i="64"/>
  <c r="H25" i="64"/>
  <c r="F25" i="64"/>
  <c r="D24" i="64"/>
  <c r="K29" i="64" l="1"/>
  <c r="K30" i="64"/>
  <c r="K25" i="64"/>
  <c r="H41" i="64"/>
  <c r="K43" i="64"/>
  <c r="G37" i="64"/>
  <c r="K28" i="64"/>
  <c r="K26" i="64"/>
  <c r="K42" i="64"/>
  <c r="H46" i="64"/>
  <c r="H45" i="64"/>
  <c r="G53" i="64"/>
  <c r="H44" i="64"/>
  <c r="D44" i="64" s="1"/>
  <c r="K27" i="64"/>
  <c r="K41" i="64" l="1"/>
  <c r="D41" i="64"/>
  <c r="K45" i="64"/>
  <c r="D45" i="64"/>
  <c r="K46" i="64"/>
  <c r="D46" i="64"/>
  <c r="F46" i="64"/>
  <c r="F41" i="64"/>
  <c r="F43" i="64"/>
  <c r="F44" i="64"/>
  <c r="K44" i="64"/>
  <c r="F42" i="64"/>
  <c r="F45" i="64"/>
  <c r="E53" i="64"/>
  <c r="I53" i="64" s="1"/>
  <c r="F16" i="51"/>
  <c r="G16" i="51" s="1"/>
  <c r="F17" i="51"/>
  <c r="G17" i="51" s="1"/>
  <c r="E32" i="64" l="1"/>
  <c r="F53" i="47"/>
  <c r="E33" i="64" l="1"/>
  <c r="E34" i="64" l="1"/>
  <c r="I25" i="68"/>
  <c r="E36" i="64" l="1"/>
  <c r="E35" i="64"/>
  <c r="M13" i="50"/>
  <c r="E37" i="64" l="1"/>
  <c r="I37" i="64" s="1"/>
  <c r="H29" i="61"/>
  <c r="I35" i="50" l="1"/>
  <c r="M35" i="50" s="1"/>
  <c r="E124" i="51" l="1"/>
  <c r="F124" i="51" s="1"/>
  <c r="E123" i="51"/>
  <c r="F123" i="51" s="1"/>
  <c r="E122" i="51"/>
  <c r="F122" i="51" s="1"/>
  <c r="E121" i="51"/>
  <c r="F121" i="51" s="1"/>
  <c r="E120" i="51"/>
  <c r="F120" i="51" s="1"/>
  <c r="E119" i="51"/>
  <c r="F119" i="51" s="1"/>
  <c r="E118" i="51"/>
  <c r="F118" i="51" s="1"/>
  <c r="E117" i="51"/>
  <c r="F117" i="51" s="1"/>
  <c r="E116" i="51"/>
  <c r="F116" i="51" s="1"/>
  <c r="E115" i="51"/>
  <c r="F115" i="51" s="1"/>
  <c r="E114" i="51"/>
  <c r="F114" i="51" s="1"/>
  <c r="E113" i="51"/>
  <c r="F113" i="51" s="1"/>
  <c r="S10" i="72" l="1"/>
  <c r="S12" i="72"/>
  <c r="S13" i="72"/>
  <c r="S14" i="72"/>
  <c r="S15" i="72"/>
  <c r="S16" i="72"/>
  <c r="S17" i="72"/>
  <c r="G629" i="57" l="1"/>
  <c r="F629" i="57"/>
  <c r="E629" i="57"/>
  <c r="D42" i="61" s="1"/>
  <c r="H42" i="61" s="1"/>
  <c r="D629" i="57"/>
  <c r="C629" i="57"/>
  <c r="S11" i="72"/>
  <c r="S9" i="72"/>
  <c r="S19" i="72" l="1"/>
  <c r="J26" i="50"/>
  <c r="I26" i="50"/>
  <c r="M26" i="50" s="1"/>
  <c r="I26" i="68" l="1"/>
  <c r="I27" i="68"/>
  <c r="I28" i="68"/>
  <c r="I29" i="68"/>
  <c r="G43" i="68"/>
  <c r="G44" i="68"/>
  <c r="E44" i="68" s="1"/>
  <c r="G45" i="68"/>
  <c r="G46" i="68"/>
  <c r="E46" i="68" s="1"/>
  <c r="G48" i="68"/>
  <c r="G49" i="68"/>
  <c r="G16" i="63"/>
  <c r="I16" i="63" s="1"/>
  <c r="I18" i="63" s="1"/>
  <c r="H41" i="63" s="1"/>
  <c r="L19" i="2"/>
  <c r="D15" i="3"/>
  <c r="K29" i="50"/>
  <c r="L16" i="2"/>
  <c r="D13" i="3" s="1"/>
  <c r="G543" i="57"/>
  <c r="F543" i="57"/>
  <c r="E543" i="57"/>
  <c r="D54" i="61" s="1"/>
  <c r="H54" i="61" s="1"/>
  <c r="D543" i="57"/>
  <c r="C543" i="57"/>
  <c r="E112" i="51"/>
  <c r="F112" i="51" s="1"/>
  <c r="E111" i="51"/>
  <c r="F111" i="51" s="1"/>
  <c r="G50" i="68"/>
  <c r="M10" i="50"/>
  <c r="T11" i="72"/>
  <c r="T9" i="72"/>
  <c r="E110" i="51"/>
  <c r="F110" i="51" s="1"/>
  <c r="E109" i="51"/>
  <c r="F109" i="51" s="1"/>
  <c r="E108" i="51"/>
  <c r="F108" i="51" s="1"/>
  <c r="E107" i="51"/>
  <c r="F107" i="51" s="1"/>
  <c r="E106" i="51"/>
  <c r="F106" i="51" s="1"/>
  <c r="E105" i="51"/>
  <c r="F105" i="51" s="1"/>
  <c r="E104" i="51"/>
  <c r="F104" i="51" s="1"/>
  <c r="E103" i="51"/>
  <c r="F103" i="51" s="1"/>
  <c r="E102" i="51"/>
  <c r="F102" i="51" s="1"/>
  <c r="E101" i="51"/>
  <c r="F101" i="51" s="1"/>
  <c r="G14" i="62"/>
  <c r="E14" i="62"/>
  <c r="E16" i="62"/>
  <c r="E17" i="62"/>
  <c r="E20" i="62"/>
  <c r="E21" i="62"/>
  <c r="E22" i="62"/>
  <c r="E23" i="62"/>
  <c r="E24" i="62"/>
  <c r="E25" i="62"/>
  <c r="E26" i="62"/>
  <c r="E27" i="62"/>
  <c r="E28" i="62"/>
  <c r="E29" i="62"/>
  <c r="E30" i="62"/>
  <c r="E31" i="62"/>
  <c r="B40" i="68"/>
  <c r="B40" i="67"/>
  <c r="D20" i="2"/>
  <c r="T12" i="72"/>
  <c r="C10" i="74" s="1"/>
  <c r="F51" i="67"/>
  <c r="F52" i="67"/>
  <c r="F42" i="67"/>
  <c r="F43" i="67"/>
  <c r="F45" i="67"/>
  <c r="F47" i="67"/>
  <c r="F48" i="67"/>
  <c r="F49" i="67"/>
  <c r="G51" i="68"/>
  <c r="G52" i="68"/>
  <c r="E52" i="68" s="1"/>
  <c r="I11" i="63"/>
  <c r="F26" i="47" s="1"/>
  <c r="E3" i="53"/>
  <c r="I34" i="50"/>
  <c r="E95" i="51"/>
  <c r="F95" i="51" s="1"/>
  <c r="E94" i="51"/>
  <c r="F94" i="51" s="1"/>
  <c r="E93" i="51"/>
  <c r="F93" i="51" s="1"/>
  <c r="E92" i="51"/>
  <c r="F92" i="51" s="1"/>
  <c r="E91" i="51"/>
  <c r="F91" i="51" s="1"/>
  <c r="E90" i="51"/>
  <c r="F90" i="51" s="1"/>
  <c r="E89" i="51"/>
  <c r="F89" i="51" s="1"/>
  <c r="E88" i="51"/>
  <c r="F88" i="51" s="1"/>
  <c r="E87" i="51"/>
  <c r="F87" i="51" s="1"/>
  <c r="E86" i="51"/>
  <c r="F86" i="51" s="1"/>
  <c r="E85" i="51"/>
  <c r="F85" i="51" s="1"/>
  <c r="D50" i="2"/>
  <c r="E50" i="2"/>
  <c r="E20" i="2"/>
  <c r="T10" i="72"/>
  <c r="T16" i="72"/>
  <c r="T13" i="72"/>
  <c r="T14" i="72"/>
  <c r="T15" i="72"/>
  <c r="T17" i="72"/>
  <c r="U19" i="72"/>
  <c r="N18" i="2"/>
  <c r="P12" i="2"/>
  <c r="P11" i="2"/>
  <c r="D55" i="2"/>
  <c r="E55" i="2"/>
  <c r="M18" i="2"/>
  <c r="E583" i="57"/>
  <c r="D70" i="67"/>
  <c r="D39" i="67"/>
  <c r="D23" i="67"/>
  <c r="G431" i="57"/>
  <c r="F431" i="57"/>
  <c r="E431" i="57"/>
  <c r="D431" i="57"/>
  <c r="C431" i="57"/>
  <c r="D21" i="68"/>
  <c r="G440" i="57"/>
  <c r="F440" i="57"/>
  <c r="E440" i="57"/>
  <c r="D8" i="9" s="1"/>
  <c r="G8" i="9" s="1"/>
  <c r="D440" i="57"/>
  <c r="C440" i="57"/>
  <c r="R33" i="2"/>
  <c r="Q33" i="2"/>
  <c r="H25" i="68"/>
  <c r="B22" i="3"/>
  <c r="B69" i="3" s="1"/>
  <c r="B23" i="3"/>
  <c r="B70" i="3" s="1"/>
  <c r="B24" i="3"/>
  <c r="B71" i="3" s="1"/>
  <c r="B25" i="3"/>
  <c r="B72" i="3" s="1"/>
  <c r="B26" i="3"/>
  <c r="B73" i="3" s="1"/>
  <c r="B27" i="3"/>
  <c r="B74" i="3" s="1"/>
  <c r="B28" i="3"/>
  <c r="B29" i="3"/>
  <c r="B30" i="3"/>
  <c r="B76" i="3" s="1"/>
  <c r="B31" i="3"/>
  <c r="B77" i="3" s="1"/>
  <c r="B32" i="3"/>
  <c r="B78" i="3" s="1"/>
  <c r="B33" i="3"/>
  <c r="B79" i="3" s="1"/>
  <c r="O29" i="2"/>
  <c r="I23" i="66"/>
  <c r="I24" i="66"/>
  <c r="I25" i="66"/>
  <c r="I26" i="66"/>
  <c r="I27" i="66"/>
  <c r="I28" i="66"/>
  <c r="I29" i="66"/>
  <c r="I30" i="66"/>
  <c r="I31" i="66"/>
  <c r="I32" i="66"/>
  <c r="I33" i="66"/>
  <c r="I34" i="66"/>
  <c r="I35" i="66"/>
  <c r="I36" i="66"/>
  <c r="I37" i="66"/>
  <c r="I38" i="66"/>
  <c r="I39" i="66"/>
  <c r="I40" i="66"/>
  <c r="I41" i="66"/>
  <c r="I42" i="66"/>
  <c r="I43" i="66"/>
  <c r="I44" i="66"/>
  <c r="I45" i="66"/>
  <c r="I46" i="66"/>
  <c r="I47" i="66"/>
  <c r="I48" i="66"/>
  <c r="I49" i="66"/>
  <c r="I50" i="66"/>
  <c r="I51" i="66"/>
  <c r="I52" i="66"/>
  <c r="I53" i="66"/>
  <c r="I54" i="66"/>
  <c r="I55" i="66"/>
  <c r="I56" i="66"/>
  <c r="I57" i="66"/>
  <c r="I58" i="66"/>
  <c r="I59" i="66"/>
  <c r="I60" i="66"/>
  <c r="I61" i="66"/>
  <c r="I62" i="66"/>
  <c r="I63" i="66"/>
  <c r="I64" i="66"/>
  <c r="I65" i="66"/>
  <c r="I66" i="66"/>
  <c r="I67" i="66"/>
  <c r="I68" i="66"/>
  <c r="I69" i="66"/>
  <c r="I70" i="66"/>
  <c r="I71" i="66"/>
  <c r="I72" i="66"/>
  <c r="I73" i="66"/>
  <c r="I74" i="66"/>
  <c r="I75" i="66"/>
  <c r="I76" i="66"/>
  <c r="I77" i="66"/>
  <c r="I78" i="66"/>
  <c r="I79" i="66"/>
  <c r="I80" i="66"/>
  <c r="I81" i="66"/>
  <c r="I82" i="66"/>
  <c r="I83" i="66"/>
  <c r="I84" i="66"/>
  <c r="I85" i="66"/>
  <c r="I86" i="66"/>
  <c r="I87" i="66"/>
  <c r="I88" i="66"/>
  <c r="I89" i="66"/>
  <c r="I90" i="66"/>
  <c r="I91" i="66"/>
  <c r="I94" i="66"/>
  <c r="I95" i="66"/>
  <c r="I96" i="66"/>
  <c r="I97" i="66"/>
  <c r="I98" i="66"/>
  <c r="I99" i="66"/>
  <c r="I100" i="66"/>
  <c r="I101" i="66"/>
  <c r="I102" i="66"/>
  <c r="I103" i="66"/>
  <c r="I104" i="66"/>
  <c r="I105" i="66"/>
  <c r="I106" i="66"/>
  <c r="I107" i="66"/>
  <c r="I108" i="66"/>
  <c r="I109" i="66"/>
  <c r="I110" i="66"/>
  <c r="I111" i="66"/>
  <c r="I112" i="66"/>
  <c r="I113" i="66"/>
  <c r="I114" i="66"/>
  <c r="I115" i="66"/>
  <c r="I116" i="66"/>
  <c r="I117" i="66"/>
  <c r="I118" i="66"/>
  <c r="I119" i="66"/>
  <c r="I120" i="66"/>
  <c r="I121" i="66"/>
  <c r="I122" i="66"/>
  <c r="I123" i="66"/>
  <c r="I124" i="66"/>
  <c r="I125" i="66"/>
  <c r="I126" i="66"/>
  <c r="I127" i="66"/>
  <c r="I128" i="66"/>
  <c r="I129" i="66"/>
  <c r="I130" i="66"/>
  <c r="I131" i="66"/>
  <c r="I132" i="66"/>
  <c r="I133" i="66"/>
  <c r="I134" i="66"/>
  <c r="I135" i="66"/>
  <c r="I136" i="66"/>
  <c r="I137" i="66"/>
  <c r="I138" i="66"/>
  <c r="I139" i="66"/>
  <c r="I140" i="66"/>
  <c r="I141" i="66"/>
  <c r="I142" i="66"/>
  <c r="I143" i="66"/>
  <c r="I144" i="66"/>
  <c r="I145" i="66"/>
  <c r="I146" i="66"/>
  <c r="I147" i="66"/>
  <c r="I148" i="66"/>
  <c r="I149" i="66"/>
  <c r="I150" i="66"/>
  <c r="I151" i="66"/>
  <c r="I152" i="66"/>
  <c r="I153" i="66"/>
  <c r="I154" i="66"/>
  <c r="I155" i="66"/>
  <c r="I156" i="66"/>
  <c r="I157" i="66"/>
  <c r="I158" i="66"/>
  <c r="I159" i="66"/>
  <c r="I160" i="66"/>
  <c r="I161" i="66"/>
  <c r="I162" i="66"/>
  <c r="I163" i="66"/>
  <c r="I164" i="66"/>
  <c r="I165" i="66"/>
  <c r="I166" i="66"/>
  <c r="I167" i="66"/>
  <c r="I168" i="66"/>
  <c r="I169" i="66"/>
  <c r="I170" i="66"/>
  <c r="I177" i="66"/>
  <c r="L177" i="66"/>
  <c r="I178" i="66"/>
  <c r="I179" i="66"/>
  <c r="I180" i="66"/>
  <c r="I181" i="66"/>
  <c r="I182" i="66"/>
  <c r="I183" i="66"/>
  <c r="I184" i="66"/>
  <c r="I185" i="66"/>
  <c r="I186" i="66"/>
  <c r="I187" i="66"/>
  <c r="I188" i="66"/>
  <c r="I189" i="66"/>
  <c r="I190" i="66"/>
  <c r="I191" i="66"/>
  <c r="I192" i="66"/>
  <c r="I193" i="66"/>
  <c r="I194" i="66"/>
  <c r="I195" i="66"/>
  <c r="I196" i="66"/>
  <c r="I197" i="66"/>
  <c r="I198" i="66"/>
  <c r="I199" i="66"/>
  <c r="I200" i="66"/>
  <c r="I201" i="66"/>
  <c r="I202" i="66"/>
  <c r="I203" i="66"/>
  <c r="I204" i="66"/>
  <c r="I205" i="66"/>
  <c r="I206" i="66"/>
  <c r="I207" i="66"/>
  <c r="I208" i="66"/>
  <c r="I209" i="66"/>
  <c r="I210" i="66"/>
  <c r="I211" i="66"/>
  <c r="I212" i="66"/>
  <c r="I213" i="66"/>
  <c r="I214" i="66"/>
  <c r="I215" i="66"/>
  <c r="I216" i="66"/>
  <c r="I217" i="66"/>
  <c r="I218" i="66"/>
  <c r="I219" i="66"/>
  <c r="I222" i="66"/>
  <c r="I223" i="66"/>
  <c r="I224" i="66"/>
  <c r="I225" i="66"/>
  <c r="I226" i="66"/>
  <c r="I227" i="66"/>
  <c r="I228" i="66"/>
  <c r="I229" i="66"/>
  <c r="I234" i="66"/>
  <c r="I235" i="66"/>
  <c r="I236" i="66"/>
  <c r="I237" i="66"/>
  <c r="I238" i="66"/>
  <c r="I239" i="66"/>
  <c r="I240" i="66"/>
  <c r="I241" i="66"/>
  <c r="I242" i="66"/>
  <c r="I243" i="66"/>
  <c r="I244" i="66"/>
  <c r="I245" i="66"/>
  <c r="I246" i="66"/>
  <c r="I247" i="66"/>
  <c r="I248" i="66"/>
  <c r="I249" i="66"/>
  <c r="I250" i="66"/>
  <c r="I251" i="66"/>
  <c r="I252" i="66"/>
  <c r="I253" i="66"/>
  <c r="I254" i="66"/>
  <c r="I255" i="66"/>
  <c r="I256" i="66"/>
  <c r="I257" i="66"/>
  <c r="I260" i="66"/>
  <c r="I261" i="66"/>
  <c r="I262" i="66"/>
  <c r="I263" i="66"/>
  <c r="I264" i="66"/>
  <c r="I265" i="66"/>
  <c r="I266" i="66"/>
  <c r="I267" i="66"/>
  <c r="I268" i="66"/>
  <c r="I269" i="66"/>
  <c r="I270" i="66"/>
  <c r="I271" i="66"/>
  <c r="I272" i="66"/>
  <c r="I273" i="66"/>
  <c r="I274" i="66"/>
  <c r="I275" i="66"/>
  <c r="I276" i="66"/>
  <c r="I277" i="66"/>
  <c r="I278" i="66"/>
  <c r="I279" i="66"/>
  <c r="I280" i="66"/>
  <c r="I281" i="66"/>
  <c r="I282" i="66"/>
  <c r="I283" i="66"/>
  <c r="I284" i="66"/>
  <c r="I285" i="66"/>
  <c r="I286" i="66"/>
  <c r="I287" i="66"/>
  <c r="I288" i="66"/>
  <c r="I289" i="66"/>
  <c r="I290" i="66"/>
  <c r="I291" i="66"/>
  <c r="I292" i="66"/>
  <c r="I293" i="66"/>
  <c r="I294" i="66"/>
  <c r="I295" i="66"/>
  <c r="I296" i="66"/>
  <c r="I297" i="66"/>
  <c r="I298" i="66"/>
  <c r="I301" i="66"/>
  <c r="I302" i="66"/>
  <c r="I303" i="66"/>
  <c r="I304" i="66"/>
  <c r="I305" i="66"/>
  <c r="I306" i="66"/>
  <c r="I307" i="66"/>
  <c r="I308" i="66"/>
  <c r="I309" i="66"/>
  <c r="I310" i="66"/>
  <c r="I311" i="66"/>
  <c r="I312" i="66"/>
  <c r="I313" i="66"/>
  <c r="I314" i="66"/>
  <c r="I315" i="66"/>
  <c r="I316" i="66"/>
  <c r="I317" i="66"/>
  <c r="I318" i="66"/>
  <c r="I319" i="66"/>
  <c r="I320" i="66"/>
  <c r="I321" i="66"/>
  <c r="I322" i="66"/>
  <c r="I323" i="66"/>
  <c r="I324" i="66"/>
  <c r="I325" i="66"/>
  <c r="I326" i="66"/>
  <c r="I327" i="66"/>
  <c r="I328" i="66"/>
  <c r="I329" i="66"/>
  <c r="I330" i="66"/>
  <c r="I331" i="66"/>
  <c r="I336" i="66"/>
  <c r="I337" i="66"/>
  <c r="I338" i="66"/>
  <c r="I339" i="66"/>
  <c r="I340" i="66"/>
  <c r="I341" i="66"/>
  <c r="I342" i="66"/>
  <c r="I343" i="66"/>
  <c r="I344" i="66"/>
  <c r="I345" i="66"/>
  <c r="I346" i="66"/>
  <c r="I347" i="66"/>
  <c r="I350" i="66"/>
  <c r="I351" i="66"/>
  <c r="I352" i="66"/>
  <c r="I353" i="66"/>
  <c r="I354" i="66"/>
  <c r="I355" i="66"/>
  <c r="I356" i="66"/>
  <c r="I357" i="66"/>
  <c r="I358" i="66"/>
  <c r="I359" i="66"/>
  <c r="I360" i="66"/>
  <c r="I361" i="66"/>
  <c r="I362" i="66"/>
  <c r="I363" i="66"/>
  <c r="I364" i="66"/>
  <c r="I367" i="66"/>
  <c r="I368" i="66"/>
  <c r="I369" i="66"/>
  <c r="I370" i="66"/>
  <c r="I371" i="66"/>
  <c r="I372" i="66"/>
  <c r="I373" i="66"/>
  <c r="I374" i="66"/>
  <c r="I375" i="66"/>
  <c r="I378" i="66"/>
  <c r="I379" i="66"/>
  <c r="I380" i="66"/>
  <c r="I381" i="66"/>
  <c r="I382" i="66"/>
  <c r="I383" i="66"/>
  <c r="I384" i="66"/>
  <c r="I385" i="66"/>
  <c r="I386" i="66"/>
  <c r="I387" i="66"/>
  <c r="I388" i="66"/>
  <c r="I389" i="66"/>
  <c r="I390" i="66"/>
  <c r="I391" i="66"/>
  <c r="I392" i="66"/>
  <c r="I393" i="66"/>
  <c r="I394" i="66"/>
  <c r="I395" i="66"/>
  <c r="I396" i="66"/>
  <c r="I397" i="66"/>
  <c r="I398" i="66"/>
  <c r="I399" i="66"/>
  <c r="I400" i="66"/>
  <c r="I401" i="66"/>
  <c r="I402" i="66"/>
  <c r="I403" i="66"/>
  <c r="I404" i="66"/>
  <c r="I405" i="66"/>
  <c r="I406" i="66"/>
  <c r="I407" i="66"/>
  <c r="I408" i="66"/>
  <c r="I409" i="66"/>
  <c r="I410" i="66"/>
  <c r="I411" i="66"/>
  <c r="I412" i="66"/>
  <c r="I413" i="66"/>
  <c r="I414" i="66"/>
  <c r="I415" i="66"/>
  <c r="I416" i="66"/>
  <c r="I417" i="66"/>
  <c r="I418" i="66"/>
  <c r="I419" i="66"/>
  <c r="I420" i="66"/>
  <c r="I421" i="66"/>
  <c r="I422" i="66"/>
  <c r="I423" i="66"/>
  <c r="I424" i="66"/>
  <c r="I425" i="66"/>
  <c r="I426" i="66"/>
  <c r="I427" i="66"/>
  <c r="I428" i="66"/>
  <c r="I429" i="66"/>
  <c r="I430" i="66"/>
  <c r="I431" i="66"/>
  <c r="I432" i="66"/>
  <c r="I433" i="66"/>
  <c r="I434" i="66"/>
  <c r="I435" i="66"/>
  <c r="I436" i="66"/>
  <c r="I437" i="66"/>
  <c r="I438" i="66"/>
  <c r="I439" i="66"/>
  <c r="I440" i="66"/>
  <c r="I441" i="66"/>
  <c r="I442" i="66"/>
  <c r="I443" i="66"/>
  <c r="I444" i="66"/>
  <c r="I445" i="66"/>
  <c r="I446" i="66"/>
  <c r="I447" i="66"/>
  <c r="I450" i="66"/>
  <c r="I451" i="66"/>
  <c r="I452" i="66"/>
  <c r="I453" i="66"/>
  <c r="I454" i="66"/>
  <c r="I455" i="66"/>
  <c r="I456" i="66"/>
  <c r="I457" i="66"/>
  <c r="I458" i="66"/>
  <c r="I459" i="66"/>
  <c r="I460" i="66"/>
  <c r="I461" i="66"/>
  <c r="I462" i="66"/>
  <c r="I463" i="66"/>
  <c r="I464" i="66"/>
  <c r="I465" i="66"/>
  <c r="I466" i="66"/>
  <c r="I467" i="66"/>
  <c r="I468" i="66"/>
  <c r="I469" i="66"/>
  <c r="I470" i="66"/>
  <c r="I471" i="66"/>
  <c r="I472" i="66"/>
  <c r="I477" i="66"/>
  <c r="I478" i="66"/>
  <c r="I479" i="66"/>
  <c r="I480" i="66"/>
  <c r="I481" i="66"/>
  <c r="I482" i="66"/>
  <c r="I483" i="66"/>
  <c r="I484" i="66"/>
  <c r="I485" i="66"/>
  <c r="I488" i="66"/>
  <c r="I489" i="66"/>
  <c r="I490" i="66"/>
  <c r="I491" i="66"/>
  <c r="I492" i="66"/>
  <c r="I493" i="66"/>
  <c r="I494" i="66"/>
  <c r="I495" i="66"/>
  <c r="I496" i="66"/>
  <c r="I497" i="66"/>
  <c r="I498" i="66"/>
  <c r="I499" i="66"/>
  <c r="I500" i="66"/>
  <c r="I501" i="66"/>
  <c r="I502" i="66"/>
  <c r="I503" i="66"/>
  <c r="I504" i="66"/>
  <c r="I505" i="66"/>
  <c r="I506" i="66"/>
  <c r="I507" i="66"/>
  <c r="I508" i="66"/>
  <c r="I509" i="66"/>
  <c r="I510" i="66"/>
  <c r="I511" i="66"/>
  <c r="I512" i="66"/>
  <c r="I513" i="66"/>
  <c r="I514" i="66"/>
  <c r="I515" i="66"/>
  <c r="I516" i="66"/>
  <c r="I517" i="66"/>
  <c r="I518" i="66"/>
  <c r="I519" i="66"/>
  <c r="I520" i="66"/>
  <c r="I521" i="66"/>
  <c r="I522" i="66"/>
  <c r="I523" i="66"/>
  <c r="I524" i="66"/>
  <c r="I525" i="66"/>
  <c r="I526" i="66"/>
  <c r="I527" i="66"/>
  <c r="I528" i="66"/>
  <c r="I529" i="66"/>
  <c r="I530" i="66"/>
  <c r="I531" i="66"/>
  <c r="I532" i="66"/>
  <c r="I533" i="66"/>
  <c r="I534" i="66"/>
  <c r="I535" i="66"/>
  <c r="I536" i="66"/>
  <c r="I537" i="66"/>
  <c r="I538" i="66"/>
  <c r="I539" i="66"/>
  <c r="I540" i="66"/>
  <c r="I541" i="66"/>
  <c r="I542" i="66"/>
  <c r="I543" i="66"/>
  <c r="I544" i="66"/>
  <c r="I545" i="66"/>
  <c r="I546" i="66"/>
  <c r="I547" i="66"/>
  <c r="I548" i="66"/>
  <c r="I549" i="66"/>
  <c r="I550" i="66"/>
  <c r="I551" i="66"/>
  <c r="I552" i="66"/>
  <c r="I553" i="66"/>
  <c r="I554" i="66"/>
  <c r="I555" i="66"/>
  <c r="I556" i="66"/>
  <c r="I557" i="66"/>
  <c r="I558" i="66"/>
  <c r="I559" i="66"/>
  <c r="I560" i="66"/>
  <c r="I563" i="66"/>
  <c r="I564" i="66"/>
  <c r="I565" i="66"/>
  <c r="I566" i="66"/>
  <c r="I567" i="66"/>
  <c r="I568" i="66"/>
  <c r="I569" i="66"/>
  <c r="I570" i="66"/>
  <c r="I571" i="66"/>
  <c r="I572" i="66"/>
  <c r="I573" i="66"/>
  <c r="I574" i="66"/>
  <c r="I575" i="66"/>
  <c r="I576" i="66"/>
  <c r="I577" i="66"/>
  <c r="I578" i="66"/>
  <c r="I579" i="66"/>
  <c r="I580" i="66"/>
  <c r="I581" i="66"/>
  <c r="I582" i="66"/>
  <c r="I583" i="66"/>
  <c r="I584" i="66"/>
  <c r="I585" i="66"/>
  <c r="I586" i="66"/>
  <c r="I587" i="66"/>
  <c r="I588" i="66"/>
  <c r="I589" i="66"/>
  <c r="I590" i="66"/>
  <c r="I591" i="66"/>
  <c r="I592" i="66"/>
  <c r="I593" i="66"/>
  <c r="I594" i="66"/>
  <c r="I595" i="66"/>
  <c r="I596" i="66"/>
  <c r="I597" i="66"/>
  <c r="I598" i="66"/>
  <c r="I599" i="66"/>
  <c r="I600" i="66"/>
  <c r="I601" i="66"/>
  <c r="I602" i="66"/>
  <c r="I605" i="66"/>
  <c r="I606" i="66"/>
  <c r="I607" i="66"/>
  <c r="I608" i="66"/>
  <c r="I609" i="66"/>
  <c r="I610" i="66"/>
  <c r="I611" i="66"/>
  <c r="I612" i="66"/>
  <c r="I613" i="66"/>
  <c r="I614" i="66"/>
  <c r="I615" i="66"/>
  <c r="I617" i="66"/>
  <c r="I619" i="66"/>
  <c r="I621" i="66"/>
  <c r="I623" i="66"/>
  <c r="H40" i="47"/>
  <c r="B16" i="3"/>
  <c r="B17" i="3"/>
  <c r="B13" i="3"/>
  <c r="B14" i="3"/>
  <c r="B64" i="3" s="1"/>
  <c r="B15" i="3"/>
  <c r="B11" i="3"/>
  <c r="B63" i="3" s="1"/>
  <c r="E10" i="59"/>
  <c r="F3" i="68"/>
  <c r="F26" i="68"/>
  <c r="F27" i="68"/>
  <c r="F28" i="68"/>
  <c r="F29" i="68"/>
  <c r="F25" i="68"/>
  <c r="H27" i="68"/>
  <c r="H43" i="68" s="1"/>
  <c r="H28" i="68"/>
  <c r="H44" i="68" s="1"/>
  <c r="H29" i="68"/>
  <c r="H45" i="68" s="1"/>
  <c r="H30" i="68"/>
  <c r="H46" i="68" s="1"/>
  <c r="H26" i="68"/>
  <c r="H42" i="68" s="1"/>
  <c r="D40" i="68"/>
  <c r="D24" i="68"/>
  <c r="E3" i="67"/>
  <c r="D40" i="67"/>
  <c r="H30" i="67"/>
  <c r="H29" i="67"/>
  <c r="H45" i="67" s="1"/>
  <c r="H28" i="67"/>
  <c r="H27" i="67"/>
  <c r="H26" i="67"/>
  <c r="H25" i="67"/>
  <c r="D41" i="67" s="1"/>
  <c r="D24" i="67"/>
  <c r="F21" i="67"/>
  <c r="D21" i="67"/>
  <c r="E42" i="50"/>
  <c r="K41" i="50"/>
  <c r="E39" i="50"/>
  <c r="L39" i="50" s="1"/>
  <c r="E235" i="57"/>
  <c r="G753" i="57"/>
  <c r="F753" i="57"/>
  <c r="E753" i="57"/>
  <c r="D753" i="57"/>
  <c r="C753" i="57"/>
  <c r="G752" i="57"/>
  <c r="F752" i="57"/>
  <c r="E752" i="57"/>
  <c r="D752" i="57"/>
  <c r="C752" i="57"/>
  <c r="G751" i="57"/>
  <c r="F751" i="57"/>
  <c r="E751" i="57"/>
  <c r="D751" i="57"/>
  <c r="C751" i="57"/>
  <c r="G750" i="57"/>
  <c r="F750" i="57"/>
  <c r="E750" i="57"/>
  <c r="D750" i="57"/>
  <c r="C750" i="57"/>
  <c r="G749" i="57"/>
  <c r="F749" i="57"/>
  <c r="E749" i="57"/>
  <c r="D749" i="57"/>
  <c r="C749" i="57"/>
  <c r="G748" i="57"/>
  <c r="F748" i="57"/>
  <c r="E748" i="57"/>
  <c r="D748" i="57"/>
  <c r="C748" i="57"/>
  <c r="G747" i="57"/>
  <c r="F747" i="57"/>
  <c r="E747" i="57"/>
  <c r="D747" i="57"/>
  <c r="C747" i="57"/>
  <c r="G746" i="57"/>
  <c r="F746" i="57"/>
  <c r="E746" i="57"/>
  <c r="D746" i="57"/>
  <c r="C746" i="57"/>
  <c r="G745" i="57"/>
  <c r="F745" i="57"/>
  <c r="E745" i="57"/>
  <c r="D745" i="57"/>
  <c r="C745" i="57"/>
  <c r="G744" i="57"/>
  <c r="F744" i="57"/>
  <c r="E744" i="57"/>
  <c r="D744" i="57"/>
  <c r="C744" i="57"/>
  <c r="G743" i="57"/>
  <c r="F743" i="57"/>
  <c r="E743" i="57"/>
  <c r="D743" i="57"/>
  <c r="C743" i="57"/>
  <c r="G742" i="57"/>
  <c r="F742" i="57"/>
  <c r="E742" i="57"/>
  <c r="D30" i="19" s="1"/>
  <c r="H30" i="19" s="1"/>
  <c r="D742" i="57"/>
  <c r="C742" i="57"/>
  <c r="G741" i="57"/>
  <c r="F741" i="57"/>
  <c r="E741" i="57"/>
  <c r="D741" i="57"/>
  <c r="C741" i="57"/>
  <c r="G740" i="57"/>
  <c r="F740" i="57"/>
  <c r="E740" i="57"/>
  <c r="D740" i="57"/>
  <c r="C740" i="57"/>
  <c r="G739" i="57"/>
  <c r="F739" i="57"/>
  <c r="E739" i="57"/>
  <c r="D739" i="57"/>
  <c r="C739" i="57"/>
  <c r="G738" i="57"/>
  <c r="F738" i="57"/>
  <c r="E738" i="57"/>
  <c r="D738" i="57"/>
  <c r="C738" i="57"/>
  <c r="G737" i="57"/>
  <c r="F737" i="57"/>
  <c r="E737" i="57"/>
  <c r="D29" i="19" s="1"/>
  <c r="H29" i="19" s="1"/>
  <c r="D737" i="57"/>
  <c r="C737" i="57"/>
  <c r="G736" i="57"/>
  <c r="F736" i="57"/>
  <c r="E736" i="57"/>
  <c r="D736" i="57"/>
  <c r="C736" i="57"/>
  <c r="G735" i="57"/>
  <c r="F735" i="57"/>
  <c r="E735" i="57"/>
  <c r="D735" i="57"/>
  <c r="C735" i="57"/>
  <c r="G734" i="57"/>
  <c r="F734" i="57"/>
  <c r="E734" i="57"/>
  <c r="D734" i="57"/>
  <c r="C734" i="57"/>
  <c r="G733" i="57"/>
  <c r="F733" i="57"/>
  <c r="E733" i="57"/>
  <c r="D28" i="19" s="1"/>
  <c r="H28" i="19" s="1"/>
  <c r="D733" i="57"/>
  <c r="C733" i="57"/>
  <c r="G732" i="57"/>
  <c r="F732" i="57"/>
  <c r="E732" i="57"/>
  <c r="D732" i="57"/>
  <c r="C732" i="57"/>
  <c r="G731" i="57"/>
  <c r="F731" i="57"/>
  <c r="E731" i="57"/>
  <c r="D731" i="57"/>
  <c r="C731" i="57"/>
  <c r="G730" i="57"/>
  <c r="F730" i="57"/>
  <c r="E730" i="57"/>
  <c r="D730" i="57"/>
  <c r="C730" i="57"/>
  <c r="G729" i="57"/>
  <c r="F729" i="57"/>
  <c r="E729" i="57"/>
  <c r="D729" i="57"/>
  <c r="C729" i="57"/>
  <c r="G728" i="57"/>
  <c r="F728" i="57"/>
  <c r="E728" i="57"/>
  <c r="D728" i="57"/>
  <c r="C728" i="57"/>
  <c r="G727" i="57"/>
  <c r="F727" i="57"/>
  <c r="E727" i="57"/>
  <c r="D727" i="57"/>
  <c r="C727" i="57"/>
  <c r="G726" i="57"/>
  <c r="F726" i="57"/>
  <c r="E726" i="57"/>
  <c r="D726" i="57"/>
  <c r="C726" i="57"/>
  <c r="G725" i="57"/>
  <c r="F725" i="57"/>
  <c r="E725" i="57"/>
  <c r="D725" i="57"/>
  <c r="C725" i="57"/>
  <c r="G724" i="57"/>
  <c r="F724" i="57"/>
  <c r="E724" i="57"/>
  <c r="D27" i="19" s="1"/>
  <c r="H27" i="19" s="1"/>
  <c r="D724" i="57"/>
  <c r="C724" i="57"/>
  <c r="G723" i="57"/>
  <c r="F723" i="57"/>
  <c r="E723" i="57"/>
  <c r="D723" i="57"/>
  <c r="C723" i="57"/>
  <c r="G722" i="57"/>
  <c r="F722" i="57"/>
  <c r="E722" i="57"/>
  <c r="D722" i="57"/>
  <c r="C722" i="57"/>
  <c r="G721" i="57"/>
  <c r="F721" i="57"/>
  <c r="E721" i="57"/>
  <c r="D721" i="57"/>
  <c r="C721" i="57"/>
  <c r="G720" i="57"/>
  <c r="F720" i="57"/>
  <c r="E720" i="57"/>
  <c r="D720" i="57"/>
  <c r="C720" i="57"/>
  <c r="G719" i="57"/>
  <c r="F719" i="57"/>
  <c r="E719" i="57"/>
  <c r="D719" i="57"/>
  <c r="C719" i="57"/>
  <c r="G718" i="57"/>
  <c r="F718" i="57"/>
  <c r="E718" i="57"/>
  <c r="D718" i="57"/>
  <c r="C718" i="57"/>
  <c r="G717" i="57"/>
  <c r="F717" i="57"/>
  <c r="E717" i="57"/>
  <c r="D717" i="57"/>
  <c r="C717" i="57"/>
  <c r="G716" i="57"/>
  <c r="F716" i="57"/>
  <c r="E716" i="57"/>
  <c r="D716" i="57"/>
  <c r="C716" i="57"/>
  <c r="G715" i="57"/>
  <c r="F715" i="57"/>
  <c r="E715" i="57"/>
  <c r="D26" i="19" s="1"/>
  <c r="D715" i="57"/>
  <c r="C715" i="57"/>
  <c r="G714" i="57"/>
  <c r="F714" i="57"/>
  <c r="E714" i="57"/>
  <c r="D714" i="57"/>
  <c r="C714" i="57"/>
  <c r="G713" i="57"/>
  <c r="F713" i="57"/>
  <c r="E713" i="57"/>
  <c r="D25" i="19" s="1"/>
  <c r="D713" i="57"/>
  <c r="C713" i="57"/>
  <c r="G712" i="57"/>
  <c r="F712" i="57"/>
  <c r="E712" i="57"/>
  <c r="D712" i="57"/>
  <c r="C712" i="57"/>
  <c r="G711" i="57"/>
  <c r="F711" i="57"/>
  <c r="E711" i="57"/>
  <c r="D711" i="57"/>
  <c r="C711" i="57"/>
  <c r="G710" i="57"/>
  <c r="F710" i="57"/>
  <c r="E710" i="57"/>
  <c r="D710" i="57"/>
  <c r="C710" i="57"/>
  <c r="G709" i="57"/>
  <c r="F709" i="57"/>
  <c r="E709" i="57"/>
  <c r="D709" i="57"/>
  <c r="C709" i="57"/>
  <c r="G708" i="57"/>
  <c r="F708" i="57"/>
  <c r="E708" i="57"/>
  <c r="D708" i="57"/>
  <c r="C708" i="57"/>
  <c r="G707" i="57"/>
  <c r="F707" i="57"/>
  <c r="E707" i="57"/>
  <c r="D24" i="19" s="1"/>
  <c r="D707" i="57"/>
  <c r="C707" i="57"/>
  <c r="G706" i="57"/>
  <c r="F706" i="57"/>
  <c r="E706" i="57"/>
  <c r="D706" i="57"/>
  <c r="C706" i="57"/>
  <c r="G705" i="57"/>
  <c r="F705" i="57"/>
  <c r="E705" i="57"/>
  <c r="D705" i="57"/>
  <c r="C705" i="57"/>
  <c r="G704" i="57"/>
  <c r="F704" i="57"/>
  <c r="E704" i="57"/>
  <c r="D704" i="57"/>
  <c r="C704" i="57"/>
  <c r="G703" i="57"/>
  <c r="F703" i="57"/>
  <c r="E703" i="57"/>
  <c r="D703" i="57"/>
  <c r="C703" i="57"/>
  <c r="G702" i="57"/>
  <c r="F702" i="57"/>
  <c r="E702" i="57"/>
  <c r="D702" i="57"/>
  <c r="C702" i="57"/>
  <c r="G701" i="57"/>
  <c r="F701" i="57"/>
  <c r="E701" i="57"/>
  <c r="D23" i="19" s="1"/>
  <c r="D701" i="57"/>
  <c r="C701" i="57"/>
  <c r="G700" i="57"/>
  <c r="F700" i="57"/>
  <c r="E700" i="57"/>
  <c r="D700" i="57"/>
  <c r="C700" i="57"/>
  <c r="G699" i="57"/>
  <c r="F699" i="57"/>
  <c r="E699" i="57"/>
  <c r="D22" i="19" s="1"/>
  <c r="D699" i="57"/>
  <c r="C699" i="57"/>
  <c r="G698" i="57"/>
  <c r="F698" i="57"/>
  <c r="E698" i="57"/>
  <c r="D21" i="19" s="1"/>
  <c r="H21" i="19" s="1"/>
  <c r="D698" i="57"/>
  <c r="C698" i="57"/>
  <c r="G697" i="57"/>
  <c r="F697" i="57"/>
  <c r="E697" i="57"/>
  <c r="D697" i="57"/>
  <c r="C697" i="57"/>
  <c r="G696" i="57"/>
  <c r="F696" i="57"/>
  <c r="E696" i="57"/>
  <c r="D696" i="57"/>
  <c r="C696" i="57"/>
  <c r="G695" i="57"/>
  <c r="F695" i="57"/>
  <c r="E695" i="57"/>
  <c r="D695" i="57"/>
  <c r="C695" i="57"/>
  <c r="G694" i="57"/>
  <c r="F694" i="57"/>
  <c r="E694" i="57"/>
  <c r="D694" i="57"/>
  <c r="C694" i="57"/>
  <c r="G693" i="57"/>
  <c r="F693" i="57"/>
  <c r="E693" i="57"/>
  <c r="D20" i="19" s="1"/>
  <c r="H20" i="19" s="1"/>
  <c r="D693" i="57"/>
  <c r="C693" i="57"/>
  <c r="G692" i="57"/>
  <c r="F692" i="57"/>
  <c r="E692" i="57"/>
  <c r="D692" i="57"/>
  <c r="C692" i="57"/>
  <c r="G691" i="57"/>
  <c r="F691" i="57"/>
  <c r="E691" i="57"/>
  <c r="D19" i="19" s="1"/>
  <c r="D691" i="57"/>
  <c r="C691" i="57"/>
  <c r="G690" i="57"/>
  <c r="F690" i="57"/>
  <c r="E690" i="57"/>
  <c r="D18" i="19" s="1"/>
  <c r="H18" i="19" s="1"/>
  <c r="D690" i="57"/>
  <c r="C690" i="57"/>
  <c r="G689" i="57"/>
  <c r="F689" i="57"/>
  <c r="E689" i="57"/>
  <c r="D17" i="19" s="1"/>
  <c r="D689" i="57"/>
  <c r="C689" i="57"/>
  <c r="G688" i="57"/>
  <c r="F688" i="57"/>
  <c r="E688" i="57"/>
  <c r="D16" i="19" s="1"/>
  <c r="D688" i="57"/>
  <c r="C688" i="57"/>
  <c r="G687" i="57"/>
  <c r="F687" i="57"/>
  <c r="E687" i="57"/>
  <c r="D687" i="57"/>
  <c r="C687" i="57"/>
  <c r="G686" i="57"/>
  <c r="F686" i="57"/>
  <c r="E686" i="57"/>
  <c r="D686" i="57"/>
  <c r="C686" i="57"/>
  <c r="G685" i="57"/>
  <c r="F685" i="57"/>
  <c r="E685" i="57"/>
  <c r="D15" i="19" s="1"/>
  <c r="D685" i="57"/>
  <c r="C685" i="57"/>
  <c r="G684" i="57"/>
  <c r="F684" i="57"/>
  <c r="E684" i="57"/>
  <c r="D14" i="19" s="1"/>
  <c r="D684" i="57"/>
  <c r="C684" i="57"/>
  <c r="G683" i="57"/>
  <c r="F683" i="57"/>
  <c r="E683" i="57"/>
  <c r="D13" i="19" s="1"/>
  <c r="D683" i="57"/>
  <c r="C683" i="57"/>
  <c r="G682" i="57"/>
  <c r="F682" i="57"/>
  <c r="E682" i="57"/>
  <c r="D12" i="19" s="1"/>
  <c r="D682" i="57"/>
  <c r="C682" i="57"/>
  <c r="G681" i="57"/>
  <c r="F681" i="57"/>
  <c r="E681" i="57"/>
  <c r="D11" i="19" s="1"/>
  <c r="D681" i="57"/>
  <c r="C681" i="57"/>
  <c r="G680" i="57"/>
  <c r="F680" i="57"/>
  <c r="E680" i="57"/>
  <c r="D680" i="57"/>
  <c r="C680" i="57"/>
  <c r="G679" i="57"/>
  <c r="F679" i="57"/>
  <c r="E679" i="57"/>
  <c r="D679" i="57"/>
  <c r="C679" i="57"/>
  <c r="G678" i="57"/>
  <c r="F678" i="57"/>
  <c r="E678" i="57"/>
  <c r="D678" i="57"/>
  <c r="C678" i="57"/>
  <c r="G677" i="57"/>
  <c r="F677" i="57"/>
  <c r="E677" i="57"/>
  <c r="H45" i="2" s="1"/>
  <c r="D677" i="57"/>
  <c r="C677" i="57"/>
  <c r="G676" i="57"/>
  <c r="F676" i="57"/>
  <c r="E676" i="57"/>
  <c r="D676" i="57"/>
  <c r="C676" i="57"/>
  <c r="G675" i="57"/>
  <c r="F675" i="57"/>
  <c r="E675" i="57"/>
  <c r="D675" i="57"/>
  <c r="C675" i="57"/>
  <c r="G674" i="57"/>
  <c r="F674" i="57"/>
  <c r="E674" i="57"/>
  <c r="D674" i="57"/>
  <c r="C674" i="57"/>
  <c r="G673" i="57"/>
  <c r="F673" i="57"/>
  <c r="E673" i="57"/>
  <c r="D673" i="57"/>
  <c r="C673" i="57"/>
  <c r="G672" i="57"/>
  <c r="F672" i="57"/>
  <c r="E672" i="57"/>
  <c r="D672" i="57"/>
  <c r="C672" i="57"/>
  <c r="G671" i="57"/>
  <c r="F671" i="57"/>
  <c r="E671" i="57"/>
  <c r="D671" i="57"/>
  <c r="C671" i="57"/>
  <c r="G670" i="57"/>
  <c r="F670" i="57"/>
  <c r="E670" i="57"/>
  <c r="D670" i="57"/>
  <c r="C670" i="57"/>
  <c r="G669" i="57"/>
  <c r="F669" i="57"/>
  <c r="E669" i="57"/>
  <c r="D669" i="57"/>
  <c r="C669" i="57"/>
  <c r="G668" i="57"/>
  <c r="F668" i="57"/>
  <c r="E668" i="57"/>
  <c r="D668" i="57"/>
  <c r="C668" i="57"/>
  <c r="G667" i="57"/>
  <c r="F667" i="57"/>
  <c r="E667" i="57"/>
  <c r="D667" i="57"/>
  <c r="C667" i="57"/>
  <c r="G666" i="57"/>
  <c r="F666" i="57"/>
  <c r="E666" i="57"/>
  <c r="D666" i="57"/>
  <c r="C666" i="57"/>
  <c r="G665" i="57"/>
  <c r="F665" i="57"/>
  <c r="E665" i="57"/>
  <c r="D665" i="57"/>
  <c r="C665" i="57"/>
  <c r="G664" i="57"/>
  <c r="F664" i="57"/>
  <c r="E664" i="57"/>
  <c r="D664" i="57"/>
  <c r="C664" i="57"/>
  <c r="G663" i="57"/>
  <c r="F663" i="57"/>
  <c r="E663" i="57"/>
  <c r="D663" i="57"/>
  <c r="C663" i="57"/>
  <c r="G662" i="57"/>
  <c r="F662" i="57"/>
  <c r="E662" i="57"/>
  <c r="D662" i="57"/>
  <c r="C662" i="57"/>
  <c r="G661" i="57"/>
  <c r="F661" i="57"/>
  <c r="E661" i="57"/>
  <c r="D661" i="57"/>
  <c r="C661" i="57"/>
  <c r="G660" i="57"/>
  <c r="F660" i="57"/>
  <c r="E660" i="57"/>
  <c r="D660" i="57"/>
  <c r="C660" i="57"/>
  <c r="G659" i="57"/>
  <c r="F659" i="57"/>
  <c r="E659" i="57"/>
  <c r="D659" i="57"/>
  <c r="C659" i="57"/>
  <c r="G658" i="57"/>
  <c r="F658" i="57"/>
  <c r="E658" i="57"/>
  <c r="D658" i="57"/>
  <c r="C658" i="57"/>
  <c r="G657" i="57"/>
  <c r="F657" i="57"/>
  <c r="E657" i="57"/>
  <c r="D657" i="57"/>
  <c r="C657" i="57"/>
  <c r="G656" i="57"/>
  <c r="F656" i="57"/>
  <c r="E656" i="57"/>
  <c r="D656" i="57"/>
  <c r="C656" i="57"/>
  <c r="G655" i="57"/>
  <c r="F655" i="57"/>
  <c r="E655" i="57"/>
  <c r="D655" i="57"/>
  <c r="C655" i="57"/>
  <c r="G654" i="57"/>
  <c r="F654" i="57"/>
  <c r="E654" i="57"/>
  <c r="D654" i="57"/>
  <c r="C654" i="57"/>
  <c r="G653" i="57"/>
  <c r="F653" i="57"/>
  <c r="E653" i="57"/>
  <c r="D653" i="57"/>
  <c r="C653" i="57"/>
  <c r="G652" i="57"/>
  <c r="F652" i="57"/>
  <c r="E652" i="57"/>
  <c r="D652" i="57"/>
  <c r="C652" i="57"/>
  <c r="G651" i="57"/>
  <c r="F651" i="57"/>
  <c r="E651" i="57"/>
  <c r="D651" i="57"/>
  <c r="C651" i="57"/>
  <c r="G650" i="57"/>
  <c r="F650" i="57"/>
  <c r="E650" i="57"/>
  <c r="D650" i="57"/>
  <c r="C650" i="57"/>
  <c r="G649" i="57"/>
  <c r="F649" i="57"/>
  <c r="E649" i="57"/>
  <c r="D64" i="61" s="1"/>
  <c r="D649" i="57"/>
  <c r="C649" i="57"/>
  <c r="G648" i="57"/>
  <c r="F648" i="57"/>
  <c r="E648" i="57"/>
  <c r="D648" i="57"/>
  <c r="C648" i="57"/>
  <c r="G647" i="57"/>
  <c r="F647" i="57"/>
  <c r="E647" i="57"/>
  <c r="D647" i="57"/>
  <c r="C647" i="57"/>
  <c r="G646" i="57"/>
  <c r="F646" i="57"/>
  <c r="E646" i="57"/>
  <c r="D46" i="61" s="1"/>
  <c r="G46" i="61" s="1"/>
  <c r="D646" i="57"/>
  <c r="C646" i="57"/>
  <c r="G645" i="57"/>
  <c r="F645" i="57"/>
  <c r="E645" i="57"/>
  <c r="D645" i="57"/>
  <c r="C645" i="57"/>
  <c r="G644" i="57"/>
  <c r="F644" i="57"/>
  <c r="E644" i="57"/>
  <c r="D644" i="57"/>
  <c r="C644" i="57"/>
  <c r="G643" i="57"/>
  <c r="F643" i="57"/>
  <c r="E643" i="57"/>
  <c r="D643" i="57"/>
  <c r="C643" i="57"/>
  <c r="G642" i="57"/>
  <c r="F642" i="57"/>
  <c r="E642" i="57"/>
  <c r="D642" i="57"/>
  <c r="C642" i="57"/>
  <c r="G641" i="57"/>
  <c r="F641" i="57"/>
  <c r="E641" i="57"/>
  <c r="D641" i="57"/>
  <c r="C641" i="57"/>
  <c r="G640" i="57"/>
  <c r="F640" i="57"/>
  <c r="E640" i="57"/>
  <c r="D640" i="57"/>
  <c r="C640" i="57"/>
  <c r="G639" i="57"/>
  <c r="F639" i="57"/>
  <c r="E639" i="57"/>
  <c r="D639" i="57"/>
  <c r="C639" i="57"/>
  <c r="G638" i="57"/>
  <c r="F638" i="57"/>
  <c r="E638" i="57"/>
  <c r="D638" i="57"/>
  <c r="C638" i="57"/>
  <c r="G637" i="57"/>
  <c r="F637" i="57"/>
  <c r="E637" i="57"/>
  <c r="D637" i="57"/>
  <c r="C637" i="57"/>
  <c r="G636" i="57"/>
  <c r="F636" i="57"/>
  <c r="E636" i="57"/>
  <c r="D636" i="57"/>
  <c r="C636" i="57"/>
  <c r="G635" i="57"/>
  <c r="F635" i="57"/>
  <c r="E635" i="57"/>
  <c r="D45" i="61" s="1"/>
  <c r="G45" i="61" s="1"/>
  <c r="D635" i="57"/>
  <c r="C635" i="57"/>
  <c r="G634" i="57"/>
  <c r="F634" i="57"/>
  <c r="E634" i="57"/>
  <c r="D634" i="57"/>
  <c r="C634" i="57"/>
  <c r="G633" i="57"/>
  <c r="F633" i="57"/>
  <c r="E633" i="57"/>
  <c r="D633" i="57"/>
  <c r="C633" i="57"/>
  <c r="G632" i="57"/>
  <c r="F632" i="57"/>
  <c r="E632" i="57"/>
  <c r="D44" i="61" s="1"/>
  <c r="G44" i="61" s="1"/>
  <c r="D632" i="57"/>
  <c r="C632" i="57"/>
  <c r="G631" i="57"/>
  <c r="F631" i="57"/>
  <c r="E631" i="57"/>
  <c r="D631" i="57"/>
  <c r="C631" i="57"/>
  <c r="G630" i="57"/>
  <c r="F630" i="57"/>
  <c r="E630" i="57"/>
  <c r="D630" i="57"/>
  <c r="C630" i="57"/>
  <c r="G628" i="57"/>
  <c r="F628" i="57"/>
  <c r="E628" i="57"/>
  <c r="D41" i="61" s="1"/>
  <c r="H41" i="61" s="1"/>
  <c r="D628" i="57"/>
  <c r="C628" i="57"/>
  <c r="G627" i="57"/>
  <c r="F627" i="57"/>
  <c r="E627" i="57"/>
  <c r="D627" i="57"/>
  <c r="C627" i="57"/>
  <c r="G626" i="57"/>
  <c r="F626" i="57"/>
  <c r="E626" i="57"/>
  <c r="D626" i="57"/>
  <c r="C626" i="57"/>
  <c r="G625" i="57"/>
  <c r="F625" i="57"/>
  <c r="E625" i="57"/>
  <c r="D625" i="57"/>
  <c r="C625" i="57"/>
  <c r="G624" i="57"/>
  <c r="F624" i="57"/>
  <c r="E624" i="57"/>
  <c r="D624" i="57"/>
  <c r="C624" i="57"/>
  <c r="G623" i="57"/>
  <c r="F623" i="57"/>
  <c r="E623" i="57"/>
  <c r="D40" i="61" s="1"/>
  <c r="G40" i="61" s="1"/>
  <c r="H40" i="61" s="1"/>
  <c r="D623" i="57"/>
  <c r="C623" i="57"/>
  <c r="G622" i="57"/>
  <c r="F622" i="57"/>
  <c r="E622" i="57"/>
  <c r="D622" i="57"/>
  <c r="C622" i="57"/>
  <c r="G621" i="57"/>
  <c r="F621" i="57"/>
  <c r="E621" i="57"/>
  <c r="D621" i="57"/>
  <c r="C621" i="57"/>
  <c r="G620" i="57"/>
  <c r="F620" i="57"/>
  <c r="E620" i="57"/>
  <c r="D39" i="61" s="1"/>
  <c r="G39" i="61" s="1"/>
  <c r="D620" i="57"/>
  <c r="C620" i="57"/>
  <c r="G619" i="57"/>
  <c r="F619" i="57"/>
  <c r="E619" i="57"/>
  <c r="D38" i="61" s="1"/>
  <c r="G38" i="61" s="1"/>
  <c r="H38" i="61" s="1"/>
  <c r="D619" i="57"/>
  <c r="C619" i="57"/>
  <c r="G618" i="57"/>
  <c r="F618" i="57"/>
  <c r="E618" i="57"/>
  <c r="D618" i="57"/>
  <c r="C618" i="57"/>
  <c r="G617" i="57"/>
  <c r="F617" i="57"/>
  <c r="E617" i="57"/>
  <c r="D617" i="57"/>
  <c r="C617" i="57"/>
  <c r="G616" i="57"/>
  <c r="F616" i="57"/>
  <c r="E616" i="57"/>
  <c r="D616" i="57"/>
  <c r="C616" i="57"/>
  <c r="G615" i="57"/>
  <c r="F615" i="57"/>
  <c r="E615" i="57"/>
  <c r="D615" i="57"/>
  <c r="C615" i="57"/>
  <c r="G614" i="57"/>
  <c r="F614" i="57"/>
  <c r="E614" i="57"/>
  <c r="D614" i="57"/>
  <c r="C614" i="57"/>
  <c r="G613" i="57"/>
  <c r="F613" i="57"/>
  <c r="E613" i="57"/>
  <c r="D613" i="57"/>
  <c r="C613" i="57"/>
  <c r="G612" i="57"/>
  <c r="F612" i="57"/>
  <c r="E612" i="57"/>
  <c r="D37" i="61" s="1"/>
  <c r="G37" i="61" s="1"/>
  <c r="D612" i="57"/>
  <c r="C612" i="57"/>
  <c r="G611" i="57"/>
  <c r="F611" i="57"/>
  <c r="E611" i="57"/>
  <c r="D36" i="61" s="1"/>
  <c r="G36" i="61" s="1"/>
  <c r="H36" i="61" s="1"/>
  <c r="D611" i="57"/>
  <c r="C611" i="57"/>
  <c r="G610" i="57"/>
  <c r="F610" i="57"/>
  <c r="E610" i="57"/>
  <c r="D35" i="61" s="1"/>
  <c r="H35" i="61" s="1"/>
  <c r="D610" i="57"/>
  <c r="C610" i="57"/>
  <c r="G609" i="57"/>
  <c r="F609" i="57"/>
  <c r="E609" i="57"/>
  <c r="D34" i="61" s="1"/>
  <c r="G34" i="61" s="1"/>
  <c r="H34" i="61" s="1"/>
  <c r="D609" i="57"/>
  <c r="C609" i="57"/>
  <c r="G608" i="57"/>
  <c r="F608" i="57"/>
  <c r="E608" i="57"/>
  <c r="D33" i="61" s="1"/>
  <c r="D608" i="57"/>
  <c r="C608" i="57"/>
  <c r="G607" i="57"/>
  <c r="F607" i="57"/>
  <c r="E607" i="57"/>
  <c r="D32" i="61" s="1"/>
  <c r="G32" i="61" s="1"/>
  <c r="H32" i="61" s="1"/>
  <c r="D607" i="57"/>
  <c r="C607" i="57"/>
  <c r="G606" i="57"/>
  <c r="F606" i="57"/>
  <c r="E606" i="57"/>
  <c r="D606" i="57"/>
  <c r="C606" i="57"/>
  <c r="G605" i="57"/>
  <c r="F605" i="57"/>
  <c r="E605" i="57"/>
  <c r="D605" i="57"/>
  <c r="C605" i="57"/>
  <c r="G604" i="57"/>
  <c r="E604" i="57"/>
  <c r="D604" i="57"/>
  <c r="C604" i="57"/>
  <c r="G603" i="57"/>
  <c r="E603" i="57"/>
  <c r="D603" i="57"/>
  <c r="C603" i="57"/>
  <c r="G601" i="57"/>
  <c r="E601" i="57"/>
  <c r="D28" i="61" s="1"/>
  <c r="D601" i="57"/>
  <c r="C601" i="57"/>
  <c r="G600" i="57"/>
  <c r="E600" i="57"/>
  <c r="D600" i="57"/>
  <c r="C600" i="57"/>
  <c r="G599" i="57"/>
  <c r="F599" i="57"/>
  <c r="E599" i="57"/>
  <c r="D27" i="61" s="1"/>
  <c r="G27" i="61" s="1"/>
  <c r="D599" i="57"/>
  <c r="C599" i="57"/>
  <c r="G598" i="57"/>
  <c r="F598" i="57"/>
  <c r="E598" i="57"/>
  <c r="D26" i="61" s="1"/>
  <c r="G26" i="61" s="1"/>
  <c r="D598" i="57"/>
  <c r="C598" i="57"/>
  <c r="G597" i="57"/>
  <c r="F597" i="57"/>
  <c r="E597" i="57"/>
  <c r="D597" i="57"/>
  <c r="C597" i="57"/>
  <c r="G596" i="57"/>
  <c r="F596" i="57"/>
  <c r="E596" i="57"/>
  <c r="D596" i="57"/>
  <c r="C596" i="57"/>
  <c r="G595" i="57"/>
  <c r="F595" i="57"/>
  <c r="E595" i="57"/>
  <c r="D25" i="61" s="1"/>
  <c r="G25" i="61" s="1"/>
  <c r="D595" i="57"/>
  <c r="C595" i="57"/>
  <c r="G594" i="57"/>
  <c r="F594" i="57"/>
  <c r="E594" i="57"/>
  <c r="D594" i="57"/>
  <c r="C594" i="57"/>
  <c r="G593" i="57"/>
  <c r="F593" i="57"/>
  <c r="E593" i="57"/>
  <c r="D593" i="57"/>
  <c r="C593" i="57"/>
  <c r="G592" i="57"/>
  <c r="F592" i="57"/>
  <c r="E592" i="57"/>
  <c r="D592" i="57"/>
  <c r="C592" i="57"/>
  <c r="G591" i="57"/>
  <c r="F591" i="57"/>
  <c r="E591" i="57"/>
  <c r="D591" i="57"/>
  <c r="C591" i="57"/>
  <c r="G590" i="57"/>
  <c r="F590" i="57"/>
  <c r="E590" i="57"/>
  <c r="D590" i="57"/>
  <c r="C590" i="57"/>
  <c r="G589" i="57"/>
  <c r="F589" i="57"/>
  <c r="E589" i="57"/>
  <c r="D24" i="61" s="1"/>
  <c r="G24" i="61" s="1"/>
  <c r="D589" i="57"/>
  <c r="C589" i="57"/>
  <c r="G588" i="57"/>
  <c r="F588" i="57"/>
  <c r="E588" i="57"/>
  <c r="D588" i="57"/>
  <c r="C588" i="57"/>
  <c r="G587" i="57"/>
  <c r="F587" i="57"/>
  <c r="E587" i="57"/>
  <c r="D23" i="61" s="1"/>
  <c r="G23" i="61" s="1"/>
  <c r="H23" i="61" s="1"/>
  <c r="D587" i="57"/>
  <c r="C587" i="57"/>
  <c r="G586" i="57"/>
  <c r="F586" i="57"/>
  <c r="E586" i="57"/>
  <c r="D22" i="61" s="1"/>
  <c r="G22" i="61" s="1"/>
  <c r="D586" i="57"/>
  <c r="C586" i="57"/>
  <c r="G585" i="57"/>
  <c r="F585" i="57"/>
  <c r="E585" i="57"/>
  <c r="D21" i="61" s="1"/>
  <c r="G21" i="61" s="1"/>
  <c r="H21" i="61" s="1"/>
  <c r="D585" i="57"/>
  <c r="C585" i="57"/>
  <c r="G584" i="57"/>
  <c r="F584" i="57"/>
  <c r="E584" i="57"/>
  <c r="D584" i="57"/>
  <c r="C584" i="57"/>
  <c r="G583" i="57"/>
  <c r="F583" i="57"/>
  <c r="D583" i="57"/>
  <c r="C583" i="57"/>
  <c r="G582" i="57"/>
  <c r="F582" i="57"/>
  <c r="E582" i="57"/>
  <c r="D582" i="57"/>
  <c r="C582" i="57"/>
  <c r="G581" i="57"/>
  <c r="F581" i="57"/>
  <c r="E581" i="57"/>
  <c r="D581" i="57"/>
  <c r="C581" i="57"/>
  <c r="G580" i="57"/>
  <c r="F580" i="57"/>
  <c r="E580" i="57"/>
  <c r="D580" i="57"/>
  <c r="C580" i="57"/>
  <c r="G579" i="57"/>
  <c r="F579" i="57"/>
  <c r="E579" i="57"/>
  <c r="D579" i="57"/>
  <c r="C579" i="57"/>
  <c r="G578" i="57"/>
  <c r="F578" i="57"/>
  <c r="E578" i="57"/>
  <c r="D578" i="57"/>
  <c r="C578" i="57"/>
  <c r="G577" i="57"/>
  <c r="F577" i="57"/>
  <c r="E577" i="57"/>
  <c r="D577" i="57"/>
  <c r="C577" i="57"/>
  <c r="G576" i="57"/>
  <c r="F576" i="57"/>
  <c r="E576" i="57"/>
  <c r="D576" i="57"/>
  <c r="C576" i="57"/>
  <c r="G575" i="57"/>
  <c r="F575" i="57"/>
  <c r="E575" i="57"/>
  <c r="D575" i="57"/>
  <c r="C575" i="57"/>
  <c r="G574" i="57"/>
  <c r="F574" i="57"/>
  <c r="E574" i="57"/>
  <c r="D574" i="57"/>
  <c r="C574" i="57"/>
  <c r="G573" i="57"/>
  <c r="F573" i="57"/>
  <c r="E573" i="57"/>
  <c r="D16" i="61" s="1"/>
  <c r="H16" i="61" s="1"/>
  <c r="D573" i="57"/>
  <c r="C573" i="57"/>
  <c r="G572" i="57"/>
  <c r="F572" i="57"/>
  <c r="E572" i="57"/>
  <c r="D15" i="61" s="1"/>
  <c r="G15" i="61" s="1"/>
  <c r="H15" i="61" s="1"/>
  <c r="D572" i="57"/>
  <c r="C572" i="57"/>
  <c r="G571" i="57"/>
  <c r="F571" i="57"/>
  <c r="E571" i="57"/>
  <c r="D571" i="57"/>
  <c r="C571" i="57"/>
  <c r="G570" i="57"/>
  <c r="F570" i="57"/>
  <c r="E570" i="57"/>
  <c r="D14" i="61" s="1"/>
  <c r="G14" i="61" s="1"/>
  <c r="D570" i="57"/>
  <c r="C570" i="57"/>
  <c r="G569" i="57"/>
  <c r="F569" i="57"/>
  <c r="E569" i="57"/>
  <c r="D13" i="61" s="1"/>
  <c r="H13" i="61" s="1"/>
  <c r="D569" i="57"/>
  <c r="C569" i="57"/>
  <c r="G568" i="57"/>
  <c r="F568" i="57"/>
  <c r="E568" i="57"/>
  <c r="D12" i="61" s="1"/>
  <c r="G12" i="61" s="1"/>
  <c r="D568" i="57"/>
  <c r="C568" i="57"/>
  <c r="G567" i="57"/>
  <c r="F567" i="57"/>
  <c r="E567" i="57"/>
  <c r="D567" i="57"/>
  <c r="C567" i="57"/>
  <c r="G566" i="57"/>
  <c r="F566" i="57"/>
  <c r="E566" i="57"/>
  <c r="D566" i="57"/>
  <c r="C566" i="57"/>
  <c r="G565" i="57"/>
  <c r="F565" i="57"/>
  <c r="E565" i="57"/>
  <c r="D565" i="57"/>
  <c r="C565" i="57"/>
  <c r="G564" i="57"/>
  <c r="F564" i="57"/>
  <c r="E564" i="57"/>
  <c r="D564" i="57"/>
  <c r="C564" i="57"/>
  <c r="G563" i="57"/>
  <c r="F563" i="57"/>
  <c r="E563" i="57"/>
  <c r="D563" i="57"/>
  <c r="C563" i="57"/>
  <c r="G562" i="57"/>
  <c r="F562" i="57"/>
  <c r="E562" i="57"/>
  <c r="D562" i="57"/>
  <c r="C562" i="57"/>
  <c r="G561" i="57"/>
  <c r="F561" i="57"/>
  <c r="E561" i="57"/>
  <c r="D561" i="57"/>
  <c r="C561" i="57"/>
  <c r="G560" i="57"/>
  <c r="F560" i="57"/>
  <c r="E560" i="57"/>
  <c r="D560" i="57"/>
  <c r="C560" i="57"/>
  <c r="G559" i="57"/>
  <c r="F559" i="57"/>
  <c r="E559" i="57"/>
  <c r="D45" i="63" s="1"/>
  <c r="D559" i="57"/>
  <c r="C559" i="57"/>
  <c r="G558" i="57"/>
  <c r="F558" i="57"/>
  <c r="E558" i="57"/>
  <c r="D558" i="57"/>
  <c r="C558" i="57"/>
  <c r="G557" i="57"/>
  <c r="F557" i="57"/>
  <c r="E557" i="57"/>
  <c r="D44" i="63" s="1"/>
  <c r="D557" i="57"/>
  <c r="C557" i="57"/>
  <c r="G556" i="57"/>
  <c r="F556" i="57"/>
  <c r="E556" i="57"/>
  <c r="D43" i="63" s="1"/>
  <c r="D556" i="57"/>
  <c r="C556" i="57"/>
  <c r="G555" i="57"/>
  <c r="F555" i="57"/>
  <c r="E555" i="57"/>
  <c r="D42" i="63" s="1"/>
  <c r="D555" i="57"/>
  <c r="C555" i="57"/>
  <c r="G554" i="57"/>
  <c r="F554" i="57"/>
  <c r="E554" i="57"/>
  <c r="D41" i="63" s="1"/>
  <c r="D554" i="57"/>
  <c r="C554" i="57"/>
  <c r="G553" i="57"/>
  <c r="F553" i="57"/>
  <c r="E553" i="57"/>
  <c r="D60" i="61" s="1"/>
  <c r="D553" i="57"/>
  <c r="C553" i="57"/>
  <c r="G552" i="57"/>
  <c r="F552" i="57"/>
  <c r="E552" i="57"/>
  <c r="D39" i="51" s="1"/>
  <c r="H27" i="2" s="1"/>
  <c r="D552" i="57"/>
  <c r="C552" i="57"/>
  <c r="G551" i="57"/>
  <c r="F551" i="57"/>
  <c r="E551" i="57"/>
  <c r="D551" i="57"/>
  <c r="C551" i="57"/>
  <c r="G550" i="57"/>
  <c r="F550" i="57"/>
  <c r="E550" i="57"/>
  <c r="D550" i="57"/>
  <c r="C550" i="57"/>
  <c r="G549" i="57"/>
  <c r="F549" i="57"/>
  <c r="E549" i="57"/>
  <c r="C34" i="11" s="1"/>
  <c r="E34" i="11" s="1"/>
  <c r="D549" i="57"/>
  <c r="C549" i="57"/>
  <c r="G548" i="57"/>
  <c r="F548" i="57"/>
  <c r="E548" i="57"/>
  <c r="D548" i="57"/>
  <c r="C548" i="57"/>
  <c r="G547" i="57"/>
  <c r="F547" i="57"/>
  <c r="E547" i="57"/>
  <c r="D547" i="57"/>
  <c r="C547" i="57"/>
  <c r="G546" i="57"/>
  <c r="F546" i="57"/>
  <c r="E546" i="57"/>
  <c r="D546" i="57"/>
  <c r="C546" i="57"/>
  <c r="G545" i="57"/>
  <c r="F545" i="57"/>
  <c r="E545" i="57"/>
  <c r="D545" i="57"/>
  <c r="C545" i="57"/>
  <c r="G544" i="57"/>
  <c r="F544" i="57"/>
  <c r="E544" i="57"/>
  <c r="D544" i="57"/>
  <c r="C544" i="57"/>
  <c r="G542" i="57"/>
  <c r="F542" i="57"/>
  <c r="E542" i="57"/>
  <c r="C31" i="11" s="1"/>
  <c r="E31" i="11" s="1"/>
  <c r="D542" i="57"/>
  <c r="C542" i="57"/>
  <c r="G541" i="57"/>
  <c r="F541" i="57"/>
  <c r="E541" i="57"/>
  <c r="D541" i="57"/>
  <c r="C541" i="57"/>
  <c r="G540" i="57"/>
  <c r="F540" i="57"/>
  <c r="E540" i="57"/>
  <c r="D540" i="57"/>
  <c r="C540" i="57"/>
  <c r="G539" i="57"/>
  <c r="F539" i="57"/>
  <c r="E539" i="57"/>
  <c r="D51" i="61" s="1"/>
  <c r="H51" i="61" s="1"/>
  <c r="D539" i="57"/>
  <c r="C539" i="57"/>
  <c r="G538" i="57"/>
  <c r="F538" i="57"/>
  <c r="E538" i="57"/>
  <c r="D538" i="57"/>
  <c r="C538" i="57"/>
  <c r="G537" i="57"/>
  <c r="F537" i="57"/>
  <c r="E537" i="57"/>
  <c r="D537" i="57"/>
  <c r="C537" i="57"/>
  <c r="G536" i="57"/>
  <c r="F536" i="57"/>
  <c r="E536" i="57"/>
  <c r="D536" i="57"/>
  <c r="C536" i="57"/>
  <c r="G535" i="57"/>
  <c r="F535" i="57"/>
  <c r="E535" i="57"/>
  <c r="D535" i="57"/>
  <c r="C535" i="57"/>
  <c r="G534" i="57"/>
  <c r="F534" i="57"/>
  <c r="E534" i="57"/>
  <c r="D534" i="57"/>
  <c r="C534" i="57"/>
  <c r="G533" i="57"/>
  <c r="F533" i="57"/>
  <c r="E533" i="57"/>
  <c r="D533" i="57"/>
  <c r="C533" i="57"/>
  <c r="G532" i="57"/>
  <c r="F532" i="57"/>
  <c r="E532" i="57"/>
  <c r="D532" i="57"/>
  <c r="C532" i="57"/>
  <c r="G531" i="57"/>
  <c r="F531" i="57"/>
  <c r="E531" i="57"/>
  <c r="D531" i="57"/>
  <c r="C531" i="57"/>
  <c r="G530" i="57"/>
  <c r="F530" i="57"/>
  <c r="E530" i="57"/>
  <c r="D530" i="57"/>
  <c r="C530" i="57"/>
  <c r="G529" i="57"/>
  <c r="F529" i="57"/>
  <c r="E529" i="57"/>
  <c r="D54" i="9" s="1"/>
  <c r="G54" i="9" s="1"/>
  <c r="H54" i="9" s="1"/>
  <c r="D529" i="57"/>
  <c r="C529" i="57"/>
  <c r="G528" i="57"/>
  <c r="F528" i="57"/>
  <c r="E528" i="57"/>
  <c r="D528" i="57"/>
  <c r="C528" i="57"/>
  <c r="G527" i="57"/>
  <c r="F527" i="57"/>
  <c r="E527" i="57"/>
  <c r="D527" i="57"/>
  <c r="C527" i="57"/>
  <c r="G526" i="57"/>
  <c r="F526" i="57"/>
  <c r="E526" i="57"/>
  <c r="D53" i="9" s="1"/>
  <c r="H53" i="9" s="1"/>
  <c r="D526" i="57"/>
  <c r="C526" i="57"/>
  <c r="G525" i="57"/>
  <c r="F525" i="57"/>
  <c r="E525" i="57"/>
  <c r="D525" i="57"/>
  <c r="C525" i="57"/>
  <c r="G524" i="57"/>
  <c r="F524" i="57"/>
  <c r="E524" i="57"/>
  <c r="D52" i="9" s="1"/>
  <c r="H52" i="9" s="1"/>
  <c r="D524" i="57"/>
  <c r="C524" i="57"/>
  <c r="G523" i="57"/>
  <c r="F523" i="57"/>
  <c r="E523" i="57"/>
  <c r="D523" i="57"/>
  <c r="C523" i="57"/>
  <c r="G522" i="57"/>
  <c r="F522" i="57"/>
  <c r="E522" i="57"/>
  <c r="D51" i="9" s="1"/>
  <c r="G51" i="9" s="1"/>
  <c r="H51" i="9" s="1"/>
  <c r="D522" i="57"/>
  <c r="C522" i="57"/>
  <c r="G521" i="57"/>
  <c r="F521" i="57"/>
  <c r="E521" i="57"/>
  <c r="D521" i="57"/>
  <c r="C521" i="57"/>
  <c r="G520" i="57"/>
  <c r="F520" i="57"/>
  <c r="E520" i="57"/>
  <c r="D50" i="9" s="1"/>
  <c r="G50" i="9" s="1"/>
  <c r="H50" i="9" s="1"/>
  <c r="D520" i="57"/>
  <c r="C520" i="57"/>
  <c r="G519" i="57"/>
  <c r="F519" i="57"/>
  <c r="E519" i="57"/>
  <c r="D49" i="9" s="1"/>
  <c r="D519" i="57"/>
  <c r="C519" i="57"/>
  <c r="G518" i="57"/>
  <c r="F518" i="57"/>
  <c r="E518" i="57"/>
  <c r="D48" i="9" s="1"/>
  <c r="G48" i="9" s="1"/>
  <c r="H48" i="9" s="1"/>
  <c r="D518" i="57"/>
  <c r="C518" i="57"/>
  <c r="G517" i="57"/>
  <c r="F517" i="57"/>
  <c r="E517" i="57"/>
  <c r="D47" i="9" s="1"/>
  <c r="G47" i="9" s="1"/>
  <c r="H47" i="9" s="1"/>
  <c r="D517" i="57"/>
  <c r="C517" i="57"/>
  <c r="G516" i="57"/>
  <c r="F516" i="57"/>
  <c r="E516" i="57"/>
  <c r="D46" i="9" s="1"/>
  <c r="G46" i="9" s="1"/>
  <c r="H46" i="9" s="1"/>
  <c r="D516" i="57"/>
  <c r="C516" i="57"/>
  <c r="G515" i="57"/>
  <c r="F515" i="57"/>
  <c r="E515" i="57"/>
  <c r="D45" i="9" s="1"/>
  <c r="G45" i="9" s="1"/>
  <c r="D515" i="57"/>
  <c r="C515" i="57"/>
  <c r="G514" i="57"/>
  <c r="F514" i="57"/>
  <c r="E514" i="57"/>
  <c r="D44" i="9" s="1"/>
  <c r="G44" i="9" s="1"/>
  <c r="H44" i="9" s="1"/>
  <c r="D514" i="57"/>
  <c r="C514" i="57"/>
  <c r="G513" i="57"/>
  <c r="F513" i="57"/>
  <c r="E513" i="57"/>
  <c r="D43" i="9" s="1"/>
  <c r="G43" i="9" s="1"/>
  <c r="H43" i="9" s="1"/>
  <c r="D513" i="57"/>
  <c r="C513" i="57"/>
  <c r="G512" i="57"/>
  <c r="F512" i="57"/>
  <c r="E512" i="57"/>
  <c r="D42" i="9" s="1"/>
  <c r="G42" i="9" s="1"/>
  <c r="H42" i="9" s="1"/>
  <c r="D512" i="57"/>
  <c r="C512" i="57"/>
  <c r="G511" i="57"/>
  <c r="F511" i="57"/>
  <c r="E511" i="57"/>
  <c r="H41" i="9" s="1"/>
  <c r="D511" i="57"/>
  <c r="C511" i="57"/>
  <c r="G509" i="57"/>
  <c r="F509" i="57"/>
  <c r="E509" i="57"/>
  <c r="D509" i="57"/>
  <c r="C509" i="57"/>
  <c r="G508" i="57"/>
  <c r="F508" i="57"/>
  <c r="E508" i="57"/>
  <c r="D508" i="57"/>
  <c r="C508" i="57"/>
  <c r="G507" i="57"/>
  <c r="F507" i="57"/>
  <c r="E507" i="57"/>
  <c r="D507" i="57"/>
  <c r="C507" i="57"/>
  <c r="G506" i="57"/>
  <c r="F506" i="57"/>
  <c r="E506" i="57"/>
  <c r="D40" i="9" s="1"/>
  <c r="H40" i="9" s="1"/>
  <c r="D506" i="57"/>
  <c r="C506" i="57"/>
  <c r="G505" i="57"/>
  <c r="F505" i="57"/>
  <c r="E505" i="57"/>
  <c r="D39" i="9" s="1"/>
  <c r="G39" i="9" s="1"/>
  <c r="H39" i="9" s="1"/>
  <c r="D505" i="57"/>
  <c r="C505" i="57"/>
  <c r="G504" i="57"/>
  <c r="F504" i="57"/>
  <c r="E504" i="57"/>
  <c r="D504" i="57"/>
  <c r="C504" i="57"/>
  <c r="G503" i="57"/>
  <c r="F503" i="57"/>
  <c r="E503" i="57"/>
  <c r="D503" i="57"/>
  <c r="C503" i="57"/>
  <c r="G502" i="57"/>
  <c r="F502" i="57"/>
  <c r="E502" i="57"/>
  <c r="D35" i="9" s="1"/>
  <c r="G35" i="9" s="1"/>
  <c r="D502" i="57"/>
  <c r="C502" i="57"/>
  <c r="G501" i="57"/>
  <c r="F501" i="57"/>
  <c r="E501" i="57"/>
  <c r="D34" i="9" s="1"/>
  <c r="G34" i="9" s="1"/>
  <c r="D501" i="57"/>
  <c r="C501" i="57"/>
  <c r="G500" i="57"/>
  <c r="F500" i="57"/>
  <c r="E500" i="57"/>
  <c r="D500" i="57"/>
  <c r="C500" i="57"/>
  <c r="G499" i="57"/>
  <c r="F499" i="57"/>
  <c r="E499" i="57"/>
  <c r="D499" i="57"/>
  <c r="C499" i="57"/>
  <c r="G498" i="57"/>
  <c r="F498" i="57"/>
  <c r="E498" i="57"/>
  <c r="D498" i="57"/>
  <c r="C498" i="57"/>
  <c r="G497" i="57"/>
  <c r="F497" i="57"/>
  <c r="E497" i="57"/>
  <c r="D497" i="57"/>
  <c r="C497" i="57"/>
  <c r="G496" i="57"/>
  <c r="F496" i="57"/>
  <c r="E496" i="57"/>
  <c r="D33" i="9" s="1"/>
  <c r="G33" i="9" s="1"/>
  <c r="H33" i="9" s="1"/>
  <c r="D496" i="57"/>
  <c r="C496" i="57"/>
  <c r="G495" i="57"/>
  <c r="F495" i="57"/>
  <c r="E495" i="57"/>
  <c r="D495" i="57"/>
  <c r="C495" i="57"/>
  <c r="G494" i="57"/>
  <c r="F494" i="57"/>
  <c r="E494" i="57"/>
  <c r="D32" i="9" s="1"/>
  <c r="G32" i="9" s="1"/>
  <c r="H32" i="9" s="1"/>
  <c r="D494" i="57"/>
  <c r="C494" i="57"/>
  <c r="G493" i="57"/>
  <c r="F493" i="57"/>
  <c r="E493" i="57"/>
  <c r="D31" i="9" s="1"/>
  <c r="G31" i="9" s="1"/>
  <c r="H31" i="9" s="1"/>
  <c r="D493" i="57"/>
  <c r="C493" i="57"/>
  <c r="G492" i="57"/>
  <c r="F492" i="57"/>
  <c r="E492" i="57"/>
  <c r="D492" i="57"/>
  <c r="C492" i="57"/>
  <c r="G491" i="57"/>
  <c r="F491" i="57"/>
  <c r="E491" i="57"/>
  <c r="D30" i="9" s="1"/>
  <c r="D491" i="57"/>
  <c r="C491" i="57"/>
  <c r="G490" i="57"/>
  <c r="F490" i="57"/>
  <c r="E490" i="57"/>
  <c r="D490" i="57"/>
  <c r="C490" i="57"/>
  <c r="G489" i="57"/>
  <c r="F489" i="57"/>
  <c r="E489" i="57"/>
  <c r="D28" i="9" s="1"/>
  <c r="G28" i="9" s="1"/>
  <c r="H28" i="9" s="1"/>
  <c r="D489" i="57"/>
  <c r="C489" i="57"/>
  <c r="G488" i="57"/>
  <c r="F488" i="57"/>
  <c r="E488" i="57"/>
  <c r="D488" i="57"/>
  <c r="C488" i="57"/>
  <c r="G487" i="57"/>
  <c r="F487" i="57"/>
  <c r="E487" i="57"/>
  <c r="D27" i="9" s="1"/>
  <c r="H27" i="9" s="1"/>
  <c r="D487" i="57"/>
  <c r="C487" i="57"/>
  <c r="G486" i="57"/>
  <c r="F486" i="57"/>
  <c r="E486" i="57"/>
  <c r="D486" i="57"/>
  <c r="C486" i="57"/>
  <c r="G485" i="57"/>
  <c r="F485" i="57"/>
  <c r="E485" i="57"/>
  <c r="D26" i="9" s="1"/>
  <c r="G26" i="9" s="1"/>
  <c r="D485" i="57"/>
  <c r="C485" i="57"/>
  <c r="G484" i="57"/>
  <c r="F484" i="57"/>
  <c r="E484" i="57"/>
  <c r="D25" i="9" s="1"/>
  <c r="G25" i="9" s="1"/>
  <c r="H25" i="9" s="1"/>
  <c r="D484" i="57"/>
  <c r="C484" i="57"/>
  <c r="G483" i="57"/>
  <c r="F483" i="57"/>
  <c r="E483" i="57"/>
  <c r="D483" i="57"/>
  <c r="C483" i="57"/>
  <c r="G482" i="57"/>
  <c r="F482" i="57"/>
  <c r="E482" i="57"/>
  <c r="D482" i="57"/>
  <c r="C482" i="57"/>
  <c r="G481" i="57"/>
  <c r="F481" i="57"/>
  <c r="E481" i="57"/>
  <c r="D481" i="57"/>
  <c r="C481" i="57"/>
  <c r="G480" i="57"/>
  <c r="F480" i="57"/>
  <c r="E480" i="57"/>
  <c r="D23" i="9" s="1"/>
  <c r="D480" i="57"/>
  <c r="C480" i="57"/>
  <c r="G479" i="57"/>
  <c r="F479" i="57"/>
  <c r="E479" i="57"/>
  <c r="D22" i="9" s="1"/>
  <c r="G22" i="9" s="1"/>
  <c r="D479" i="57"/>
  <c r="C479" i="57"/>
  <c r="G478" i="57"/>
  <c r="F478" i="57"/>
  <c r="E478" i="57"/>
  <c r="D21" i="9" s="1"/>
  <c r="D478" i="57"/>
  <c r="C478" i="57"/>
  <c r="G477" i="57"/>
  <c r="F477" i="57"/>
  <c r="E477" i="57"/>
  <c r="D20" i="9" s="1"/>
  <c r="D477" i="57"/>
  <c r="C477" i="57"/>
  <c r="G476" i="57"/>
  <c r="F476" i="57"/>
  <c r="E476" i="57"/>
  <c r="D19" i="9" s="1"/>
  <c r="G19" i="9" s="1"/>
  <c r="D476" i="57"/>
  <c r="C476" i="57"/>
  <c r="G475" i="57"/>
  <c r="F475" i="57"/>
  <c r="E475" i="57"/>
  <c r="D18" i="9" s="1"/>
  <c r="D475" i="57"/>
  <c r="C475" i="57"/>
  <c r="G474" i="57"/>
  <c r="F474" i="57"/>
  <c r="E474" i="57"/>
  <c r="D17" i="9" s="1"/>
  <c r="G17" i="9" s="1"/>
  <c r="D474" i="57"/>
  <c r="C474" i="57"/>
  <c r="G473" i="57"/>
  <c r="F473" i="57"/>
  <c r="E473" i="57"/>
  <c r="D16" i="9" s="1"/>
  <c r="G16" i="9" s="1"/>
  <c r="D473" i="57"/>
  <c r="C473" i="57"/>
  <c r="G472" i="57"/>
  <c r="F472" i="57"/>
  <c r="E472" i="57"/>
  <c r="D472" i="57"/>
  <c r="C472" i="57"/>
  <c r="G471" i="57"/>
  <c r="F471" i="57"/>
  <c r="E471" i="57"/>
  <c r="D14" i="9" s="1"/>
  <c r="G14" i="9" s="1"/>
  <c r="H14" i="9" s="1"/>
  <c r="D471" i="57"/>
  <c r="C471" i="57"/>
  <c r="G470" i="57"/>
  <c r="F470" i="57"/>
  <c r="E470" i="57"/>
  <c r="D470" i="57"/>
  <c r="C470" i="57"/>
  <c r="G469" i="57"/>
  <c r="F469" i="57"/>
  <c r="E469" i="57"/>
  <c r="D469" i="57"/>
  <c r="C469" i="57"/>
  <c r="G468" i="57"/>
  <c r="F468" i="57"/>
  <c r="E468" i="57"/>
  <c r="D468" i="57"/>
  <c r="C468" i="57"/>
  <c r="G467" i="57"/>
  <c r="F467" i="57"/>
  <c r="E467" i="57"/>
  <c r="D13" i="9" s="1"/>
  <c r="D467" i="57"/>
  <c r="C467" i="57"/>
  <c r="G466" i="57"/>
  <c r="F466" i="57"/>
  <c r="E466" i="57"/>
  <c r="D12" i="9" s="1"/>
  <c r="G12" i="9" s="1"/>
  <c r="D466" i="57"/>
  <c r="C466" i="57"/>
  <c r="G465" i="57"/>
  <c r="F465" i="57"/>
  <c r="E465" i="57"/>
  <c r="D465" i="57"/>
  <c r="C465" i="57"/>
  <c r="G464" i="57"/>
  <c r="F464" i="57"/>
  <c r="E464" i="57"/>
  <c r="D464" i="57"/>
  <c r="C464" i="57"/>
  <c r="G463" i="57"/>
  <c r="F463" i="57"/>
  <c r="E463" i="57"/>
  <c r="D463" i="57"/>
  <c r="C463" i="57"/>
  <c r="G462" i="57"/>
  <c r="F462" i="57"/>
  <c r="E462" i="57"/>
  <c r="D462" i="57"/>
  <c r="C462" i="57"/>
  <c r="G461" i="57"/>
  <c r="F461" i="57"/>
  <c r="E461" i="57"/>
  <c r="D461" i="57"/>
  <c r="C461" i="57"/>
  <c r="G460" i="57"/>
  <c r="F460" i="57"/>
  <c r="E460" i="57"/>
  <c r="D460" i="57"/>
  <c r="C460" i="57"/>
  <c r="G459" i="57"/>
  <c r="F459" i="57"/>
  <c r="E459" i="57"/>
  <c r="D459" i="57"/>
  <c r="C459" i="57"/>
  <c r="G458" i="57"/>
  <c r="F458" i="57"/>
  <c r="E458" i="57"/>
  <c r="D458" i="57"/>
  <c r="C458" i="57"/>
  <c r="G457" i="57"/>
  <c r="F457" i="57"/>
  <c r="E457" i="57"/>
  <c r="D457" i="57"/>
  <c r="C457" i="57"/>
  <c r="G456" i="57"/>
  <c r="F456" i="57"/>
  <c r="E456" i="57"/>
  <c r="D456" i="57"/>
  <c r="C456" i="57"/>
  <c r="G455" i="57"/>
  <c r="F455" i="57"/>
  <c r="E455" i="57"/>
  <c r="D455" i="57"/>
  <c r="C455" i="57"/>
  <c r="G454" i="57"/>
  <c r="F454" i="57"/>
  <c r="E454" i="57"/>
  <c r="D454" i="57"/>
  <c r="C454" i="57"/>
  <c r="G453" i="57"/>
  <c r="F453" i="57"/>
  <c r="E453" i="57"/>
  <c r="D453" i="57"/>
  <c r="C453" i="57"/>
  <c r="G452" i="57"/>
  <c r="F452" i="57"/>
  <c r="E452" i="57"/>
  <c r="D452" i="57"/>
  <c r="C452" i="57"/>
  <c r="G451" i="57"/>
  <c r="F451" i="57"/>
  <c r="E451" i="57"/>
  <c r="D451" i="57"/>
  <c r="C451" i="57"/>
  <c r="G450" i="57"/>
  <c r="F450" i="57"/>
  <c r="E450" i="57"/>
  <c r="D450" i="57"/>
  <c r="C450" i="57"/>
  <c r="G449" i="57"/>
  <c r="F449" i="57"/>
  <c r="E449" i="57"/>
  <c r="D449" i="57"/>
  <c r="C449" i="57"/>
  <c r="G448" i="57"/>
  <c r="F448" i="57"/>
  <c r="E448" i="57"/>
  <c r="D448" i="57"/>
  <c r="C448" i="57"/>
  <c r="G447" i="57"/>
  <c r="F447" i="57"/>
  <c r="E447" i="57"/>
  <c r="D447" i="57"/>
  <c r="C447" i="57"/>
  <c r="G446" i="57"/>
  <c r="F446" i="57"/>
  <c r="E446" i="57"/>
  <c r="D446" i="57"/>
  <c r="C446" i="57"/>
  <c r="G445" i="57"/>
  <c r="F445" i="57"/>
  <c r="E445" i="57"/>
  <c r="D445" i="57"/>
  <c r="C445" i="57"/>
  <c r="G444" i="57"/>
  <c r="F444" i="57"/>
  <c r="E444" i="57"/>
  <c r="D444" i="57"/>
  <c r="C444" i="57"/>
  <c r="G443" i="57"/>
  <c r="F443" i="57"/>
  <c r="E443" i="57"/>
  <c r="D443" i="57"/>
  <c r="C443" i="57"/>
  <c r="G442" i="57"/>
  <c r="F442" i="57"/>
  <c r="E442" i="57"/>
  <c r="D442" i="57"/>
  <c r="C442" i="57"/>
  <c r="G441" i="57"/>
  <c r="F441" i="57"/>
  <c r="E441" i="57"/>
  <c r="D441" i="57"/>
  <c r="C441" i="57"/>
  <c r="G439" i="57"/>
  <c r="F439" i="57"/>
  <c r="E439" i="57"/>
  <c r="D439" i="57"/>
  <c r="C439" i="57"/>
  <c r="G438" i="57"/>
  <c r="F438" i="57"/>
  <c r="E438" i="57"/>
  <c r="D438" i="57"/>
  <c r="C438" i="57"/>
  <c r="G437" i="57"/>
  <c r="F437" i="57"/>
  <c r="E437" i="57"/>
  <c r="D437" i="57"/>
  <c r="C437" i="57"/>
  <c r="G436" i="57"/>
  <c r="F436" i="57"/>
  <c r="E436" i="57"/>
  <c r="D436" i="57"/>
  <c r="C436" i="57"/>
  <c r="G435" i="57"/>
  <c r="F435" i="57"/>
  <c r="E435" i="57"/>
  <c r="D435" i="57"/>
  <c r="C435" i="57"/>
  <c r="G434" i="57"/>
  <c r="F434" i="57"/>
  <c r="E434" i="57"/>
  <c r="D434" i="57"/>
  <c r="C434" i="57"/>
  <c r="G433" i="57"/>
  <c r="F433" i="57"/>
  <c r="E433" i="57"/>
  <c r="H26" i="2" s="1"/>
  <c r="D433" i="57"/>
  <c r="C433" i="57"/>
  <c r="G432" i="57"/>
  <c r="F432" i="57"/>
  <c r="E432" i="57"/>
  <c r="H24" i="2" s="1"/>
  <c r="D432" i="57"/>
  <c r="C432" i="57"/>
  <c r="G430" i="57"/>
  <c r="F430" i="57"/>
  <c r="E430" i="57"/>
  <c r="D430" i="57"/>
  <c r="C430" i="57"/>
  <c r="G429" i="57"/>
  <c r="F429" i="57"/>
  <c r="E429" i="57"/>
  <c r="H25" i="2" s="1"/>
  <c r="D429" i="57"/>
  <c r="C429" i="57"/>
  <c r="G428" i="57"/>
  <c r="F428" i="57"/>
  <c r="E428" i="57"/>
  <c r="D428" i="57"/>
  <c r="C428" i="57"/>
  <c r="G427" i="57"/>
  <c r="F427" i="57"/>
  <c r="E427" i="57"/>
  <c r="D427" i="57"/>
  <c r="C427" i="57"/>
  <c r="G426" i="57"/>
  <c r="F426" i="57"/>
  <c r="E426" i="57"/>
  <c r="D426" i="57"/>
  <c r="C426" i="57"/>
  <c r="G425" i="57"/>
  <c r="F425" i="57"/>
  <c r="E425" i="57"/>
  <c r="H76" i="50" s="1"/>
  <c r="I76" i="50" s="1"/>
  <c r="J76" i="50" s="1"/>
  <c r="L76" i="50" s="1"/>
  <c r="D425" i="57"/>
  <c r="C425" i="57"/>
  <c r="G424" i="57"/>
  <c r="F424" i="57"/>
  <c r="E424" i="57"/>
  <c r="D424" i="57"/>
  <c r="C424" i="57"/>
  <c r="G423" i="57"/>
  <c r="F423" i="57"/>
  <c r="E423" i="57"/>
  <c r="D423" i="57"/>
  <c r="C423" i="57"/>
  <c r="G422" i="57"/>
  <c r="F422" i="57"/>
  <c r="E422" i="57"/>
  <c r="H75" i="50" s="1"/>
  <c r="I75" i="50" s="1"/>
  <c r="J75" i="50" s="1"/>
  <c r="D422" i="57"/>
  <c r="C422" i="57"/>
  <c r="G421" i="57"/>
  <c r="F421" i="57"/>
  <c r="E421" i="57"/>
  <c r="H74" i="50" s="1"/>
  <c r="J74" i="50" s="1"/>
  <c r="D421" i="57"/>
  <c r="C421" i="57"/>
  <c r="G420" i="57"/>
  <c r="F420" i="57"/>
  <c r="E420" i="57"/>
  <c r="H73" i="50" s="1"/>
  <c r="J73" i="50" s="1"/>
  <c r="D420" i="57"/>
  <c r="C420" i="57"/>
  <c r="G419" i="57"/>
  <c r="F419" i="57"/>
  <c r="E419" i="57"/>
  <c r="D419" i="57"/>
  <c r="C419" i="57"/>
  <c r="G418" i="57"/>
  <c r="F418" i="57"/>
  <c r="E418" i="57"/>
  <c r="D418" i="57"/>
  <c r="C418" i="57"/>
  <c r="G417" i="57"/>
  <c r="F417" i="57"/>
  <c r="E417" i="57"/>
  <c r="H72" i="50" s="1"/>
  <c r="J72" i="50" s="1"/>
  <c r="D417" i="57"/>
  <c r="C417" i="57"/>
  <c r="G416" i="57"/>
  <c r="F416" i="57"/>
  <c r="E416" i="57"/>
  <c r="H71" i="50" s="1"/>
  <c r="J71" i="50" s="1"/>
  <c r="D416" i="57"/>
  <c r="C416" i="57"/>
  <c r="G415" i="57"/>
  <c r="F415" i="57"/>
  <c r="E415" i="57"/>
  <c r="H70" i="50" s="1"/>
  <c r="D415" i="57"/>
  <c r="C415" i="57"/>
  <c r="G414" i="57"/>
  <c r="F414" i="57"/>
  <c r="E414" i="57"/>
  <c r="H69" i="50" s="1"/>
  <c r="J69" i="50" s="1"/>
  <c r="D414" i="57"/>
  <c r="C414" i="57"/>
  <c r="G413" i="57"/>
  <c r="F413" i="57"/>
  <c r="E413" i="57"/>
  <c r="H68" i="50" s="1"/>
  <c r="I68" i="50" s="1"/>
  <c r="D413" i="57"/>
  <c r="C413" i="57"/>
  <c r="G412" i="57"/>
  <c r="F412" i="57"/>
  <c r="E412" i="57"/>
  <c r="D412" i="57"/>
  <c r="C412" i="57"/>
  <c r="G411" i="57"/>
  <c r="F411" i="57"/>
  <c r="E411" i="57"/>
  <c r="D411" i="57"/>
  <c r="C411" i="57"/>
  <c r="G410" i="57"/>
  <c r="F410" i="57"/>
  <c r="E410" i="57"/>
  <c r="H67" i="50" s="1"/>
  <c r="I67" i="50" s="1"/>
  <c r="J67" i="50" s="1"/>
  <c r="D410" i="57"/>
  <c r="C410" i="57"/>
  <c r="G409" i="57"/>
  <c r="F409" i="57"/>
  <c r="E409" i="57"/>
  <c r="D409" i="57"/>
  <c r="C409" i="57"/>
  <c r="G408" i="57"/>
  <c r="F408" i="57"/>
  <c r="E408" i="57"/>
  <c r="D408" i="57"/>
  <c r="C408" i="57"/>
  <c r="G407" i="57"/>
  <c r="F407" i="57"/>
  <c r="E407" i="57"/>
  <c r="D407" i="57"/>
  <c r="C407" i="57"/>
  <c r="G406" i="57"/>
  <c r="F406" i="57"/>
  <c r="E406" i="57"/>
  <c r="D406" i="57"/>
  <c r="C406" i="57"/>
  <c r="G405" i="57"/>
  <c r="F405" i="57"/>
  <c r="E405" i="57"/>
  <c r="D405" i="57"/>
  <c r="C405" i="57"/>
  <c r="G404" i="57"/>
  <c r="F404" i="57"/>
  <c r="E404" i="57"/>
  <c r="H66" i="50" s="1"/>
  <c r="D404" i="57"/>
  <c r="C404" i="57"/>
  <c r="G403" i="57"/>
  <c r="F403" i="57"/>
  <c r="E403" i="57"/>
  <c r="D403" i="57"/>
  <c r="C403" i="57"/>
  <c r="G402" i="57"/>
  <c r="F402" i="57"/>
  <c r="E402" i="57"/>
  <c r="D402" i="57"/>
  <c r="C402" i="57"/>
  <c r="G401" i="57"/>
  <c r="F401" i="57"/>
  <c r="E401" i="57"/>
  <c r="D401" i="57"/>
  <c r="C401" i="57"/>
  <c r="G400" i="57"/>
  <c r="F400" i="57"/>
  <c r="E400" i="57"/>
  <c r="D400" i="57"/>
  <c r="C400" i="57"/>
  <c r="G399" i="57"/>
  <c r="F399" i="57"/>
  <c r="E399" i="57"/>
  <c r="D399" i="57"/>
  <c r="C399" i="57"/>
  <c r="G398" i="57"/>
  <c r="F398" i="57"/>
  <c r="E398" i="57"/>
  <c r="D398" i="57"/>
  <c r="C398" i="57"/>
  <c r="G397" i="57"/>
  <c r="F397" i="57"/>
  <c r="E397" i="57"/>
  <c r="D397" i="57"/>
  <c r="C397" i="57"/>
  <c r="G396" i="57"/>
  <c r="F396" i="57"/>
  <c r="E396" i="57"/>
  <c r="D396" i="57"/>
  <c r="C396" i="57"/>
  <c r="G395" i="57"/>
  <c r="F395" i="57"/>
  <c r="E395" i="57"/>
  <c r="D395" i="57"/>
  <c r="C395" i="57"/>
  <c r="G394" i="57"/>
  <c r="F394" i="57"/>
  <c r="E394" i="57"/>
  <c r="H61" i="50" s="1"/>
  <c r="J61" i="50" s="1"/>
  <c r="D394" i="57"/>
  <c r="C394" i="57"/>
  <c r="G393" i="57"/>
  <c r="F393" i="57"/>
  <c r="E393" i="57"/>
  <c r="H60" i="50" s="1"/>
  <c r="I60" i="50" s="1"/>
  <c r="J60" i="50" s="1"/>
  <c r="D393" i="57"/>
  <c r="C393" i="57"/>
  <c r="G392" i="57"/>
  <c r="F392" i="57"/>
  <c r="E392" i="57"/>
  <c r="D392" i="57"/>
  <c r="C392" i="57"/>
  <c r="G391" i="57"/>
  <c r="F391" i="57"/>
  <c r="E391" i="57"/>
  <c r="H59" i="50" s="1"/>
  <c r="I59" i="50" s="1"/>
  <c r="D391" i="57"/>
  <c r="C391" i="57"/>
  <c r="G390" i="57"/>
  <c r="F390" i="57"/>
  <c r="E390" i="57"/>
  <c r="H58" i="50" s="1"/>
  <c r="I58" i="50" s="1"/>
  <c r="D390" i="57"/>
  <c r="C390" i="57"/>
  <c r="G389" i="57"/>
  <c r="F389" i="57"/>
  <c r="E389" i="57"/>
  <c r="H57" i="50" s="1"/>
  <c r="I57" i="50" s="1"/>
  <c r="J57" i="50" s="1"/>
  <c r="D389" i="57"/>
  <c r="C389" i="57"/>
  <c r="G388" i="57"/>
  <c r="F388" i="57"/>
  <c r="E388" i="57"/>
  <c r="H56" i="50" s="1"/>
  <c r="I56" i="50" s="1"/>
  <c r="J56" i="50" s="1"/>
  <c r="D388" i="57"/>
  <c r="C388" i="57"/>
  <c r="G387" i="57"/>
  <c r="F387" i="57"/>
  <c r="E387" i="57"/>
  <c r="D387" i="57"/>
  <c r="C387" i="57"/>
  <c r="G386" i="57"/>
  <c r="F386" i="57"/>
  <c r="E386" i="57"/>
  <c r="H54" i="50" s="1"/>
  <c r="I54" i="50" s="1"/>
  <c r="D386" i="57"/>
  <c r="C386" i="57"/>
  <c r="G385" i="57"/>
  <c r="F385" i="57"/>
  <c r="E385" i="57"/>
  <c r="H53" i="50" s="1"/>
  <c r="I53" i="50" s="1"/>
  <c r="D385" i="57"/>
  <c r="C385" i="57"/>
  <c r="G384" i="57"/>
  <c r="F384" i="57"/>
  <c r="E384" i="57"/>
  <c r="D384" i="57"/>
  <c r="C384" i="57"/>
  <c r="G383" i="57"/>
  <c r="F383" i="57"/>
  <c r="E383" i="57"/>
  <c r="D383" i="57"/>
  <c r="C383" i="57"/>
  <c r="G382" i="57"/>
  <c r="F382" i="57"/>
  <c r="E382" i="57"/>
  <c r="D382" i="57"/>
  <c r="C382" i="57"/>
  <c r="G381" i="57"/>
  <c r="F381" i="57"/>
  <c r="E381" i="57"/>
  <c r="D381" i="57"/>
  <c r="C381" i="57"/>
  <c r="G380" i="57"/>
  <c r="F380" i="57"/>
  <c r="E380" i="57"/>
  <c r="D380" i="57"/>
  <c r="C380" i="57"/>
  <c r="G379" i="57"/>
  <c r="F379" i="57"/>
  <c r="E379" i="57"/>
  <c r="D379" i="57"/>
  <c r="C379" i="57"/>
  <c r="G378" i="57"/>
  <c r="F378" i="57"/>
  <c r="E378" i="57"/>
  <c r="D378" i="57"/>
  <c r="C378" i="57"/>
  <c r="G377" i="57"/>
  <c r="F377" i="57"/>
  <c r="E377" i="57"/>
  <c r="D377" i="57"/>
  <c r="C377" i="57"/>
  <c r="G376" i="57"/>
  <c r="F376" i="57"/>
  <c r="E376" i="57"/>
  <c r="D376" i="57"/>
  <c r="C376" i="57"/>
  <c r="G375" i="57"/>
  <c r="F375" i="57"/>
  <c r="E375" i="57"/>
  <c r="D375" i="57"/>
  <c r="C375" i="57"/>
  <c r="G374" i="57"/>
  <c r="F374" i="57"/>
  <c r="E374" i="57"/>
  <c r="D374" i="57"/>
  <c r="C374" i="57"/>
  <c r="G373" i="57"/>
  <c r="F373" i="57"/>
  <c r="E373" i="57"/>
  <c r="D373" i="57"/>
  <c r="C373" i="57"/>
  <c r="G372" i="57"/>
  <c r="F372" i="57"/>
  <c r="E372" i="57"/>
  <c r="D372" i="57"/>
  <c r="C372" i="57"/>
  <c r="G371" i="57"/>
  <c r="F371" i="57"/>
  <c r="E371" i="57"/>
  <c r="D371" i="57"/>
  <c r="C371" i="57"/>
  <c r="G370" i="57"/>
  <c r="F370" i="57"/>
  <c r="E370" i="57"/>
  <c r="D370" i="57"/>
  <c r="C370" i="57"/>
  <c r="G369" i="57"/>
  <c r="F369" i="57"/>
  <c r="E369" i="57"/>
  <c r="D369" i="57"/>
  <c r="C369" i="57"/>
  <c r="G368" i="57"/>
  <c r="F368" i="57"/>
  <c r="E368" i="57"/>
  <c r="D368" i="57"/>
  <c r="C368" i="57"/>
  <c r="G367" i="57"/>
  <c r="F367" i="57"/>
  <c r="E367" i="57"/>
  <c r="D367" i="57"/>
  <c r="C367" i="57"/>
  <c r="G366" i="57"/>
  <c r="F366" i="57"/>
  <c r="E366" i="57"/>
  <c r="D366" i="57"/>
  <c r="C366" i="57"/>
  <c r="G365" i="57"/>
  <c r="F365" i="57"/>
  <c r="E365" i="57"/>
  <c r="D365" i="57"/>
  <c r="C365" i="57"/>
  <c r="G364" i="57"/>
  <c r="F364" i="57"/>
  <c r="E364" i="57"/>
  <c r="D364" i="57"/>
  <c r="C364" i="57"/>
  <c r="G363" i="57"/>
  <c r="F363" i="57"/>
  <c r="E363" i="57"/>
  <c r="D363" i="57"/>
  <c r="C363" i="57"/>
  <c r="G362" i="57"/>
  <c r="F362" i="57"/>
  <c r="E362" i="57"/>
  <c r="D362" i="57"/>
  <c r="C362" i="57"/>
  <c r="G361" i="57"/>
  <c r="F361" i="57"/>
  <c r="E361" i="57"/>
  <c r="D361" i="57"/>
  <c r="C361" i="57"/>
  <c r="G360" i="57"/>
  <c r="F360" i="57"/>
  <c r="E360" i="57"/>
  <c r="D360" i="57"/>
  <c r="C360" i="57"/>
  <c r="G359" i="57"/>
  <c r="F359" i="57"/>
  <c r="E359" i="57"/>
  <c r="D359" i="57"/>
  <c r="C359" i="57"/>
  <c r="G358" i="57"/>
  <c r="F358" i="57"/>
  <c r="E358" i="57"/>
  <c r="D358" i="57"/>
  <c r="C358" i="57"/>
  <c r="G357" i="57"/>
  <c r="F357" i="57"/>
  <c r="E357" i="57"/>
  <c r="D76" i="47" s="1"/>
  <c r="E76" i="47" s="1"/>
  <c r="D357" i="57"/>
  <c r="C357" i="57"/>
  <c r="G356" i="57"/>
  <c r="F356" i="57"/>
  <c r="E356" i="57"/>
  <c r="D356" i="57"/>
  <c r="C356" i="57"/>
  <c r="G355" i="57"/>
  <c r="F355" i="57"/>
  <c r="E355" i="57"/>
  <c r="D75" i="47" s="1"/>
  <c r="E75" i="47" s="1"/>
  <c r="D355" i="57"/>
  <c r="C355" i="57"/>
  <c r="G354" i="57"/>
  <c r="F354" i="57"/>
  <c r="E354" i="57"/>
  <c r="D354" i="57"/>
  <c r="C354" i="57"/>
  <c r="G353" i="57"/>
  <c r="F353" i="57"/>
  <c r="E353" i="57"/>
  <c r="D353" i="57"/>
  <c r="C353" i="57"/>
  <c r="G352" i="57"/>
  <c r="F352" i="57"/>
  <c r="E352" i="57"/>
  <c r="D352" i="57"/>
  <c r="C352" i="57"/>
  <c r="G351" i="57"/>
  <c r="F351" i="57"/>
  <c r="E351" i="57"/>
  <c r="D351" i="57"/>
  <c r="C351" i="57"/>
  <c r="G350" i="57"/>
  <c r="F350" i="57"/>
  <c r="E350" i="57"/>
  <c r="D350" i="57"/>
  <c r="C350" i="57"/>
  <c r="G349" i="57"/>
  <c r="F349" i="57"/>
  <c r="E349" i="57"/>
  <c r="D349" i="57"/>
  <c r="C349" i="57"/>
  <c r="G348" i="57"/>
  <c r="F348" i="57"/>
  <c r="E348" i="57"/>
  <c r="D348" i="57"/>
  <c r="C348" i="57"/>
  <c r="G347" i="57"/>
  <c r="F347" i="57"/>
  <c r="E347" i="57"/>
  <c r="D347" i="57"/>
  <c r="C347" i="57"/>
  <c r="G346" i="57"/>
  <c r="F346" i="57"/>
  <c r="E346" i="57"/>
  <c r="D346" i="57"/>
  <c r="C346" i="57"/>
  <c r="G345" i="57"/>
  <c r="F345" i="57"/>
  <c r="E345" i="57"/>
  <c r="D345" i="57"/>
  <c r="C345" i="57"/>
  <c r="G344" i="57"/>
  <c r="F344" i="57"/>
  <c r="E344" i="57"/>
  <c r="D344" i="57"/>
  <c r="C344" i="57"/>
  <c r="G343" i="57"/>
  <c r="F343" i="57"/>
  <c r="E343" i="57"/>
  <c r="D343" i="57"/>
  <c r="C343" i="57"/>
  <c r="G342" i="57"/>
  <c r="F342" i="57"/>
  <c r="E342" i="57"/>
  <c r="D342" i="57"/>
  <c r="C342" i="57"/>
  <c r="G341" i="57"/>
  <c r="F341" i="57"/>
  <c r="E341" i="57"/>
  <c r="D341" i="57"/>
  <c r="C341" i="57"/>
  <c r="G340" i="57"/>
  <c r="F340" i="57"/>
  <c r="E340" i="57"/>
  <c r="D340" i="57"/>
  <c r="C340" i="57"/>
  <c r="G339" i="57"/>
  <c r="F339" i="57"/>
  <c r="E339" i="57"/>
  <c r="D74" i="47" s="1"/>
  <c r="E74" i="47" s="1"/>
  <c r="D339" i="57"/>
  <c r="C339" i="57"/>
  <c r="G338" i="57"/>
  <c r="F338" i="57"/>
  <c r="E338" i="57"/>
  <c r="D73" i="47" s="1"/>
  <c r="E73" i="47" s="1"/>
  <c r="F73" i="47" s="1"/>
  <c r="D338" i="57"/>
  <c r="C338" i="57"/>
  <c r="G337" i="57"/>
  <c r="F337" i="57"/>
  <c r="E337" i="57"/>
  <c r="D72" i="47" s="1"/>
  <c r="E72" i="47" s="1"/>
  <c r="F72" i="47" s="1"/>
  <c r="D337" i="57"/>
  <c r="C337" i="57"/>
  <c r="G336" i="57"/>
  <c r="F336" i="57"/>
  <c r="E336" i="57"/>
  <c r="D336" i="57"/>
  <c r="C336" i="57"/>
  <c r="G335" i="57"/>
  <c r="F335" i="57"/>
  <c r="E335" i="57"/>
  <c r="D335" i="57"/>
  <c r="C335" i="57"/>
  <c r="G334" i="57"/>
  <c r="F334" i="57"/>
  <c r="E334" i="57"/>
  <c r="H44" i="2" s="1"/>
  <c r="I44" i="2" s="1"/>
  <c r="D334" i="57"/>
  <c r="C334" i="57"/>
  <c r="G333" i="57"/>
  <c r="F333" i="57"/>
  <c r="E333" i="57"/>
  <c r="D333" i="57"/>
  <c r="C333" i="57"/>
  <c r="G332" i="57"/>
  <c r="F332" i="57"/>
  <c r="E332" i="57"/>
  <c r="D332" i="57"/>
  <c r="C332" i="57"/>
  <c r="G331" i="57"/>
  <c r="F331" i="57"/>
  <c r="E331" i="57"/>
  <c r="D331" i="57"/>
  <c r="C331" i="57"/>
  <c r="G330" i="57"/>
  <c r="F330" i="57"/>
  <c r="E330" i="57"/>
  <c r="D330" i="57"/>
  <c r="C330" i="57"/>
  <c r="G329" i="57"/>
  <c r="F329" i="57"/>
  <c r="E329" i="57"/>
  <c r="D329" i="57"/>
  <c r="C329" i="57"/>
  <c r="G328" i="57"/>
  <c r="F328" i="57"/>
  <c r="E328" i="57"/>
  <c r="D328" i="57"/>
  <c r="C328" i="57"/>
  <c r="G327" i="57"/>
  <c r="F327" i="57"/>
  <c r="E327" i="57"/>
  <c r="D327" i="57"/>
  <c r="C327" i="57"/>
  <c r="G326" i="57"/>
  <c r="F326" i="57"/>
  <c r="E326" i="57"/>
  <c r="D326" i="57"/>
  <c r="C326" i="57"/>
  <c r="G325" i="57"/>
  <c r="F325" i="57"/>
  <c r="E325" i="57"/>
  <c r="D70" i="47" s="1"/>
  <c r="F70" i="47" s="1"/>
  <c r="D325" i="57"/>
  <c r="C325" i="57"/>
  <c r="G324" i="57"/>
  <c r="F324" i="57"/>
  <c r="E324" i="57"/>
  <c r="D69" i="47" s="1"/>
  <c r="E69" i="47" s="1"/>
  <c r="D324" i="57"/>
  <c r="C324" i="57"/>
  <c r="G323" i="57"/>
  <c r="F323" i="57"/>
  <c r="E323" i="57"/>
  <c r="D68" i="47" s="1"/>
  <c r="E68" i="47" s="1"/>
  <c r="F68" i="47" s="1"/>
  <c r="D323" i="57"/>
  <c r="C323" i="57"/>
  <c r="G322" i="57"/>
  <c r="F322" i="57"/>
  <c r="E322" i="57"/>
  <c r="D322" i="57"/>
  <c r="C322" i="57"/>
  <c r="G321" i="57"/>
  <c r="F321" i="57"/>
  <c r="E321" i="57"/>
  <c r="D321" i="57"/>
  <c r="C321" i="57"/>
  <c r="G320" i="57"/>
  <c r="F320" i="57"/>
  <c r="E320" i="57"/>
  <c r="D67" i="47" s="1"/>
  <c r="E67" i="47" s="1"/>
  <c r="F67" i="47" s="1"/>
  <c r="D320" i="57"/>
  <c r="C320" i="57"/>
  <c r="G319" i="57"/>
  <c r="F319" i="57"/>
  <c r="E319" i="57"/>
  <c r="D319" i="57"/>
  <c r="C319" i="57"/>
  <c r="G318" i="57"/>
  <c r="F318" i="57"/>
  <c r="E318" i="57"/>
  <c r="D318" i="57"/>
  <c r="C318" i="57"/>
  <c r="G317" i="57"/>
  <c r="F317" i="57"/>
  <c r="E317" i="57"/>
  <c r="D317" i="57"/>
  <c r="C317" i="57"/>
  <c r="G316" i="57"/>
  <c r="F316" i="57"/>
  <c r="E316" i="57"/>
  <c r="D316" i="57"/>
  <c r="C316" i="57"/>
  <c r="G315" i="57"/>
  <c r="F315" i="57"/>
  <c r="E315" i="57"/>
  <c r="D315" i="57"/>
  <c r="C315" i="57"/>
  <c r="G314" i="57"/>
  <c r="F314" i="57"/>
  <c r="E314" i="57"/>
  <c r="D314" i="57"/>
  <c r="C314" i="57"/>
  <c r="G313" i="57"/>
  <c r="F313" i="57"/>
  <c r="E313" i="57"/>
  <c r="D313" i="57"/>
  <c r="C313" i="57"/>
  <c r="G312" i="57"/>
  <c r="F312" i="57"/>
  <c r="E312" i="57"/>
  <c r="D66" i="47" s="1"/>
  <c r="E66" i="47" s="1"/>
  <c r="F66" i="47" s="1"/>
  <c r="D312" i="57"/>
  <c r="C312" i="57"/>
  <c r="G311" i="57"/>
  <c r="F311" i="57"/>
  <c r="E311" i="57"/>
  <c r="D311" i="57"/>
  <c r="C311" i="57"/>
  <c r="G310" i="57"/>
  <c r="F310" i="57"/>
  <c r="E310" i="57"/>
  <c r="D310" i="57"/>
  <c r="C310" i="57"/>
  <c r="G309" i="57"/>
  <c r="F309" i="57"/>
  <c r="E309" i="57"/>
  <c r="D65" i="47" s="1"/>
  <c r="E65" i="47" s="1"/>
  <c r="F65" i="47" s="1"/>
  <c r="D309" i="57"/>
  <c r="C309" i="57"/>
  <c r="G308" i="57"/>
  <c r="F308" i="57"/>
  <c r="E308" i="57"/>
  <c r="D64" i="47" s="1"/>
  <c r="D308" i="57"/>
  <c r="C308" i="57"/>
  <c r="G307" i="57"/>
  <c r="F307" i="57"/>
  <c r="E307" i="57"/>
  <c r="D63" i="47" s="1"/>
  <c r="E63" i="47" s="1"/>
  <c r="F63" i="47" s="1"/>
  <c r="D307" i="57"/>
  <c r="C307" i="57"/>
  <c r="G306" i="57"/>
  <c r="F306" i="57"/>
  <c r="E306" i="57"/>
  <c r="D306" i="57"/>
  <c r="C306" i="57"/>
  <c r="G305" i="57"/>
  <c r="F305" i="57"/>
  <c r="E305" i="57"/>
  <c r="D61" i="47" s="1"/>
  <c r="E61" i="47" s="1"/>
  <c r="D305" i="57"/>
  <c r="C305" i="57"/>
  <c r="G304" i="57"/>
  <c r="F304" i="57"/>
  <c r="E304" i="57"/>
  <c r="D304" i="57"/>
  <c r="C304" i="57"/>
  <c r="G303" i="57"/>
  <c r="F303" i="57"/>
  <c r="E303" i="57"/>
  <c r="D303" i="57"/>
  <c r="C303" i="57"/>
  <c r="G302" i="57"/>
  <c r="F302" i="57"/>
  <c r="E302" i="57"/>
  <c r="D302" i="57"/>
  <c r="C302" i="57"/>
  <c r="G301" i="57"/>
  <c r="F301" i="57"/>
  <c r="E301" i="57"/>
  <c r="D301" i="57"/>
  <c r="C301" i="57"/>
  <c r="G300" i="57"/>
  <c r="F300" i="57"/>
  <c r="E300" i="57"/>
  <c r="D300" i="57"/>
  <c r="C300" i="57"/>
  <c r="G299" i="57"/>
  <c r="F299" i="57"/>
  <c r="E299" i="57"/>
  <c r="D299" i="57"/>
  <c r="C299" i="57"/>
  <c r="G298" i="57"/>
  <c r="F298" i="57"/>
  <c r="E298" i="57"/>
  <c r="D298" i="57"/>
  <c r="C298" i="57"/>
  <c r="G297" i="57"/>
  <c r="F297" i="57"/>
  <c r="E297" i="57"/>
  <c r="D297" i="57"/>
  <c r="C297" i="57"/>
  <c r="G296" i="57"/>
  <c r="F296" i="57"/>
  <c r="E296" i="57"/>
  <c r="D296" i="57"/>
  <c r="C296" i="57"/>
  <c r="G295" i="57"/>
  <c r="F295" i="57"/>
  <c r="E295" i="57"/>
  <c r="D295" i="57"/>
  <c r="C295" i="57"/>
  <c r="G294" i="57"/>
  <c r="F294" i="57"/>
  <c r="E294" i="57"/>
  <c r="D294" i="57"/>
  <c r="C294" i="57"/>
  <c r="G293" i="57"/>
  <c r="F293" i="57"/>
  <c r="E293" i="57"/>
  <c r="C40" i="59" s="1"/>
  <c r="D40" i="59" s="1"/>
  <c r="D293" i="57"/>
  <c r="C293" i="57"/>
  <c r="G292" i="57"/>
  <c r="F292" i="57"/>
  <c r="E292" i="57"/>
  <c r="D292" i="57"/>
  <c r="C292" i="57"/>
  <c r="G291" i="57"/>
  <c r="F291" i="57"/>
  <c r="E291" i="57"/>
  <c r="D291" i="57"/>
  <c r="C291" i="57"/>
  <c r="G290" i="57"/>
  <c r="F290" i="57"/>
  <c r="E290" i="57"/>
  <c r="D290" i="57"/>
  <c r="C290" i="57"/>
  <c r="G289" i="57"/>
  <c r="F289" i="57"/>
  <c r="E289" i="57"/>
  <c r="D289" i="57"/>
  <c r="C289" i="57"/>
  <c r="G288" i="57"/>
  <c r="F288" i="57"/>
  <c r="E288" i="57"/>
  <c r="D288" i="57"/>
  <c r="C288" i="57"/>
  <c r="G287" i="57"/>
  <c r="F287" i="57"/>
  <c r="E287" i="57"/>
  <c r="D287" i="57"/>
  <c r="C287" i="57"/>
  <c r="G286" i="57"/>
  <c r="F286" i="57"/>
  <c r="E286" i="57"/>
  <c r="D286" i="57"/>
  <c r="C286" i="57"/>
  <c r="G285" i="57"/>
  <c r="F285" i="57"/>
  <c r="E285" i="57"/>
  <c r="D285" i="57"/>
  <c r="C285" i="57"/>
  <c r="G284" i="57"/>
  <c r="F284" i="57"/>
  <c r="E284" i="57"/>
  <c r="D284" i="57"/>
  <c r="C284" i="57"/>
  <c r="G283" i="57"/>
  <c r="F283" i="57"/>
  <c r="E283" i="57"/>
  <c r="D283" i="57"/>
  <c r="C283" i="57"/>
  <c r="G282" i="57"/>
  <c r="F282" i="57"/>
  <c r="E282" i="57"/>
  <c r="D282" i="57"/>
  <c r="C282" i="57"/>
  <c r="G281" i="57"/>
  <c r="F281" i="57"/>
  <c r="E281" i="57"/>
  <c r="D281" i="57"/>
  <c r="C281" i="57"/>
  <c r="G280" i="57"/>
  <c r="F280" i="57"/>
  <c r="E280" i="57"/>
  <c r="D280" i="57"/>
  <c r="C280" i="57"/>
  <c r="G279" i="57"/>
  <c r="F279" i="57"/>
  <c r="E279" i="57"/>
  <c r="D279" i="57"/>
  <c r="C279" i="57"/>
  <c r="G278" i="57"/>
  <c r="F278" i="57"/>
  <c r="E278" i="57"/>
  <c r="D278" i="57"/>
  <c r="C278" i="57"/>
  <c r="G277" i="57"/>
  <c r="F277" i="57"/>
  <c r="E277" i="57"/>
  <c r="D277" i="57"/>
  <c r="C277" i="57"/>
  <c r="G276" i="57"/>
  <c r="F276" i="57"/>
  <c r="E276" i="57"/>
  <c r="D276" i="57"/>
  <c r="C276" i="57"/>
  <c r="G275" i="57"/>
  <c r="F275" i="57"/>
  <c r="E275" i="57"/>
  <c r="D275" i="57"/>
  <c r="C275" i="57"/>
  <c r="G274" i="57"/>
  <c r="F274" i="57"/>
  <c r="E274" i="57"/>
  <c r="D274" i="57"/>
  <c r="C274" i="57"/>
  <c r="G273" i="57"/>
  <c r="F273" i="57"/>
  <c r="E273" i="57"/>
  <c r="D273" i="57"/>
  <c r="C273" i="57"/>
  <c r="G272" i="57"/>
  <c r="F272" i="57"/>
  <c r="E272" i="57"/>
  <c r="D272" i="57"/>
  <c r="C272" i="57"/>
  <c r="G271" i="57"/>
  <c r="F271" i="57"/>
  <c r="E271" i="57"/>
  <c r="D271" i="57"/>
  <c r="C271" i="57"/>
  <c r="G270" i="57"/>
  <c r="F270" i="57"/>
  <c r="E270" i="57"/>
  <c r="D270" i="57"/>
  <c r="C270" i="57"/>
  <c r="G269" i="57"/>
  <c r="F269" i="57"/>
  <c r="E269" i="57"/>
  <c r="D269" i="57"/>
  <c r="C269" i="57"/>
  <c r="G268" i="57"/>
  <c r="F268" i="57"/>
  <c r="E268" i="57"/>
  <c r="C39" i="59" s="1"/>
  <c r="D39" i="59" s="1"/>
  <c r="D268" i="57"/>
  <c r="C268" i="57"/>
  <c r="G267" i="57"/>
  <c r="F267" i="57"/>
  <c r="E267" i="57"/>
  <c r="D267" i="57"/>
  <c r="C267" i="57"/>
  <c r="G266" i="57"/>
  <c r="F266" i="57"/>
  <c r="E266" i="57"/>
  <c r="D266" i="57"/>
  <c r="C266" i="57"/>
  <c r="G265" i="57"/>
  <c r="F265" i="57"/>
  <c r="E265" i="57"/>
  <c r="D265" i="57"/>
  <c r="C265" i="57"/>
  <c r="G264" i="57"/>
  <c r="F264" i="57"/>
  <c r="E264" i="57"/>
  <c r="D264" i="57"/>
  <c r="C264" i="57"/>
  <c r="G263" i="57"/>
  <c r="F263" i="57"/>
  <c r="E263" i="57"/>
  <c r="H17" i="2" s="1"/>
  <c r="D263" i="57"/>
  <c r="C263" i="57"/>
  <c r="G262" i="57"/>
  <c r="F262" i="57"/>
  <c r="E262" i="57"/>
  <c r="D262" i="57"/>
  <c r="C262" i="57"/>
  <c r="G261" i="57"/>
  <c r="F261" i="57"/>
  <c r="E261" i="57"/>
  <c r="D261" i="57"/>
  <c r="C261" i="57"/>
  <c r="G260" i="57"/>
  <c r="F260" i="57"/>
  <c r="E260" i="57"/>
  <c r="D260" i="57"/>
  <c r="C260" i="57"/>
  <c r="G259" i="57"/>
  <c r="F259" i="57"/>
  <c r="E259" i="57"/>
  <c r="D259" i="57"/>
  <c r="C259" i="57"/>
  <c r="G258" i="57"/>
  <c r="F258" i="57"/>
  <c r="E258" i="57"/>
  <c r="H16" i="2" s="1"/>
  <c r="D258" i="57"/>
  <c r="C258" i="57"/>
  <c r="G257" i="57"/>
  <c r="F257" i="57"/>
  <c r="E257" i="57"/>
  <c r="H15" i="2" s="1"/>
  <c r="I15" i="2" s="1"/>
  <c r="D257" i="57"/>
  <c r="C257" i="57"/>
  <c r="G256" i="57"/>
  <c r="F256" i="57"/>
  <c r="E256" i="57"/>
  <c r="D256" i="57"/>
  <c r="C256" i="57"/>
  <c r="G255" i="57"/>
  <c r="F255" i="57"/>
  <c r="E255" i="57"/>
  <c r="D255" i="57"/>
  <c r="C255" i="57"/>
  <c r="G254" i="57"/>
  <c r="F254" i="57"/>
  <c r="E254" i="57"/>
  <c r="D254" i="57"/>
  <c r="C254" i="57"/>
  <c r="G253" i="57"/>
  <c r="F253" i="57"/>
  <c r="E253" i="57"/>
  <c r="D253" i="57"/>
  <c r="C253" i="57"/>
  <c r="G252" i="57"/>
  <c r="F252" i="57"/>
  <c r="E252" i="57"/>
  <c r="D252" i="57"/>
  <c r="C252" i="57"/>
  <c r="G251" i="57"/>
  <c r="F251" i="57"/>
  <c r="E251" i="57"/>
  <c r="D251" i="57"/>
  <c r="C251" i="57"/>
  <c r="G250" i="57"/>
  <c r="F250" i="57"/>
  <c r="E250" i="57"/>
  <c r="D250" i="57"/>
  <c r="C250" i="57"/>
  <c r="G249" i="57"/>
  <c r="F249" i="57"/>
  <c r="E249" i="57"/>
  <c r="D249" i="57"/>
  <c r="C249" i="57"/>
  <c r="G248" i="57"/>
  <c r="F248" i="57"/>
  <c r="E248" i="57"/>
  <c r="D248" i="57"/>
  <c r="C248" i="57"/>
  <c r="G247" i="57"/>
  <c r="F247" i="57"/>
  <c r="E247" i="57"/>
  <c r="D247" i="57"/>
  <c r="C247" i="57"/>
  <c r="G246" i="57"/>
  <c r="F246" i="57"/>
  <c r="E246" i="57"/>
  <c r="D246" i="57"/>
  <c r="C246" i="57"/>
  <c r="G245" i="57"/>
  <c r="F245" i="57"/>
  <c r="E245" i="57"/>
  <c r="D245" i="57"/>
  <c r="C245" i="57"/>
  <c r="G244" i="57"/>
  <c r="F244" i="57"/>
  <c r="E244" i="57"/>
  <c r="D244" i="57"/>
  <c r="C244" i="57"/>
  <c r="G243" i="57"/>
  <c r="F243" i="57"/>
  <c r="E243" i="57"/>
  <c r="D243" i="57"/>
  <c r="C243" i="57"/>
  <c r="G242" i="57"/>
  <c r="F242" i="57"/>
  <c r="E242" i="57"/>
  <c r="C38" i="59" s="1"/>
  <c r="D38" i="59" s="1"/>
  <c r="D242" i="57"/>
  <c r="C242" i="57"/>
  <c r="G241" i="57"/>
  <c r="F241" i="57"/>
  <c r="E241" i="57"/>
  <c r="D241" i="57"/>
  <c r="C241" i="57"/>
  <c r="G240" i="57"/>
  <c r="F240" i="57"/>
  <c r="E240" i="57"/>
  <c r="D240" i="57"/>
  <c r="C240" i="57"/>
  <c r="G239" i="57"/>
  <c r="F239" i="57"/>
  <c r="E239" i="57"/>
  <c r="D239" i="57"/>
  <c r="C239" i="57"/>
  <c r="G238" i="57"/>
  <c r="F238" i="57"/>
  <c r="E238" i="57"/>
  <c r="D238" i="57"/>
  <c r="C238" i="57"/>
  <c r="G237" i="57"/>
  <c r="F237" i="57"/>
  <c r="E237" i="57"/>
  <c r="D237" i="57"/>
  <c r="C237" i="57"/>
  <c r="G236" i="57"/>
  <c r="F236" i="57"/>
  <c r="E236" i="57"/>
  <c r="D236" i="57"/>
  <c r="C236" i="57"/>
  <c r="G235" i="57"/>
  <c r="F235" i="57"/>
  <c r="D235" i="57"/>
  <c r="C235" i="57"/>
  <c r="G234" i="57"/>
  <c r="F234" i="57"/>
  <c r="E234" i="57"/>
  <c r="D234" i="57"/>
  <c r="C234" i="57"/>
  <c r="G233" i="57"/>
  <c r="F233" i="57"/>
  <c r="E233" i="57"/>
  <c r="D233" i="57"/>
  <c r="C233" i="57"/>
  <c r="G232" i="57"/>
  <c r="F232" i="57"/>
  <c r="E232" i="57"/>
  <c r="D232" i="57"/>
  <c r="C232" i="57"/>
  <c r="G231" i="57"/>
  <c r="F231" i="57"/>
  <c r="E231" i="57"/>
  <c r="D231" i="57"/>
  <c r="C231" i="57"/>
  <c r="G230" i="57"/>
  <c r="F230" i="57"/>
  <c r="E230" i="57"/>
  <c r="D230" i="57"/>
  <c r="C230" i="57"/>
  <c r="G229" i="57"/>
  <c r="F229" i="57"/>
  <c r="E229" i="57"/>
  <c r="D229" i="57"/>
  <c r="C229" i="57"/>
  <c r="G228" i="57"/>
  <c r="F228" i="57"/>
  <c r="E228" i="57"/>
  <c r="D228" i="57"/>
  <c r="C228" i="57"/>
  <c r="G227" i="57"/>
  <c r="F227" i="57"/>
  <c r="E227" i="57"/>
  <c r="D227" i="57"/>
  <c r="C227" i="57"/>
  <c r="G226" i="57"/>
  <c r="F226" i="57"/>
  <c r="E226" i="57"/>
  <c r="D226" i="57"/>
  <c r="C226" i="57"/>
  <c r="G225" i="57"/>
  <c r="F225" i="57"/>
  <c r="E225" i="57"/>
  <c r="D225" i="57"/>
  <c r="C225" i="57"/>
  <c r="G224" i="57"/>
  <c r="F224" i="57"/>
  <c r="E224" i="57"/>
  <c r="D224" i="57"/>
  <c r="C224" i="57"/>
  <c r="G223" i="57"/>
  <c r="F223" i="57"/>
  <c r="E223" i="57"/>
  <c r="D223" i="57"/>
  <c r="C223" i="57"/>
  <c r="G222" i="57"/>
  <c r="F222" i="57"/>
  <c r="E222" i="57"/>
  <c r="D222" i="57"/>
  <c r="C222" i="57"/>
  <c r="G221" i="57"/>
  <c r="F221" i="57"/>
  <c r="E221" i="57"/>
  <c r="D221" i="57"/>
  <c r="C221" i="57"/>
  <c r="G220" i="57"/>
  <c r="F220" i="57"/>
  <c r="E220" i="57"/>
  <c r="D220" i="57"/>
  <c r="C220" i="57"/>
  <c r="G219" i="57"/>
  <c r="F219" i="57"/>
  <c r="E219" i="57"/>
  <c r="D219" i="57"/>
  <c r="C219" i="57"/>
  <c r="G218" i="57"/>
  <c r="F218" i="57"/>
  <c r="E218" i="57"/>
  <c r="H47" i="2" s="1"/>
  <c r="D218" i="57"/>
  <c r="C218" i="57"/>
  <c r="G217" i="57"/>
  <c r="F217" i="57"/>
  <c r="E217" i="57"/>
  <c r="D217" i="57"/>
  <c r="C217" i="57"/>
  <c r="G216" i="57"/>
  <c r="F216" i="57"/>
  <c r="E216" i="57"/>
  <c r="D216" i="57"/>
  <c r="C216" i="57"/>
  <c r="G215" i="57"/>
  <c r="F215" i="57"/>
  <c r="E215" i="57"/>
  <c r="D215" i="57"/>
  <c r="C215" i="57"/>
  <c r="G214" i="57"/>
  <c r="F214" i="57"/>
  <c r="E214" i="57"/>
  <c r="D214" i="57"/>
  <c r="C214" i="57"/>
  <c r="G213" i="57"/>
  <c r="F213" i="57"/>
  <c r="E213" i="57"/>
  <c r="D213" i="57"/>
  <c r="C213" i="57"/>
  <c r="G212" i="57"/>
  <c r="F212" i="57"/>
  <c r="E212" i="57"/>
  <c r="D212" i="57"/>
  <c r="C212" i="57"/>
  <c r="G211" i="57"/>
  <c r="F211" i="57"/>
  <c r="E211" i="57"/>
  <c r="D211" i="57"/>
  <c r="C211" i="57"/>
  <c r="G210" i="57"/>
  <c r="F210" i="57"/>
  <c r="E210" i="57"/>
  <c r="D210" i="57"/>
  <c r="C210" i="57"/>
  <c r="G209" i="57"/>
  <c r="F209" i="57"/>
  <c r="E209" i="57"/>
  <c r="D209" i="57"/>
  <c r="C209" i="57"/>
  <c r="G208" i="57"/>
  <c r="F208" i="57"/>
  <c r="E208" i="57"/>
  <c r="D208" i="57"/>
  <c r="C208" i="57"/>
  <c r="G207" i="57"/>
  <c r="F207" i="57"/>
  <c r="E207" i="57"/>
  <c r="D207" i="57"/>
  <c r="C207" i="57"/>
  <c r="G206" i="57"/>
  <c r="F206" i="57"/>
  <c r="E206" i="57"/>
  <c r="D206" i="57"/>
  <c r="C206" i="57"/>
  <c r="G205" i="57"/>
  <c r="F205" i="57"/>
  <c r="E205" i="57"/>
  <c r="D205" i="57"/>
  <c r="C205" i="57"/>
  <c r="G204" i="57"/>
  <c r="F204" i="57"/>
  <c r="E204" i="57"/>
  <c r="D204" i="57"/>
  <c r="C204" i="57"/>
  <c r="G203" i="57"/>
  <c r="F203" i="57"/>
  <c r="E203" i="57"/>
  <c r="D203" i="57"/>
  <c r="C203" i="57"/>
  <c r="G202" i="57"/>
  <c r="F202" i="57"/>
  <c r="E202" i="57"/>
  <c r="D202" i="57"/>
  <c r="C202" i="57"/>
  <c r="G201" i="57"/>
  <c r="F201" i="57"/>
  <c r="E201" i="57"/>
  <c r="D201" i="57"/>
  <c r="C201" i="57"/>
  <c r="G200" i="57"/>
  <c r="F200" i="57"/>
  <c r="E200" i="57"/>
  <c r="D200" i="57"/>
  <c r="C200" i="57"/>
  <c r="G199" i="57"/>
  <c r="F199" i="57"/>
  <c r="E199" i="57"/>
  <c r="D199" i="57"/>
  <c r="C199" i="57"/>
  <c r="G198" i="57"/>
  <c r="F198" i="57"/>
  <c r="E198" i="57"/>
  <c r="D198" i="57"/>
  <c r="C198" i="57"/>
  <c r="G197" i="57"/>
  <c r="F197" i="57"/>
  <c r="E197" i="57"/>
  <c r="D197" i="57"/>
  <c r="C197" i="57"/>
  <c r="G196" i="57"/>
  <c r="F196" i="57"/>
  <c r="E196" i="57"/>
  <c r="D196" i="57"/>
  <c r="C196" i="57"/>
  <c r="G195" i="57"/>
  <c r="F195" i="57"/>
  <c r="E195" i="57"/>
  <c r="D195" i="57"/>
  <c r="C195" i="57"/>
  <c r="G194" i="57"/>
  <c r="F194" i="57"/>
  <c r="E194" i="57"/>
  <c r="D194" i="57"/>
  <c r="C194" i="57"/>
  <c r="G193" i="57"/>
  <c r="F193" i="57"/>
  <c r="E193" i="57"/>
  <c r="D193" i="57"/>
  <c r="C193" i="57"/>
  <c r="G192" i="57"/>
  <c r="F192" i="57"/>
  <c r="E192" i="57"/>
  <c r="D192" i="57"/>
  <c r="C192" i="57"/>
  <c r="G191" i="57"/>
  <c r="F191" i="57"/>
  <c r="E191" i="57"/>
  <c r="D191" i="57"/>
  <c r="C191" i="57"/>
  <c r="G190" i="57"/>
  <c r="F190" i="57"/>
  <c r="E190" i="57"/>
  <c r="D190" i="57"/>
  <c r="C190" i="57"/>
  <c r="G189" i="57"/>
  <c r="F189" i="57"/>
  <c r="E189" i="57"/>
  <c r="D189" i="57"/>
  <c r="C189" i="57"/>
  <c r="G188" i="57"/>
  <c r="F188" i="57"/>
  <c r="E188" i="57"/>
  <c r="D188" i="57"/>
  <c r="C188" i="57"/>
  <c r="G187" i="57"/>
  <c r="F187" i="57"/>
  <c r="E187" i="57"/>
  <c r="D187" i="57"/>
  <c r="C187" i="57"/>
  <c r="G186" i="57"/>
  <c r="F186" i="57"/>
  <c r="E186" i="57"/>
  <c r="D186" i="57"/>
  <c r="C186" i="57"/>
  <c r="G185" i="57"/>
  <c r="F185" i="57"/>
  <c r="E185" i="57"/>
  <c r="D185" i="57"/>
  <c r="C185" i="57"/>
  <c r="G184" i="57"/>
  <c r="F184" i="57"/>
  <c r="E184" i="57"/>
  <c r="D184" i="57"/>
  <c r="C184" i="57"/>
  <c r="G183" i="57"/>
  <c r="F183" i="57"/>
  <c r="E183" i="57"/>
  <c r="D183" i="57"/>
  <c r="C183" i="57"/>
  <c r="G182" i="57"/>
  <c r="F182" i="57"/>
  <c r="E182" i="57"/>
  <c r="D182" i="57"/>
  <c r="C182" i="57"/>
  <c r="G181" i="57"/>
  <c r="F181" i="57"/>
  <c r="E181" i="57"/>
  <c r="D181" i="57"/>
  <c r="C181" i="57"/>
  <c r="G180" i="57"/>
  <c r="F180" i="57"/>
  <c r="E180" i="57"/>
  <c r="D180" i="57"/>
  <c r="C180" i="57"/>
  <c r="G179" i="57"/>
  <c r="F179" i="57"/>
  <c r="E179" i="57"/>
  <c r="D179" i="57"/>
  <c r="C179" i="57"/>
  <c r="G178" i="57"/>
  <c r="F178" i="57"/>
  <c r="E178" i="57"/>
  <c r="D178" i="57"/>
  <c r="C178" i="57"/>
  <c r="G177" i="57"/>
  <c r="F177" i="57"/>
  <c r="E177" i="57"/>
  <c r="D177" i="57"/>
  <c r="C177" i="57"/>
  <c r="G176" i="57"/>
  <c r="F176" i="57"/>
  <c r="E176" i="57"/>
  <c r="D176" i="57"/>
  <c r="C176" i="57"/>
  <c r="G175" i="57"/>
  <c r="F175" i="57"/>
  <c r="E175" i="57"/>
  <c r="D175" i="57"/>
  <c r="C175" i="57"/>
  <c r="G174" i="57"/>
  <c r="F174" i="57"/>
  <c r="E174" i="57"/>
  <c r="D174" i="57"/>
  <c r="C174" i="57"/>
  <c r="G173" i="57"/>
  <c r="F173" i="57"/>
  <c r="E173" i="57"/>
  <c r="D173" i="57"/>
  <c r="C173" i="57"/>
  <c r="G172" i="57"/>
  <c r="F172" i="57"/>
  <c r="E172" i="57"/>
  <c r="D172" i="57"/>
  <c r="C172" i="57"/>
  <c r="G171" i="57"/>
  <c r="F171" i="57"/>
  <c r="E171" i="57"/>
  <c r="D171" i="57"/>
  <c r="C171" i="57"/>
  <c r="G170" i="57"/>
  <c r="F170" i="57"/>
  <c r="E170" i="57"/>
  <c r="D170" i="57"/>
  <c r="C170" i="57"/>
  <c r="G169" i="57"/>
  <c r="F169" i="57"/>
  <c r="E169" i="57"/>
  <c r="D169" i="57"/>
  <c r="C169" i="57"/>
  <c r="G168" i="57"/>
  <c r="F168" i="57"/>
  <c r="E168" i="57"/>
  <c r="D168" i="57"/>
  <c r="C168" i="57"/>
  <c r="G167" i="57"/>
  <c r="F167" i="57"/>
  <c r="E167" i="57"/>
  <c r="D167" i="57"/>
  <c r="C167" i="57"/>
  <c r="G166" i="57"/>
  <c r="F166" i="57"/>
  <c r="E166" i="57"/>
  <c r="H49" i="2" s="1"/>
  <c r="D166" i="57"/>
  <c r="C166" i="57"/>
  <c r="G165" i="57"/>
  <c r="F165" i="57"/>
  <c r="E165" i="57"/>
  <c r="D165" i="57"/>
  <c r="C165" i="57"/>
  <c r="G164" i="57"/>
  <c r="F164" i="57"/>
  <c r="E164" i="57"/>
  <c r="D66" i="61" s="1"/>
  <c r="G66" i="61" s="1"/>
  <c r="D164" i="57"/>
  <c r="C164" i="57"/>
  <c r="G163" i="57"/>
  <c r="F163" i="57"/>
  <c r="E163" i="57"/>
  <c r="D65" i="61" s="1"/>
  <c r="G65" i="61" s="1"/>
  <c r="D163" i="57"/>
  <c r="C163" i="57"/>
  <c r="G162" i="57"/>
  <c r="F162" i="57"/>
  <c r="E162" i="57"/>
  <c r="D162" i="57"/>
  <c r="C162" i="57"/>
  <c r="G161" i="57"/>
  <c r="F161" i="57"/>
  <c r="E161" i="57"/>
  <c r="D161" i="57"/>
  <c r="C161" i="57"/>
  <c r="G160" i="57"/>
  <c r="F160" i="57"/>
  <c r="E160" i="57"/>
  <c r="D160" i="57"/>
  <c r="C160" i="57"/>
  <c r="G159" i="57"/>
  <c r="F159" i="57"/>
  <c r="E159" i="57"/>
  <c r="D159" i="57"/>
  <c r="C159" i="57"/>
  <c r="G158" i="57"/>
  <c r="F158" i="57"/>
  <c r="E158" i="57"/>
  <c r="D158" i="57"/>
  <c r="C158" i="57"/>
  <c r="G157" i="57"/>
  <c r="F157" i="57"/>
  <c r="E157" i="57"/>
  <c r="D157" i="57"/>
  <c r="C157" i="57"/>
  <c r="G156" i="57"/>
  <c r="F156" i="57"/>
  <c r="E156" i="57"/>
  <c r="D156" i="57"/>
  <c r="C156" i="57"/>
  <c r="G155" i="57"/>
  <c r="F155" i="57"/>
  <c r="E155" i="57"/>
  <c r="D155" i="57"/>
  <c r="C155" i="57"/>
  <c r="G154" i="57"/>
  <c r="F154" i="57"/>
  <c r="E154" i="57"/>
  <c r="D154" i="57"/>
  <c r="C154" i="57"/>
  <c r="G153" i="57"/>
  <c r="F153" i="57"/>
  <c r="E153" i="57"/>
  <c r="D153" i="57"/>
  <c r="C153" i="57"/>
  <c r="G152" i="57"/>
  <c r="F152" i="57"/>
  <c r="E152" i="57"/>
  <c r="D152" i="57"/>
  <c r="C152" i="57"/>
  <c r="G151" i="57"/>
  <c r="F151" i="57"/>
  <c r="E151" i="57"/>
  <c r="D151" i="57"/>
  <c r="C151" i="57"/>
  <c r="G150" i="57"/>
  <c r="F150" i="57"/>
  <c r="E150" i="57"/>
  <c r="D150" i="57"/>
  <c r="C150" i="57"/>
  <c r="G149" i="57"/>
  <c r="F149" i="57"/>
  <c r="E149" i="57"/>
  <c r="D149" i="57"/>
  <c r="C149" i="57"/>
  <c r="G148" i="57"/>
  <c r="F148" i="57"/>
  <c r="E148" i="57"/>
  <c r="D148" i="57"/>
  <c r="C148" i="57"/>
  <c r="G147" i="57"/>
  <c r="F147" i="57"/>
  <c r="E147" i="57"/>
  <c r="D147" i="57"/>
  <c r="C147" i="57"/>
  <c r="G146" i="57"/>
  <c r="F146" i="57"/>
  <c r="E146" i="57"/>
  <c r="D146" i="57"/>
  <c r="C146" i="57"/>
  <c r="G145" i="57"/>
  <c r="F145" i="57"/>
  <c r="E145" i="57"/>
  <c r="D145" i="57"/>
  <c r="C145" i="57"/>
  <c r="G144" i="57"/>
  <c r="F144" i="57"/>
  <c r="E144" i="57"/>
  <c r="D144" i="57"/>
  <c r="C144" i="57"/>
  <c r="G143" i="57"/>
  <c r="F143" i="57"/>
  <c r="E143" i="57"/>
  <c r="D143" i="57"/>
  <c r="C143" i="57"/>
  <c r="G142" i="57"/>
  <c r="F142" i="57"/>
  <c r="E142" i="57"/>
  <c r="D142" i="57"/>
  <c r="C142" i="57"/>
  <c r="G141" i="57"/>
  <c r="F141" i="57"/>
  <c r="E141" i="57"/>
  <c r="D141" i="57"/>
  <c r="C141" i="57"/>
  <c r="G140" i="57"/>
  <c r="F140" i="57"/>
  <c r="E140" i="57"/>
  <c r="D140" i="57"/>
  <c r="C140" i="57"/>
  <c r="G139" i="57"/>
  <c r="F139" i="57"/>
  <c r="E139" i="57"/>
  <c r="D139" i="57"/>
  <c r="C139" i="57"/>
  <c r="G138" i="57"/>
  <c r="F138" i="57"/>
  <c r="E138" i="57"/>
  <c r="D138" i="57"/>
  <c r="C138" i="57"/>
  <c r="G137" i="57"/>
  <c r="F137" i="57"/>
  <c r="E137" i="57"/>
  <c r="D137" i="57"/>
  <c r="C137" i="57"/>
  <c r="G136" i="57"/>
  <c r="F136" i="57"/>
  <c r="E136" i="57"/>
  <c r="D136" i="57"/>
  <c r="C136" i="57"/>
  <c r="G135" i="57"/>
  <c r="F135" i="57"/>
  <c r="E135" i="57"/>
  <c r="D135" i="57"/>
  <c r="C135" i="57"/>
  <c r="G134" i="57"/>
  <c r="F134" i="57"/>
  <c r="E134" i="57"/>
  <c r="D134" i="57"/>
  <c r="C134" i="57"/>
  <c r="G133" i="57"/>
  <c r="F133" i="57"/>
  <c r="E133" i="57"/>
  <c r="D133" i="57"/>
  <c r="C133" i="57"/>
  <c r="G132" i="57"/>
  <c r="F132" i="57"/>
  <c r="E132" i="57"/>
  <c r="D132" i="57"/>
  <c r="C132" i="57"/>
  <c r="G131" i="57"/>
  <c r="F131" i="57"/>
  <c r="E131" i="57"/>
  <c r="D131" i="57"/>
  <c r="C131" i="57"/>
  <c r="G130" i="57"/>
  <c r="F130" i="57"/>
  <c r="E130" i="57"/>
  <c r="D130" i="57"/>
  <c r="C130" i="57"/>
  <c r="G129" i="57"/>
  <c r="F129" i="57"/>
  <c r="E129" i="57"/>
  <c r="D129" i="57"/>
  <c r="C129" i="57"/>
  <c r="G128" i="57"/>
  <c r="F128" i="57"/>
  <c r="E128" i="57"/>
  <c r="D128" i="57"/>
  <c r="C128" i="57"/>
  <c r="G127" i="57"/>
  <c r="F127" i="57"/>
  <c r="E127" i="57"/>
  <c r="D127" i="57"/>
  <c r="C127" i="57"/>
  <c r="G126" i="57"/>
  <c r="F126" i="57"/>
  <c r="E126" i="57"/>
  <c r="D126" i="57"/>
  <c r="C126" i="57"/>
  <c r="G125" i="57"/>
  <c r="F125" i="57"/>
  <c r="E125" i="57"/>
  <c r="D125" i="57"/>
  <c r="C125" i="57"/>
  <c r="G124" i="57"/>
  <c r="F124" i="57"/>
  <c r="E124" i="57"/>
  <c r="D124" i="57"/>
  <c r="C124" i="57"/>
  <c r="G123" i="57"/>
  <c r="F123" i="57"/>
  <c r="E123" i="57"/>
  <c r="D123" i="57"/>
  <c r="C123" i="57"/>
  <c r="G122" i="57"/>
  <c r="F122" i="57"/>
  <c r="E122" i="57"/>
  <c r="D122" i="57"/>
  <c r="C122" i="57"/>
  <c r="G121" i="57"/>
  <c r="F121" i="57"/>
  <c r="E121" i="57"/>
  <c r="D121" i="57"/>
  <c r="C121" i="57"/>
  <c r="G120" i="57"/>
  <c r="F120" i="57"/>
  <c r="E120" i="57"/>
  <c r="D120" i="57"/>
  <c r="C120" i="57"/>
  <c r="G119" i="57"/>
  <c r="F119" i="57"/>
  <c r="E119" i="57"/>
  <c r="D119" i="57"/>
  <c r="C119" i="57"/>
  <c r="G118" i="57"/>
  <c r="F118" i="57"/>
  <c r="E118" i="57"/>
  <c r="D118" i="57"/>
  <c r="C118" i="57"/>
  <c r="G117" i="57"/>
  <c r="F117" i="57"/>
  <c r="E117" i="57"/>
  <c r="D117" i="57"/>
  <c r="C117" i="57"/>
  <c r="G116" i="57"/>
  <c r="F116" i="57"/>
  <c r="E116" i="57"/>
  <c r="D116" i="57"/>
  <c r="C116" i="57"/>
  <c r="G115" i="57"/>
  <c r="F115" i="57"/>
  <c r="E115" i="57"/>
  <c r="D115" i="57"/>
  <c r="C115" i="57"/>
  <c r="G114" i="57"/>
  <c r="F114" i="57"/>
  <c r="E114" i="57"/>
  <c r="D114" i="57"/>
  <c r="C114" i="57"/>
  <c r="G113" i="57"/>
  <c r="F113" i="57"/>
  <c r="E113" i="57"/>
  <c r="D113" i="57"/>
  <c r="C113" i="57"/>
  <c r="G112" i="57"/>
  <c r="F112" i="57"/>
  <c r="E112" i="57"/>
  <c r="D112" i="57"/>
  <c r="C112" i="57"/>
  <c r="G111" i="57"/>
  <c r="F111" i="57"/>
  <c r="E111" i="57"/>
  <c r="D111" i="57"/>
  <c r="C111" i="57"/>
  <c r="G110" i="57"/>
  <c r="F110" i="57"/>
  <c r="E110" i="57"/>
  <c r="D110" i="57"/>
  <c r="C110" i="57"/>
  <c r="G109" i="57"/>
  <c r="F109" i="57"/>
  <c r="E109" i="57"/>
  <c r="D109" i="57"/>
  <c r="C109" i="57"/>
  <c r="G108" i="57"/>
  <c r="F108" i="57"/>
  <c r="E108" i="57"/>
  <c r="D108" i="57"/>
  <c r="C108" i="57"/>
  <c r="G107" i="57"/>
  <c r="F107" i="57"/>
  <c r="E107" i="57"/>
  <c r="D107" i="57"/>
  <c r="C107" i="57"/>
  <c r="G106" i="57"/>
  <c r="F106" i="57"/>
  <c r="E106" i="57"/>
  <c r="D106" i="57"/>
  <c r="C106" i="57"/>
  <c r="G105" i="57"/>
  <c r="F105" i="57"/>
  <c r="E105" i="57"/>
  <c r="D105" i="57"/>
  <c r="C105" i="57"/>
  <c r="G104" i="57"/>
  <c r="F104" i="57"/>
  <c r="E104" i="57"/>
  <c r="D104" i="57"/>
  <c r="C104" i="57"/>
  <c r="G103" i="57"/>
  <c r="F103" i="57"/>
  <c r="E103" i="57"/>
  <c r="D103" i="57"/>
  <c r="C103" i="57"/>
  <c r="G102" i="57"/>
  <c r="F102" i="57"/>
  <c r="E102" i="57"/>
  <c r="D102" i="57"/>
  <c r="C102" i="57"/>
  <c r="G101" i="57"/>
  <c r="F101" i="57"/>
  <c r="E101" i="57"/>
  <c r="D101" i="57"/>
  <c r="C101" i="57"/>
  <c r="G100" i="57"/>
  <c r="F100" i="57"/>
  <c r="E100" i="57"/>
  <c r="D100" i="57"/>
  <c r="C100" i="57"/>
  <c r="G99" i="57"/>
  <c r="F99" i="57"/>
  <c r="E99" i="57"/>
  <c r="D99" i="57"/>
  <c r="C99" i="57"/>
  <c r="G98" i="57"/>
  <c r="F98" i="57"/>
  <c r="E98" i="57"/>
  <c r="D98" i="57"/>
  <c r="C98" i="57"/>
  <c r="G97" i="57"/>
  <c r="F97" i="57"/>
  <c r="E97" i="57"/>
  <c r="D97" i="57"/>
  <c r="C97" i="57"/>
  <c r="G96" i="57"/>
  <c r="F96" i="57"/>
  <c r="E96" i="57"/>
  <c r="D96" i="57"/>
  <c r="C96" i="57"/>
  <c r="G95" i="57"/>
  <c r="F95" i="57"/>
  <c r="E95" i="57"/>
  <c r="D95" i="57"/>
  <c r="C95" i="57"/>
  <c r="G94" i="57"/>
  <c r="F94" i="57"/>
  <c r="E94" i="57"/>
  <c r="D94" i="57"/>
  <c r="C94" i="57"/>
  <c r="G93" i="57"/>
  <c r="F93" i="57"/>
  <c r="E93" i="57"/>
  <c r="D93" i="57"/>
  <c r="C93" i="57"/>
  <c r="G92" i="57"/>
  <c r="F92" i="57"/>
  <c r="E92" i="57"/>
  <c r="D92" i="57"/>
  <c r="C92" i="57"/>
  <c r="G91" i="57"/>
  <c r="F91" i="57"/>
  <c r="E91" i="57"/>
  <c r="D91" i="57"/>
  <c r="C91" i="57"/>
  <c r="G90" i="57"/>
  <c r="F90" i="57"/>
  <c r="E90" i="57"/>
  <c r="D90" i="57"/>
  <c r="C90" i="57"/>
  <c r="G89" i="57"/>
  <c r="F89" i="57"/>
  <c r="E89" i="57"/>
  <c r="D89" i="57"/>
  <c r="C89" i="57"/>
  <c r="G88" i="57"/>
  <c r="F88" i="57"/>
  <c r="E88" i="57"/>
  <c r="D88" i="57"/>
  <c r="C88" i="57"/>
  <c r="G87" i="57"/>
  <c r="F87" i="57"/>
  <c r="E87" i="57"/>
  <c r="D87" i="57"/>
  <c r="C87" i="57"/>
  <c r="G86" i="57"/>
  <c r="F86" i="57"/>
  <c r="E86" i="57"/>
  <c r="D86" i="57"/>
  <c r="C86" i="57"/>
  <c r="G85" i="57"/>
  <c r="F85" i="57"/>
  <c r="E85" i="57"/>
  <c r="D85" i="57"/>
  <c r="C85" i="57"/>
  <c r="G84" i="57"/>
  <c r="F84" i="57"/>
  <c r="E84" i="57"/>
  <c r="D84" i="57"/>
  <c r="C84" i="57"/>
  <c r="G83" i="57"/>
  <c r="F83" i="57"/>
  <c r="E83" i="57"/>
  <c r="D83" i="57"/>
  <c r="C83" i="57"/>
  <c r="G82" i="57"/>
  <c r="F82" i="57"/>
  <c r="E82" i="57"/>
  <c r="D82" i="57"/>
  <c r="C82" i="57"/>
  <c r="G81" i="57"/>
  <c r="F81" i="57"/>
  <c r="E81" i="57"/>
  <c r="D81" i="57"/>
  <c r="C81" i="57"/>
  <c r="G80" i="57"/>
  <c r="F80" i="57"/>
  <c r="E80" i="57"/>
  <c r="D80" i="57"/>
  <c r="C80" i="57"/>
  <c r="G79" i="57"/>
  <c r="F79" i="57"/>
  <c r="E79" i="57"/>
  <c r="D79" i="57"/>
  <c r="C79" i="57"/>
  <c r="G78" i="57"/>
  <c r="F78" i="57"/>
  <c r="E78" i="57"/>
  <c r="D78" i="57"/>
  <c r="C78" i="57"/>
  <c r="G77" i="57"/>
  <c r="F77" i="57"/>
  <c r="E77" i="57"/>
  <c r="D77" i="57"/>
  <c r="C77" i="57"/>
  <c r="G76" i="57"/>
  <c r="F76" i="57"/>
  <c r="E76" i="57"/>
  <c r="D76" i="57"/>
  <c r="C76" i="57"/>
  <c r="G75" i="57"/>
  <c r="F75" i="57"/>
  <c r="E75" i="57"/>
  <c r="D75" i="57"/>
  <c r="C75" i="57"/>
  <c r="G74" i="57"/>
  <c r="F74" i="57"/>
  <c r="E74" i="57"/>
  <c r="D74" i="57"/>
  <c r="C74" i="57"/>
  <c r="G73" i="57"/>
  <c r="F73" i="57"/>
  <c r="E73" i="57"/>
  <c r="D73" i="57"/>
  <c r="C73" i="57"/>
  <c r="G72" i="57"/>
  <c r="F72" i="57"/>
  <c r="E72" i="57"/>
  <c r="D72" i="57"/>
  <c r="C72" i="57"/>
  <c r="G71" i="57"/>
  <c r="F71" i="57"/>
  <c r="E71" i="57"/>
  <c r="D71" i="57"/>
  <c r="C71" i="57"/>
  <c r="G70" i="57"/>
  <c r="F70" i="57"/>
  <c r="E70" i="57"/>
  <c r="D70" i="57"/>
  <c r="C70" i="57"/>
  <c r="G69" i="57"/>
  <c r="F69" i="57"/>
  <c r="E69" i="57"/>
  <c r="D69" i="57"/>
  <c r="C69" i="57"/>
  <c r="G68" i="57"/>
  <c r="F68" i="57"/>
  <c r="E68" i="57"/>
  <c r="D68" i="57"/>
  <c r="C68" i="57"/>
  <c r="G67" i="57"/>
  <c r="F67" i="57"/>
  <c r="E67" i="57"/>
  <c r="D67" i="57"/>
  <c r="C67" i="57"/>
  <c r="G66" i="57"/>
  <c r="F66" i="57"/>
  <c r="E66" i="57"/>
  <c r="D66" i="57"/>
  <c r="C66" i="57"/>
  <c r="G65" i="57"/>
  <c r="F65" i="57"/>
  <c r="E65" i="57"/>
  <c r="D65" i="57"/>
  <c r="C65" i="57"/>
  <c r="G64" i="57"/>
  <c r="F64" i="57"/>
  <c r="E64" i="57"/>
  <c r="D64" i="57"/>
  <c r="C64" i="57"/>
  <c r="G63" i="57"/>
  <c r="F63" i="57"/>
  <c r="E63" i="57"/>
  <c r="D63" i="57"/>
  <c r="C63" i="57"/>
  <c r="G62" i="57"/>
  <c r="F62" i="57"/>
  <c r="E62" i="57"/>
  <c r="D62" i="57"/>
  <c r="C62" i="57"/>
  <c r="G61" i="57"/>
  <c r="F61" i="57"/>
  <c r="E61" i="57"/>
  <c r="D61" i="57"/>
  <c r="C61" i="57"/>
  <c r="G60" i="57"/>
  <c r="F60" i="57"/>
  <c r="E60" i="57"/>
  <c r="D60" i="57"/>
  <c r="C60" i="57"/>
  <c r="G59" i="57"/>
  <c r="F59" i="57"/>
  <c r="E59" i="57"/>
  <c r="D59" i="57"/>
  <c r="C59" i="57"/>
  <c r="G58" i="57"/>
  <c r="F58" i="57"/>
  <c r="E58" i="57"/>
  <c r="D58" i="57"/>
  <c r="C58" i="57"/>
  <c r="G57" i="57"/>
  <c r="F57" i="57"/>
  <c r="E57" i="57"/>
  <c r="D57" i="57"/>
  <c r="C57" i="57"/>
  <c r="G56" i="57"/>
  <c r="F56" i="57"/>
  <c r="E56" i="57"/>
  <c r="D56" i="57"/>
  <c r="C56" i="57"/>
  <c r="G55" i="57"/>
  <c r="F55" i="57"/>
  <c r="E55" i="57"/>
  <c r="D55" i="57"/>
  <c r="C55" i="57"/>
  <c r="G54" i="57"/>
  <c r="F54" i="57"/>
  <c r="E54" i="57"/>
  <c r="D54" i="57"/>
  <c r="C54" i="57"/>
  <c r="G53" i="57"/>
  <c r="F53" i="57"/>
  <c r="E53" i="57"/>
  <c r="D53" i="57"/>
  <c r="C53" i="57"/>
  <c r="G52" i="57"/>
  <c r="F52" i="57"/>
  <c r="E52" i="57"/>
  <c r="D52" i="57"/>
  <c r="C52" i="57"/>
  <c r="G51" i="57"/>
  <c r="F51" i="57"/>
  <c r="E51" i="57"/>
  <c r="D51" i="57"/>
  <c r="C51" i="57"/>
  <c r="G50" i="57"/>
  <c r="F50" i="57"/>
  <c r="E50" i="57"/>
  <c r="D50" i="57"/>
  <c r="C50" i="57"/>
  <c r="G49" i="57"/>
  <c r="F49" i="57"/>
  <c r="E49" i="57"/>
  <c r="D49" i="57"/>
  <c r="C49" i="57"/>
  <c r="G48" i="57"/>
  <c r="F48" i="57"/>
  <c r="E48" i="57"/>
  <c r="D48" i="57"/>
  <c r="C48" i="57"/>
  <c r="G47" i="57"/>
  <c r="F47" i="57"/>
  <c r="E47" i="57"/>
  <c r="D47" i="57"/>
  <c r="C47" i="57"/>
  <c r="G46" i="57"/>
  <c r="F46" i="57"/>
  <c r="E46" i="57"/>
  <c r="D46" i="57"/>
  <c r="C46" i="57"/>
  <c r="G45" i="57"/>
  <c r="F45" i="57"/>
  <c r="E45" i="57"/>
  <c r="D45" i="57"/>
  <c r="C45" i="57"/>
  <c r="G44" i="57"/>
  <c r="F44" i="57"/>
  <c r="E44" i="57"/>
  <c r="D44" i="57"/>
  <c r="C44" i="57"/>
  <c r="G43" i="57"/>
  <c r="F43" i="57"/>
  <c r="E43" i="57"/>
  <c r="D43" i="57"/>
  <c r="C43" i="57"/>
  <c r="G42" i="57"/>
  <c r="F42" i="57"/>
  <c r="E42" i="57"/>
  <c r="D42" i="57"/>
  <c r="C42" i="57"/>
  <c r="G41" i="57"/>
  <c r="F41" i="57"/>
  <c r="E41" i="57"/>
  <c r="D41" i="57"/>
  <c r="C41" i="57"/>
  <c r="G40" i="57"/>
  <c r="F40" i="57"/>
  <c r="E40" i="57"/>
  <c r="D40" i="57"/>
  <c r="C40" i="57"/>
  <c r="G39" i="57"/>
  <c r="F39" i="57"/>
  <c r="E39" i="57"/>
  <c r="D39" i="57"/>
  <c r="C39" i="57"/>
  <c r="G38" i="57"/>
  <c r="F38" i="57"/>
  <c r="E38" i="57"/>
  <c r="D38" i="57"/>
  <c r="C38" i="57"/>
  <c r="G37" i="57"/>
  <c r="F37" i="57"/>
  <c r="E37" i="57"/>
  <c r="D37" i="57"/>
  <c r="C37" i="57"/>
  <c r="G36" i="57"/>
  <c r="F36" i="57"/>
  <c r="E36" i="57"/>
  <c r="D36" i="57"/>
  <c r="C36" i="57"/>
  <c r="G35" i="57"/>
  <c r="F35" i="57"/>
  <c r="E35" i="57"/>
  <c r="D35" i="57"/>
  <c r="C35" i="57"/>
  <c r="G34" i="57"/>
  <c r="F34" i="57"/>
  <c r="E34" i="57"/>
  <c r="D34" i="57"/>
  <c r="C34" i="57"/>
  <c r="G33" i="57"/>
  <c r="F33" i="57"/>
  <c r="E33" i="57"/>
  <c r="D33" i="57"/>
  <c r="C33" i="57"/>
  <c r="G32" i="57"/>
  <c r="F32" i="57"/>
  <c r="E32" i="57"/>
  <c r="D32" i="57"/>
  <c r="C32" i="57"/>
  <c r="G31" i="57"/>
  <c r="F31" i="57"/>
  <c r="E31" i="57"/>
  <c r="D31" i="57"/>
  <c r="C31" i="57"/>
  <c r="G30" i="57"/>
  <c r="F30" i="57"/>
  <c r="E30" i="57"/>
  <c r="D30" i="57"/>
  <c r="C30" i="57"/>
  <c r="G29" i="57"/>
  <c r="F29" i="57"/>
  <c r="E29" i="57"/>
  <c r="D29" i="57"/>
  <c r="C29" i="57"/>
  <c r="G28" i="57"/>
  <c r="F28" i="57"/>
  <c r="E28" i="57"/>
  <c r="D28" i="57"/>
  <c r="C28" i="57"/>
  <c r="G27" i="57"/>
  <c r="F27" i="57"/>
  <c r="E27" i="57"/>
  <c r="D27" i="57"/>
  <c r="C27" i="57"/>
  <c r="G26" i="57"/>
  <c r="F26" i="57"/>
  <c r="E26" i="57"/>
  <c r="D26" i="57"/>
  <c r="C26" i="57"/>
  <c r="G25" i="57"/>
  <c r="F25" i="57"/>
  <c r="E25" i="57"/>
  <c r="D25" i="57"/>
  <c r="C25" i="57"/>
  <c r="G24" i="57"/>
  <c r="F24" i="57"/>
  <c r="E24" i="57"/>
  <c r="D24" i="57"/>
  <c r="C24" i="57"/>
  <c r="G23" i="57"/>
  <c r="F23" i="57"/>
  <c r="E23" i="57"/>
  <c r="D23" i="57"/>
  <c r="C23" i="57"/>
  <c r="G22" i="57"/>
  <c r="F22" i="57"/>
  <c r="E22" i="57"/>
  <c r="D22" i="57"/>
  <c r="C22" i="57"/>
  <c r="G21" i="57"/>
  <c r="F21" i="57"/>
  <c r="E21" i="57"/>
  <c r="D21" i="57"/>
  <c r="C21" i="57"/>
  <c r="G20" i="57"/>
  <c r="F20" i="57"/>
  <c r="E20" i="57"/>
  <c r="D20" i="57"/>
  <c r="C20" i="57"/>
  <c r="G19" i="57"/>
  <c r="F19" i="57"/>
  <c r="E19" i="57"/>
  <c r="D19" i="57"/>
  <c r="C19" i="57"/>
  <c r="G18" i="57"/>
  <c r="F18" i="57"/>
  <c r="E18" i="57"/>
  <c r="D18" i="57"/>
  <c r="C18" i="57"/>
  <c r="G17" i="57"/>
  <c r="F17" i="57"/>
  <c r="E17" i="57"/>
  <c r="D17" i="57"/>
  <c r="C17" i="57"/>
  <c r="G16" i="57"/>
  <c r="F16" i="57"/>
  <c r="E16" i="57"/>
  <c r="D16" i="57"/>
  <c r="C16" i="57"/>
  <c r="G15" i="57"/>
  <c r="F15" i="57"/>
  <c r="E15" i="57"/>
  <c r="D15" i="57"/>
  <c r="C15" i="57"/>
  <c r="G14" i="57"/>
  <c r="F14" i="57"/>
  <c r="E14" i="57"/>
  <c r="D14" i="57"/>
  <c r="C14" i="57"/>
  <c r="G13" i="57"/>
  <c r="F13" i="57"/>
  <c r="E13" i="57"/>
  <c r="D13" i="57"/>
  <c r="C13" i="57"/>
  <c r="G12" i="57"/>
  <c r="F12" i="57"/>
  <c r="E12" i="57"/>
  <c r="D12" i="57"/>
  <c r="C12" i="57"/>
  <c r="G11" i="57"/>
  <c r="F11" i="57"/>
  <c r="E11" i="57"/>
  <c r="D11" i="57"/>
  <c r="C11" i="57"/>
  <c r="G10" i="57"/>
  <c r="F10" i="57"/>
  <c r="E10" i="57"/>
  <c r="D10" i="57"/>
  <c r="C10" i="57"/>
  <c r="G9" i="57"/>
  <c r="F9" i="57"/>
  <c r="E9" i="57"/>
  <c r="D9" i="57"/>
  <c r="C9" i="57"/>
  <c r="G8" i="57"/>
  <c r="F8" i="57"/>
  <c r="E8" i="57"/>
  <c r="D8" i="57"/>
  <c r="C8" i="57"/>
  <c r="G7" i="57"/>
  <c r="F7" i="57"/>
  <c r="E7" i="57"/>
  <c r="D7" i="57"/>
  <c r="C7" i="57"/>
  <c r="G6" i="57"/>
  <c r="F6" i="57"/>
  <c r="E6" i="57"/>
  <c r="D6" i="57"/>
  <c r="C6" i="57"/>
  <c r="G5" i="57"/>
  <c r="F5" i="57"/>
  <c r="E5" i="57"/>
  <c r="D5" i="57"/>
  <c r="C5" i="57"/>
  <c r="G4" i="57"/>
  <c r="F4" i="57"/>
  <c r="E4" i="57"/>
  <c r="D4" i="57"/>
  <c r="C4" i="57"/>
  <c r="G3" i="57"/>
  <c r="F3" i="57"/>
  <c r="E3" i="57"/>
  <c r="D3" i="57"/>
  <c r="C3" i="57"/>
  <c r="G2" i="57"/>
  <c r="F2" i="57"/>
  <c r="E2" i="57"/>
  <c r="D2" i="57"/>
  <c r="C2" i="57"/>
  <c r="G1" i="57"/>
  <c r="F1" i="57"/>
  <c r="E1" i="57"/>
  <c r="D1" i="57"/>
  <c r="C1" i="57"/>
  <c r="B80" i="3"/>
  <c r="J38" i="50"/>
  <c r="M38" i="50" s="1"/>
  <c r="D35" i="11"/>
  <c r="C24" i="11"/>
  <c r="D24" i="11" s="1"/>
  <c r="E24" i="11" s="1"/>
  <c r="F24" i="11" s="1"/>
  <c r="G24" i="11" s="1"/>
  <c r="E3" i="19"/>
  <c r="E3" i="63"/>
  <c r="G50" i="3"/>
  <c r="I27" i="50"/>
  <c r="L53" i="2"/>
  <c r="D7" i="19"/>
  <c r="G7" i="19" s="1"/>
  <c r="H7" i="19" s="1"/>
  <c r="I7" i="19" s="1"/>
  <c r="J7" i="19" s="1"/>
  <c r="B21" i="3"/>
  <c r="B68" i="3" s="1"/>
  <c r="D36" i="51"/>
  <c r="F36" i="51" s="1"/>
  <c r="G36" i="51" s="1"/>
  <c r="H36" i="51" s="1"/>
  <c r="I36" i="51" s="1"/>
  <c r="E3" i="64"/>
  <c r="G26" i="63"/>
  <c r="H26" i="63" s="1"/>
  <c r="D35" i="63"/>
  <c r="E35" i="63" s="1"/>
  <c r="F35" i="63" s="1"/>
  <c r="G35" i="63" s="1"/>
  <c r="H35" i="63" s="1"/>
  <c r="F29" i="63"/>
  <c r="E61" i="61"/>
  <c r="F61" i="61"/>
  <c r="J61" i="61"/>
  <c r="L33" i="2" s="1"/>
  <c r="F57" i="61"/>
  <c r="E57" i="61"/>
  <c r="F47" i="61"/>
  <c r="E47" i="61"/>
  <c r="J18" i="61"/>
  <c r="L34" i="2" s="1"/>
  <c r="F18" i="61"/>
  <c r="E18" i="61"/>
  <c r="E3" i="61"/>
  <c r="E3" i="9"/>
  <c r="E55" i="9"/>
  <c r="F55" i="9"/>
  <c r="E36" i="9"/>
  <c r="F36" i="9"/>
  <c r="E9" i="9"/>
  <c r="F9" i="9"/>
  <c r="J9" i="9"/>
  <c r="P17" i="70" s="1"/>
  <c r="I32" i="70" s="1"/>
  <c r="D5" i="9"/>
  <c r="G5" i="9" s="1"/>
  <c r="H5" i="9" s="1"/>
  <c r="I5" i="9" s="1"/>
  <c r="J5" i="9" s="1"/>
  <c r="H50" i="50"/>
  <c r="I50" i="50" s="1"/>
  <c r="J50" i="50" s="1"/>
  <c r="K50" i="50" s="1"/>
  <c r="L50" i="50" s="1"/>
  <c r="B9" i="3"/>
  <c r="B61" i="3" s="1"/>
  <c r="D57" i="47"/>
  <c r="E57" i="47" s="1"/>
  <c r="F57" i="47" s="1"/>
  <c r="G57" i="47" s="1"/>
  <c r="H57" i="47" s="1"/>
  <c r="C34" i="59"/>
  <c r="D34" i="59" s="1"/>
  <c r="E34" i="59" s="1"/>
  <c r="F34" i="59" s="1"/>
  <c r="G34" i="59" s="1"/>
  <c r="G22" i="47"/>
  <c r="G21" i="47"/>
  <c r="L17" i="2"/>
  <c r="D14" i="3" s="1"/>
  <c r="C64" i="3" s="1"/>
  <c r="F48" i="47"/>
  <c r="E16" i="59"/>
  <c r="G38" i="59" s="1"/>
  <c r="D3" i="59"/>
  <c r="F30" i="18"/>
  <c r="I7" i="2"/>
  <c r="J7" i="2" s="1"/>
  <c r="K7" i="2" s="1"/>
  <c r="L7" i="2" s="1"/>
  <c r="V8" i="72" s="1"/>
  <c r="E40" i="45"/>
  <c r="E41" i="45"/>
  <c r="E42" i="45"/>
  <c r="E43" i="45"/>
  <c r="E44" i="45"/>
  <c r="E45" i="45"/>
  <c r="E46" i="45"/>
  <c r="E47" i="45"/>
  <c r="E48" i="45"/>
  <c r="E49" i="45"/>
  <c r="J51" i="45"/>
  <c r="J56" i="45"/>
  <c r="J57" i="45" s="1"/>
  <c r="J58" i="45" s="1"/>
  <c r="J59" i="45" s="1"/>
  <c r="J60" i="45" s="1"/>
  <c r="J61" i="45" s="1"/>
  <c r="J62" i="45" s="1"/>
  <c r="J63" i="45" s="1"/>
  <c r="J64" i="45" s="1"/>
  <c r="J65" i="45" s="1"/>
  <c r="J66" i="45" s="1"/>
  <c r="J67" i="45" s="1"/>
  <c r="I68" i="45"/>
  <c r="F56" i="45"/>
  <c r="F57" i="45" s="1"/>
  <c r="F58" i="45" s="1"/>
  <c r="F59" i="45" s="1"/>
  <c r="F60" i="45" s="1"/>
  <c r="F61" i="45" s="1"/>
  <c r="F62" i="45" s="1"/>
  <c r="F63" i="45" s="1"/>
  <c r="F64" i="45" s="1"/>
  <c r="F65" i="45" s="1"/>
  <c r="F66" i="45" s="1"/>
  <c r="F67" i="45" s="1"/>
  <c r="F1" i="44"/>
  <c r="F2" i="44"/>
  <c r="F8" i="44"/>
  <c r="J8" i="44"/>
  <c r="N8" i="44"/>
  <c r="P8" i="44"/>
  <c r="F9" i="44"/>
  <c r="J9" i="44"/>
  <c r="N9" i="44"/>
  <c r="P9" i="44"/>
  <c r="P20" i="44" s="1"/>
  <c r="F10" i="44"/>
  <c r="J10" i="44"/>
  <c r="N10" i="44"/>
  <c r="P10" i="44"/>
  <c r="F11" i="44"/>
  <c r="J11" i="44"/>
  <c r="N11" i="44"/>
  <c r="P11" i="44"/>
  <c r="F12" i="44"/>
  <c r="J12" i="44"/>
  <c r="N12" i="44"/>
  <c r="P12" i="44"/>
  <c r="F13" i="44"/>
  <c r="J13" i="44"/>
  <c r="N13" i="44"/>
  <c r="P13" i="44"/>
  <c r="F14" i="44"/>
  <c r="J14" i="44"/>
  <c r="N14" i="44"/>
  <c r="P14" i="44"/>
  <c r="F15" i="44"/>
  <c r="J15" i="44"/>
  <c r="N15" i="44"/>
  <c r="P15" i="44"/>
  <c r="F16" i="44"/>
  <c r="J16" i="44"/>
  <c r="N16" i="44"/>
  <c r="P16" i="44"/>
  <c r="F17" i="44"/>
  <c r="J17" i="44"/>
  <c r="N17" i="44"/>
  <c r="P17" i="44"/>
  <c r="F18" i="44"/>
  <c r="J18" i="44"/>
  <c r="N18" i="44"/>
  <c r="P18" i="44"/>
  <c r="F19" i="44"/>
  <c r="J19" i="44"/>
  <c r="N19" i="44"/>
  <c r="P19" i="44"/>
  <c r="D20" i="44"/>
  <c r="E20" i="44"/>
  <c r="H20" i="44"/>
  <c r="J20" i="44" s="1"/>
  <c r="I20" i="44"/>
  <c r="L20" i="44"/>
  <c r="M20" i="44"/>
  <c r="E22" i="44"/>
  <c r="I22" i="44"/>
  <c r="M22" i="44"/>
  <c r="E23" i="44"/>
  <c r="E39" i="44" s="1"/>
  <c r="F23" i="44"/>
  <c r="I23" i="44"/>
  <c r="I39" i="44" s="1"/>
  <c r="J23" i="44"/>
  <c r="M23" i="44"/>
  <c r="M39" i="44" s="1"/>
  <c r="N23" i="44"/>
  <c r="F24" i="44"/>
  <c r="J24" i="44"/>
  <c r="N24" i="44"/>
  <c r="P24" i="44"/>
  <c r="F25" i="44"/>
  <c r="J25" i="44"/>
  <c r="N25" i="44"/>
  <c r="P25" i="44"/>
  <c r="F26" i="44"/>
  <c r="J26" i="44"/>
  <c r="N26" i="44"/>
  <c r="P26" i="44"/>
  <c r="F27" i="44"/>
  <c r="J27" i="44"/>
  <c r="N27" i="44"/>
  <c r="P27" i="44"/>
  <c r="F28" i="44"/>
  <c r="J28" i="44"/>
  <c r="N28" i="44"/>
  <c r="P28" i="44"/>
  <c r="F29" i="44"/>
  <c r="J29" i="44"/>
  <c r="N29" i="44"/>
  <c r="P29" i="44"/>
  <c r="F30" i="44"/>
  <c r="J30" i="44"/>
  <c r="N30" i="44"/>
  <c r="P30" i="44"/>
  <c r="F31" i="44"/>
  <c r="J31" i="44"/>
  <c r="N31" i="44"/>
  <c r="P31" i="44"/>
  <c r="F32" i="44"/>
  <c r="J59" i="44" s="1"/>
  <c r="F33" i="44" s="1"/>
  <c r="D33" i="44" s="1"/>
  <c r="J32" i="44"/>
  <c r="J60" i="44" s="1"/>
  <c r="N32" i="44"/>
  <c r="J61" i="44" s="1"/>
  <c r="L61" i="44" s="1"/>
  <c r="N40" i="44" s="1"/>
  <c r="P32" i="44"/>
  <c r="E36" i="44"/>
  <c r="I36" i="44"/>
  <c r="M36" i="44"/>
  <c r="E38" i="44"/>
  <c r="E59" i="44" s="1"/>
  <c r="I38" i="44"/>
  <c r="E60" i="44" s="1"/>
  <c r="M38" i="44"/>
  <c r="E61" i="44" s="1"/>
  <c r="M40" i="44"/>
  <c r="I52" i="44"/>
  <c r="M41" i="44"/>
  <c r="M42" i="44"/>
  <c r="M43" i="44"/>
  <c r="M44" i="44"/>
  <c r="M45" i="44"/>
  <c r="M46" i="44"/>
  <c r="M47" i="44"/>
  <c r="M48" i="44"/>
  <c r="M49" i="44"/>
  <c r="M50" i="44"/>
  <c r="M51" i="44"/>
  <c r="E52" i="44"/>
  <c r="F14" i="51"/>
  <c r="H71" i="41"/>
  <c r="I5" i="50"/>
  <c r="I4" i="50"/>
  <c r="J29" i="50"/>
  <c r="I29" i="50"/>
  <c r="M29" i="50" s="1"/>
  <c r="J27" i="50"/>
  <c r="F13" i="50"/>
  <c r="C10" i="50"/>
  <c r="C11" i="50" s="1"/>
  <c r="C12" i="50" s="1"/>
  <c r="A12" i="50"/>
  <c r="A10" i="50" s="1"/>
  <c r="C11" i="15"/>
  <c r="C14" i="15" s="1"/>
  <c r="L36" i="15"/>
  <c r="M46" i="15"/>
  <c r="M45" i="15"/>
  <c r="M44" i="15"/>
  <c r="M37" i="15"/>
  <c r="D37" i="15"/>
  <c r="K45" i="15"/>
  <c r="C1" i="15"/>
  <c r="C3" i="15"/>
  <c r="E3" i="51" s="1"/>
  <c r="F13" i="15"/>
  <c r="G14" i="15"/>
  <c r="C19" i="15"/>
  <c r="C27" i="15"/>
  <c r="A34" i="15"/>
  <c r="A35" i="15" s="1"/>
  <c r="D34" i="15"/>
  <c r="D35" i="15"/>
  <c r="J44" i="15" s="1"/>
  <c r="J45" i="15" s="1"/>
  <c r="K35" i="15"/>
  <c r="D36" i="15"/>
  <c r="K36" i="15" s="1"/>
  <c r="K40" i="15"/>
  <c r="C21" i="15" s="1"/>
  <c r="D11" i="15" s="1"/>
  <c r="D38" i="15"/>
  <c r="K46" i="15" s="1"/>
  <c r="B39" i="15"/>
  <c r="C39" i="15"/>
  <c r="D1" i="11"/>
  <c r="E1" i="51" s="1"/>
  <c r="D3" i="11"/>
  <c r="F8" i="45"/>
  <c r="J8" i="45"/>
  <c r="L8" i="45"/>
  <c r="F9" i="45"/>
  <c r="J9" i="45"/>
  <c r="L9" i="45"/>
  <c r="F10" i="45"/>
  <c r="J10" i="45"/>
  <c r="L10" i="45"/>
  <c r="F11" i="45"/>
  <c r="J11" i="45"/>
  <c r="L11" i="45"/>
  <c r="F12" i="45"/>
  <c r="J12" i="45"/>
  <c r="L12" i="45"/>
  <c r="F13" i="45"/>
  <c r="J13" i="45"/>
  <c r="L13" i="45"/>
  <c r="F14" i="45"/>
  <c r="J14" i="45"/>
  <c r="L14" i="45"/>
  <c r="F15" i="45"/>
  <c r="J15" i="45"/>
  <c r="L15" i="45"/>
  <c r="F16" i="45"/>
  <c r="J16" i="45"/>
  <c r="L16" i="45"/>
  <c r="F17" i="45"/>
  <c r="J17" i="45"/>
  <c r="L17" i="45"/>
  <c r="F18" i="45"/>
  <c r="J18" i="45"/>
  <c r="L18" i="45"/>
  <c r="F19" i="45"/>
  <c r="J19" i="45"/>
  <c r="L19" i="45"/>
  <c r="D20" i="45"/>
  <c r="E20" i="45"/>
  <c r="H20" i="45"/>
  <c r="I20" i="45"/>
  <c r="E22" i="45"/>
  <c r="E54" i="45" s="1"/>
  <c r="I22" i="45"/>
  <c r="I54" i="45" s="1"/>
  <c r="F24" i="45"/>
  <c r="J24" i="45"/>
  <c r="L24" i="45"/>
  <c r="F25" i="45"/>
  <c r="J25" i="45"/>
  <c r="L25" i="45"/>
  <c r="F26" i="45"/>
  <c r="J26" i="45"/>
  <c r="L26" i="45"/>
  <c r="F27" i="45"/>
  <c r="J27" i="45"/>
  <c r="L27" i="45"/>
  <c r="F28" i="45"/>
  <c r="J28" i="45"/>
  <c r="L28" i="45"/>
  <c r="F29" i="45"/>
  <c r="J29" i="45"/>
  <c r="L29" i="45"/>
  <c r="F30" i="45"/>
  <c r="J30" i="45"/>
  <c r="L30" i="45"/>
  <c r="F31" i="45"/>
  <c r="J31" i="45"/>
  <c r="L31" i="45"/>
  <c r="F32" i="45"/>
  <c r="J32" i="45"/>
  <c r="L32" i="45"/>
  <c r="F33" i="45"/>
  <c r="J33" i="45"/>
  <c r="L33" i="45"/>
  <c r="E34" i="45"/>
  <c r="F34" i="45"/>
  <c r="F35" i="45" s="1"/>
  <c r="D35" i="45" s="1"/>
  <c r="I34" i="45"/>
  <c r="J34" i="45"/>
  <c r="J35" i="45" s="1"/>
  <c r="E35" i="45"/>
  <c r="E51" i="45" s="1"/>
  <c r="I35" i="45"/>
  <c r="E38" i="45"/>
  <c r="F83" i="45" s="1"/>
  <c r="I38" i="45"/>
  <c r="F84" i="45" s="1"/>
  <c r="L83" i="45"/>
  <c r="F40" i="45" s="1"/>
  <c r="F41" i="45" s="1"/>
  <c r="F42" i="45" s="1"/>
  <c r="F43" i="45" s="1"/>
  <c r="F44" i="45" s="1"/>
  <c r="F45" i="45" s="1"/>
  <c r="F46" i="45" s="1"/>
  <c r="F47" i="45" s="1"/>
  <c r="F48" i="45" s="1"/>
  <c r="F49" i="45" s="1"/>
  <c r="F50" i="45" s="1"/>
  <c r="F51" i="45" s="1"/>
  <c r="L84" i="45"/>
  <c r="D1" i="41"/>
  <c r="D3" i="41"/>
  <c r="L6" i="41"/>
  <c r="B8" i="41"/>
  <c r="H8" i="41" s="1"/>
  <c r="L8" i="41" s="1"/>
  <c r="A9" i="41"/>
  <c r="C9" i="41"/>
  <c r="D9" i="41"/>
  <c r="D10" i="41" s="1"/>
  <c r="E9" i="41"/>
  <c r="F9" i="41"/>
  <c r="A10" i="41"/>
  <c r="A22" i="41" s="1"/>
  <c r="H10" i="41"/>
  <c r="L10" i="41" s="1"/>
  <c r="B11" i="41"/>
  <c r="I11" i="41" s="1"/>
  <c r="L11" i="41" s="1"/>
  <c r="A12" i="41"/>
  <c r="C12" i="41"/>
  <c r="D12" i="41"/>
  <c r="E12" i="41"/>
  <c r="F12" i="41"/>
  <c r="B13" i="41"/>
  <c r="B14" i="41" s="1"/>
  <c r="A14" i="41"/>
  <c r="C14" i="41"/>
  <c r="D14" i="41"/>
  <c r="E14" i="41"/>
  <c r="F14" i="41"/>
  <c r="A16" i="41"/>
  <c r="A25" i="41" s="1"/>
  <c r="C16" i="41"/>
  <c r="D16" i="41"/>
  <c r="E16" i="41"/>
  <c r="F16" i="41"/>
  <c r="L20" i="41"/>
  <c r="L21" i="41"/>
  <c r="A23" i="41"/>
  <c r="A39" i="41" s="1"/>
  <c r="A24" i="41"/>
  <c r="A40" i="41" s="1"/>
  <c r="H49" i="41"/>
  <c r="I49" i="41"/>
  <c r="J49" i="41"/>
  <c r="K49" i="41"/>
  <c r="H50" i="41"/>
  <c r="I50" i="41"/>
  <c r="J50" i="41"/>
  <c r="K50" i="41"/>
  <c r="H51" i="41"/>
  <c r="I51" i="41"/>
  <c r="J51" i="41"/>
  <c r="K51" i="41"/>
  <c r="H52" i="41"/>
  <c r="I52" i="41"/>
  <c r="J52" i="41"/>
  <c r="K52" i="41"/>
  <c r="L54" i="41"/>
  <c r="B55" i="41"/>
  <c r="I55" i="41" s="1"/>
  <c r="H56" i="41"/>
  <c r="I56" i="41"/>
  <c r="J56" i="41"/>
  <c r="H57" i="41"/>
  <c r="I57" i="41"/>
  <c r="J57" i="41"/>
  <c r="L58" i="41"/>
  <c r="F59" i="41"/>
  <c r="F60" i="41" s="1"/>
  <c r="H59" i="41"/>
  <c r="I59" i="41"/>
  <c r="J59" i="41"/>
  <c r="K59" i="41"/>
  <c r="H60" i="41"/>
  <c r="I60" i="41"/>
  <c r="J60" i="41"/>
  <c r="K60" i="41"/>
  <c r="H61" i="41"/>
  <c r="I61" i="41"/>
  <c r="J61" i="41"/>
  <c r="K61" i="41"/>
  <c r="L64" i="41"/>
  <c r="N79" i="41"/>
  <c r="A88" i="41"/>
  <c r="B97" i="41"/>
  <c r="C97" i="41"/>
  <c r="E3" i="47"/>
  <c r="C1" i="3"/>
  <c r="H1" i="2" s="1"/>
  <c r="E1" i="63" s="1"/>
  <c r="C3" i="3"/>
  <c r="F3" i="50" s="1"/>
  <c r="B8" i="3"/>
  <c r="B60" i="3" s="1"/>
  <c r="B65" i="3"/>
  <c r="B67" i="3"/>
  <c r="C1" i="1"/>
  <c r="C3" i="1"/>
  <c r="C25" i="18" s="1"/>
  <c r="F3" i="44" s="1"/>
  <c r="F79" i="1"/>
  <c r="C24" i="18"/>
  <c r="F33" i="18"/>
  <c r="L59" i="45"/>
  <c r="L56" i="45"/>
  <c r="L57" i="45"/>
  <c r="E68" i="45"/>
  <c r="H52" i="45"/>
  <c r="L41" i="45"/>
  <c r="L42" i="45"/>
  <c r="L40" i="45"/>
  <c r="H52" i="44"/>
  <c r="J52" i="44" s="1"/>
  <c r="D52" i="44"/>
  <c r="L43" i="45"/>
  <c r="L60" i="45"/>
  <c r="L58" i="45"/>
  <c r="L51" i="45"/>
  <c r="I52" i="45"/>
  <c r="L61" i="45"/>
  <c r="L44" i="45"/>
  <c r="L45" i="45"/>
  <c r="L62" i="45"/>
  <c r="L46" i="45"/>
  <c r="L63" i="45"/>
  <c r="L64" i="45"/>
  <c r="L48" i="45"/>
  <c r="L47" i="45"/>
  <c r="L65" i="45"/>
  <c r="L49" i="45"/>
  <c r="L66" i="45"/>
  <c r="D68" i="45"/>
  <c r="L67" i="45"/>
  <c r="H68" i="45"/>
  <c r="L50" i="45"/>
  <c r="D52" i="45"/>
  <c r="F15" i="51"/>
  <c r="G15" i="51" s="1"/>
  <c r="E21" i="68"/>
  <c r="G21" i="68"/>
  <c r="K27" i="68"/>
  <c r="T33" i="2"/>
  <c r="T34" i="2" s="1"/>
  <c r="D37" i="2"/>
  <c r="E37" i="2"/>
  <c r="E39" i="2" s="1"/>
  <c r="K55" i="41"/>
  <c r="C5" i="66"/>
  <c r="D5" i="66"/>
  <c r="D17" i="3" l="1"/>
  <c r="M27" i="50"/>
  <c r="D31" i="19"/>
  <c r="C33" i="11"/>
  <c r="E33" i="11" s="1"/>
  <c r="C13" i="11"/>
  <c r="G13" i="11" s="1"/>
  <c r="C8" i="11"/>
  <c r="G8" i="11" s="1"/>
  <c r="C28" i="11"/>
  <c r="E28" i="11" s="1"/>
  <c r="D50" i="61"/>
  <c r="H50" i="61" s="1"/>
  <c r="C10" i="11"/>
  <c r="G10" i="11" s="1"/>
  <c r="D52" i="61"/>
  <c r="G13" i="9"/>
  <c r="H13" i="9" s="1"/>
  <c r="D68" i="61"/>
  <c r="H36" i="2" s="1"/>
  <c r="G64" i="61"/>
  <c r="G68" i="61" s="1"/>
  <c r="D61" i="61"/>
  <c r="G61" i="61"/>
  <c r="F14" i="62"/>
  <c r="H14" i="62" s="1"/>
  <c r="H49" i="9"/>
  <c r="G14" i="51"/>
  <c r="H18" i="2"/>
  <c r="I18" i="2" s="1"/>
  <c r="H23" i="9"/>
  <c r="G30" i="9"/>
  <c r="H30" i="9" s="1"/>
  <c r="H12" i="19"/>
  <c r="H14" i="19"/>
  <c r="H16" i="19"/>
  <c r="H19" i="19"/>
  <c r="E49" i="68"/>
  <c r="E48" i="68"/>
  <c r="D45" i="68"/>
  <c r="E45" i="68"/>
  <c r="D43" i="68"/>
  <c r="E43" i="68"/>
  <c r="E51" i="68"/>
  <c r="E50" i="68"/>
  <c r="F50" i="67"/>
  <c r="F53" i="67" s="1"/>
  <c r="F61" i="47"/>
  <c r="H65" i="50"/>
  <c r="I65" i="50" s="1"/>
  <c r="J65" i="50" s="1"/>
  <c r="H31" i="2"/>
  <c r="F41" i="63"/>
  <c r="H50" i="2"/>
  <c r="K39" i="50"/>
  <c r="K42" i="50"/>
  <c r="L42" i="50"/>
  <c r="G26" i="47"/>
  <c r="H28" i="63"/>
  <c r="F76" i="47"/>
  <c r="D77" i="47"/>
  <c r="F77" i="47" s="1"/>
  <c r="H13" i="2"/>
  <c r="I13" i="2"/>
  <c r="H17" i="9"/>
  <c r="H18" i="9"/>
  <c r="H17" i="19"/>
  <c r="D9" i="9"/>
  <c r="H28" i="2" s="1"/>
  <c r="J64" i="50"/>
  <c r="H63" i="50"/>
  <c r="I63" i="50" s="1"/>
  <c r="J63" i="50" s="1"/>
  <c r="C12" i="74"/>
  <c r="C8" i="74"/>
  <c r="G8" i="74" s="1"/>
  <c r="C11" i="74"/>
  <c r="C13" i="74"/>
  <c r="G13" i="74" s="1"/>
  <c r="C7" i="74"/>
  <c r="C15" i="74"/>
  <c r="G15" i="74" s="1"/>
  <c r="C14" i="74"/>
  <c r="C9" i="74"/>
  <c r="G9" i="74" s="1"/>
  <c r="J53" i="50"/>
  <c r="J21" i="50"/>
  <c r="D24" i="9"/>
  <c r="G24" i="9" s="1"/>
  <c r="D60" i="47"/>
  <c r="E60" i="47" s="1"/>
  <c r="F60" i="47" s="1"/>
  <c r="D62" i="47"/>
  <c r="E62" i="47" s="1"/>
  <c r="H45" i="63"/>
  <c r="D46" i="67"/>
  <c r="K46" i="67" s="1"/>
  <c r="G41" i="59"/>
  <c r="L12" i="2"/>
  <c r="H15" i="19"/>
  <c r="D29" i="9"/>
  <c r="G29" i="9" s="1"/>
  <c r="H29" i="9" s="1"/>
  <c r="H55" i="50"/>
  <c r="I55" i="50" s="1"/>
  <c r="I62" i="50" s="1"/>
  <c r="H26" i="9"/>
  <c r="K25" i="68"/>
  <c r="H41" i="68"/>
  <c r="K41" i="68" s="1"/>
  <c r="D43" i="67"/>
  <c r="K43" i="67" s="1"/>
  <c r="J44" i="2"/>
  <c r="M44" i="2" s="1"/>
  <c r="H10" i="2"/>
  <c r="H14" i="2"/>
  <c r="D53" i="61"/>
  <c r="H53" i="61" s="1"/>
  <c r="C30" i="11"/>
  <c r="E30" i="11" s="1"/>
  <c r="C11" i="11"/>
  <c r="C41" i="59"/>
  <c r="H11" i="2"/>
  <c r="D56" i="61"/>
  <c r="G56" i="61" s="1"/>
  <c r="H56" i="61" s="1"/>
  <c r="C14" i="11"/>
  <c r="G14" i="11" s="1"/>
  <c r="H26" i="61"/>
  <c r="F21" i="68"/>
  <c r="K21" i="68" s="1"/>
  <c r="H19" i="9"/>
  <c r="L28" i="2"/>
  <c r="D25" i="3" s="1"/>
  <c r="C72" i="3" s="1"/>
  <c r="M16" i="2"/>
  <c r="I43" i="2"/>
  <c r="E57" i="9"/>
  <c r="F37" i="67"/>
  <c r="H28" i="61"/>
  <c r="J52" i="45"/>
  <c r="F52" i="44"/>
  <c r="D71" i="47"/>
  <c r="F71" i="47" s="1"/>
  <c r="L61" i="50"/>
  <c r="F57" i="9"/>
  <c r="J39" i="50"/>
  <c r="E40" i="50"/>
  <c r="L31" i="2"/>
  <c r="K26" i="68"/>
  <c r="E57" i="2"/>
  <c r="J13" i="41"/>
  <c r="L13" i="41" s="1"/>
  <c r="D55" i="61"/>
  <c r="G55" i="61" s="1"/>
  <c r="H55" i="61" s="1"/>
  <c r="H30" i="61"/>
  <c r="M34" i="50"/>
  <c r="L67" i="50" s="1"/>
  <c r="S19" i="2"/>
  <c r="H55" i="41"/>
  <c r="B9" i="41"/>
  <c r="B22" i="41" s="1"/>
  <c r="H22" i="41" s="1"/>
  <c r="L22" i="41" s="1"/>
  <c r="J41" i="50"/>
  <c r="M41" i="50" s="1"/>
  <c r="M9" i="50"/>
  <c r="J55" i="41"/>
  <c r="L60" i="41"/>
  <c r="H17" i="61"/>
  <c r="H14" i="61"/>
  <c r="J47" i="61"/>
  <c r="P18" i="70" s="1"/>
  <c r="I33" i="70" s="1"/>
  <c r="J70" i="50"/>
  <c r="J42" i="50"/>
  <c r="M42" i="50" s="1"/>
  <c r="J59" i="50"/>
  <c r="J68" i="50"/>
  <c r="J58" i="50"/>
  <c r="H12" i="2"/>
  <c r="H34" i="9"/>
  <c r="H25" i="61"/>
  <c r="H39" i="61"/>
  <c r="P15" i="70"/>
  <c r="I30" i="70" s="1"/>
  <c r="H12" i="74"/>
  <c r="J12" i="74" s="1"/>
  <c r="H11" i="19"/>
  <c r="K29" i="68"/>
  <c r="K28" i="68"/>
  <c r="D30" i="3"/>
  <c r="C76" i="3" s="1"/>
  <c r="G10" i="74"/>
  <c r="E17" i="74"/>
  <c r="F10" i="74" s="1"/>
  <c r="T19" i="72"/>
  <c r="T20" i="72" s="1"/>
  <c r="L50" i="41"/>
  <c r="C90" i="41" s="1"/>
  <c r="N90" i="41" s="1"/>
  <c r="J68" i="45"/>
  <c r="H21" i="67"/>
  <c r="I16" i="2"/>
  <c r="L59" i="41"/>
  <c r="F44" i="63"/>
  <c r="D43" i="61"/>
  <c r="H43" i="61" s="1"/>
  <c r="H13" i="19"/>
  <c r="D44" i="67"/>
  <c r="K44" i="67" s="1"/>
  <c r="D42" i="67"/>
  <c r="K42" i="67" s="1"/>
  <c r="F45" i="63"/>
  <c r="N34" i="44"/>
  <c r="N35" i="44" s="1"/>
  <c r="L35" i="44" s="1"/>
  <c r="L57" i="41"/>
  <c r="P34" i="2"/>
  <c r="G18" i="47"/>
  <c r="H18" i="47" s="1"/>
  <c r="L10" i="2" s="1"/>
  <c r="G12" i="47"/>
  <c r="H12" i="47" s="1"/>
  <c r="K44" i="15"/>
  <c r="L52" i="45"/>
  <c r="L49" i="41"/>
  <c r="C89" i="41" s="1"/>
  <c r="N89" i="41" s="1"/>
  <c r="M36" i="15"/>
  <c r="F43" i="63"/>
  <c r="M17" i="2"/>
  <c r="J49" i="2"/>
  <c r="F75" i="47"/>
  <c r="H24" i="61"/>
  <c r="H20" i="9"/>
  <c r="C32" i="11"/>
  <c r="E32" i="11" s="1"/>
  <c r="H33" i="2"/>
  <c r="H60" i="61"/>
  <c r="D31" i="3"/>
  <c r="C77" i="3" s="1"/>
  <c r="V15" i="72"/>
  <c r="H45" i="61"/>
  <c r="G53" i="68"/>
  <c r="L60" i="44"/>
  <c r="J34" i="44"/>
  <c r="J33" i="44"/>
  <c r="H33" i="44" s="1"/>
  <c r="L45" i="15"/>
  <c r="N45" i="15" s="1"/>
  <c r="J46" i="15"/>
  <c r="H12" i="9"/>
  <c r="A36" i="15"/>
  <c r="A37" i="15" s="1"/>
  <c r="B29" i="41"/>
  <c r="L56" i="41"/>
  <c r="H35" i="45"/>
  <c r="L40" i="44"/>
  <c r="P40" i="44" s="1"/>
  <c r="D45" i="67"/>
  <c r="K45" i="67" s="1"/>
  <c r="D7" i="61"/>
  <c r="L35" i="45"/>
  <c r="H46" i="61"/>
  <c r="B45" i="15"/>
  <c r="E45" i="15" s="1"/>
  <c r="H11" i="15" s="1"/>
  <c r="H14" i="15" s="1"/>
  <c r="B15" i="41"/>
  <c r="K15" i="41" s="1"/>
  <c r="L15" i="41" s="1"/>
  <c r="H27" i="41"/>
  <c r="J20" i="45"/>
  <c r="F74" i="47"/>
  <c r="H44" i="61"/>
  <c r="A38" i="15"/>
  <c r="B12" i="41"/>
  <c r="I42" i="41" s="1"/>
  <c r="N33" i="44"/>
  <c r="L33" i="44" s="1"/>
  <c r="L68" i="45"/>
  <c r="F68" i="45"/>
  <c r="L52" i="41"/>
  <c r="D96" i="41" s="1"/>
  <c r="I36" i="45"/>
  <c r="H34" i="45"/>
  <c r="H36" i="45" s="1"/>
  <c r="J36" i="45" s="1"/>
  <c r="D39" i="15"/>
  <c r="E11" i="15"/>
  <c r="E14" i="15" s="1"/>
  <c r="F20" i="44"/>
  <c r="J55" i="9"/>
  <c r="D18" i="61"/>
  <c r="H34" i="2" s="1"/>
  <c r="I17" i="2"/>
  <c r="E1" i="9"/>
  <c r="E1" i="64"/>
  <c r="B2" i="72"/>
  <c r="E1" i="53"/>
  <c r="E1" i="61"/>
  <c r="D1" i="59"/>
  <c r="E1" i="67"/>
  <c r="A4" i="70"/>
  <c r="F1" i="68"/>
  <c r="M40" i="15"/>
  <c r="C22" i="15" s="1"/>
  <c r="L55" i="2"/>
  <c r="L20" i="45"/>
  <c r="N41" i="44"/>
  <c r="E1" i="19"/>
  <c r="E46" i="63"/>
  <c r="E1" i="47"/>
  <c r="F1" i="50" s="1"/>
  <c r="D34" i="45"/>
  <c r="E36" i="45"/>
  <c r="E50" i="45"/>
  <c r="E52" i="45" s="1"/>
  <c r="C23" i="15"/>
  <c r="B11" i="15" s="1"/>
  <c r="F52" i="45"/>
  <c r="F69" i="47"/>
  <c r="F64" i="47"/>
  <c r="L46" i="15"/>
  <c r="N46" i="15" s="1"/>
  <c r="D39" i="2"/>
  <c r="D57" i="2" s="1"/>
  <c r="S20" i="72"/>
  <c r="H21" i="68"/>
  <c r="I21" i="68"/>
  <c r="I71" i="41"/>
  <c r="J71" i="41" s="1"/>
  <c r="M52" i="44"/>
  <c r="F34" i="44"/>
  <c r="L59" i="44"/>
  <c r="B16" i="41"/>
  <c r="J14" i="41"/>
  <c r="B24" i="41"/>
  <c r="J42" i="41"/>
  <c r="F42" i="63"/>
  <c r="D46" i="63"/>
  <c r="H32" i="2" s="1"/>
  <c r="H33" i="61"/>
  <c r="A45" i="15"/>
  <c r="L61" i="41"/>
  <c r="L44" i="15"/>
  <c r="N44" i="15" s="1"/>
  <c r="L51" i="41"/>
  <c r="D91" i="41" s="1"/>
  <c r="N20" i="44"/>
  <c r="H27" i="61"/>
  <c r="H22" i="9"/>
  <c r="H9" i="41"/>
  <c r="L9" i="41" s="1"/>
  <c r="H37" i="61"/>
  <c r="F20" i="45"/>
  <c r="K44" i="68"/>
  <c r="K42" i="68"/>
  <c r="Q23" i="2"/>
  <c r="Q24" i="2" s="1"/>
  <c r="K43" i="68"/>
  <c r="G37" i="68"/>
  <c r="C12" i="11"/>
  <c r="G12" i="11" s="1"/>
  <c r="K45" i="68"/>
  <c r="K46" i="68"/>
  <c r="F42" i="68"/>
  <c r="F47" i="68"/>
  <c r="G33" i="11" l="1"/>
  <c r="J55" i="61"/>
  <c r="J52" i="61"/>
  <c r="G30" i="11"/>
  <c r="G28" i="11"/>
  <c r="J50" i="61"/>
  <c r="G57" i="61"/>
  <c r="H52" i="61"/>
  <c r="H57" i="61" s="1"/>
  <c r="J30" i="2" s="1"/>
  <c r="G15" i="62"/>
  <c r="F15" i="62" s="1"/>
  <c r="H15" i="62" s="1"/>
  <c r="H31" i="19"/>
  <c r="J53" i="2" s="1"/>
  <c r="M53" i="2" s="1"/>
  <c r="G7" i="61"/>
  <c r="H7" i="61" s="1"/>
  <c r="I7" i="61" s="1"/>
  <c r="J7" i="61" s="1"/>
  <c r="G5" i="51"/>
  <c r="I5" i="51" s="1"/>
  <c r="C7" i="11"/>
  <c r="G7" i="11" s="1"/>
  <c r="L43" i="2"/>
  <c r="L50" i="2" s="1"/>
  <c r="H29" i="63"/>
  <c r="H42" i="63"/>
  <c r="H46" i="63" s="1"/>
  <c r="L32" i="2" s="1"/>
  <c r="H7" i="74" s="1"/>
  <c r="J7" i="74" s="1"/>
  <c r="G29" i="63"/>
  <c r="L11" i="2" s="1"/>
  <c r="D11" i="3" s="1"/>
  <c r="C63" i="3" s="1"/>
  <c r="H35" i="9"/>
  <c r="J45" i="2"/>
  <c r="J50" i="2" s="1"/>
  <c r="M39" i="50"/>
  <c r="L44" i="50"/>
  <c r="L47" i="50" s="1"/>
  <c r="L48" i="50" s="1"/>
  <c r="J23" i="50"/>
  <c r="D55" i="9"/>
  <c r="F62" i="47"/>
  <c r="E78" i="47"/>
  <c r="D78" i="47"/>
  <c r="H19" i="2" s="1"/>
  <c r="H20" i="2" s="1"/>
  <c r="G9" i="9"/>
  <c r="H31" i="61"/>
  <c r="H45" i="9"/>
  <c r="H55" i="9" s="1"/>
  <c r="G55" i="9"/>
  <c r="N11" i="2"/>
  <c r="C17" i="74"/>
  <c r="D11" i="74" s="1"/>
  <c r="G14" i="74"/>
  <c r="G7" i="74"/>
  <c r="G11" i="74"/>
  <c r="G12" i="74"/>
  <c r="I50" i="2"/>
  <c r="J56" i="61"/>
  <c r="H24" i="9"/>
  <c r="G11" i="11"/>
  <c r="J53" i="61" s="1"/>
  <c r="H62" i="50"/>
  <c r="H77" i="50" s="1"/>
  <c r="H23" i="2" s="1"/>
  <c r="J55" i="50"/>
  <c r="F44" i="68"/>
  <c r="H14" i="74"/>
  <c r="J14" i="74" s="1"/>
  <c r="V16" i="72"/>
  <c r="F46" i="68"/>
  <c r="L55" i="41"/>
  <c r="S17" i="2"/>
  <c r="B23" i="41"/>
  <c r="B30" i="41" s="1"/>
  <c r="H17" i="41"/>
  <c r="H19" i="41" s="1"/>
  <c r="K40" i="50"/>
  <c r="M40" i="50" s="1"/>
  <c r="D57" i="61"/>
  <c r="H30" i="2" s="1"/>
  <c r="J30" i="50"/>
  <c r="G18" i="61"/>
  <c r="I21" i="50"/>
  <c r="I23" i="50" s="1"/>
  <c r="M7" i="50"/>
  <c r="H12" i="61"/>
  <c r="H18" i="61" s="1"/>
  <c r="J34" i="2" s="1"/>
  <c r="L34" i="44"/>
  <c r="L71" i="50"/>
  <c r="L100" i="41"/>
  <c r="L72" i="50"/>
  <c r="H21" i="9"/>
  <c r="L35" i="2"/>
  <c r="H15" i="74" s="1"/>
  <c r="J15" i="74" s="1"/>
  <c r="L68" i="50"/>
  <c r="D9" i="3"/>
  <c r="C61" i="3" s="1"/>
  <c r="D47" i="61"/>
  <c r="H35" i="2" s="1"/>
  <c r="F41" i="68"/>
  <c r="F14" i="74"/>
  <c r="F7" i="74"/>
  <c r="F8" i="74"/>
  <c r="F12" i="74"/>
  <c r="F9" i="74"/>
  <c r="F15" i="74"/>
  <c r="F11" i="74"/>
  <c r="F13" i="74"/>
  <c r="K18" i="50"/>
  <c r="I12" i="41"/>
  <c r="L12" i="41" s="1"/>
  <c r="F43" i="68"/>
  <c r="L36" i="44"/>
  <c r="N36" i="44" s="1"/>
  <c r="H16" i="9"/>
  <c r="D36" i="9"/>
  <c r="E35" i="11"/>
  <c r="C35" i="11"/>
  <c r="H61" i="61"/>
  <c r="J33" i="2"/>
  <c r="L69" i="50"/>
  <c r="P33" i="44"/>
  <c r="J35" i="44"/>
  <c r="H35" i="44" s="1"/>
  <c r="H34" i="44"/>
  <c r="D97" i="41"/>
  <c r="N96" i="41"/>
  <c r="J57" i="9"/>
  <c r="P16" i="70"/>
  <c r="I31" i="70" s="1"/>
  <c r="I34" i="70" s="1"/>
  <c r="B38" i="41"/>
  <c r="H38" i="41" s="1"/>
  <c r="H29" i="41"/>
  <c r="I100" i="41"/>
  <c r="D28" i="3"/>
  <c r="G16" i="62"/>
  <c r="I10" i="2"/>
  <c r="I77" i="50"/>
  <c r="J54" i="50"/>
  <c r="J91" i="41"/>
  <c r="L91" i="41"/>
  <c r="G91" i="41"/>
  <c r="J100" i="41"/>
  <c r="C100" i="41"/>
  <c r="F45" i="68"/>
  <c r="B26" i="41"/>
  <c r="K26" i="41" s="1"/>
  <c r="L26" i="41" s="1"/>
  <c r="J24" i="41"/>
  <c r="B31" i="41"/>
  <c r="M100" i="41"/>
  <c r="K100" i="41"/>
  <c r="H100" i="41"/>
  <c r="M10" i="2"/>
  <c r="D8" i="3"/>
  <c r="C17" i="11"/>
  <c r="J31" i="2"/>
  <c r="M31" i="2" s="1"/>
  <c r="F46" i="63"/>
  <c r="J32" i="2" s="1"/>
  <c r="I32" i="2" s="1"/>
  <c r="B100" i="41"/>
  <c r="I17" i="41"/>
  <c r="J17" i="41"/>
  <c r="L14" i="41"/>
  <c r="F100" i="41"/>
  <c r="E100" i="41"/>
  <c r="N42" i="44"/>
  <c r="L41" i="44"/>
  <c r="H22" i="61"/>
  <c r="N47" i="15"/>
  <c r="D12" i="15" s="1"/>
  <c r="K16" i="41"/>
  <c r="B25" i="41"/>
  <c r="K42" i="41"/>
  <c r="L42" i="41" s="1"/>
  <c r="M84" i="41" s="1"/>
  <c r="N84" i="41" s="1"/>
  <c r="F35" i="44"/>
  <c r="D35" i="44" s="1"/>
  <c r="P35" i="44" s="1"/>
  <c r="D34" i="44"/>
  <c r="I23" i="41"/>
  <c r="G100" i="41"/>
  <c r="D100" i="41"/>
  <c r="B14" i="15"/>
  <c r="F11" i="15"/>
  <c r="D36" i="45"/>
  <c r="F36" i="45" s="1"/>
  <c r="L34" i="45"/>
  <c r="L36" i="45" s="1"/>
  <c r="E53" i="68"/>
  <c r="I53" i="68" s="1"/>
  <c r="L29" i="2" l="1"/>
  <c r="H13" i="74" s="1"/>
  <c r="J13" i="74" s="1"/>
  <c r="N6" i="9"/>
  <c r="J28" i="50"/>
  <c r="J31" i="50"/>
  <c r="J25" i="50"/>
  <c r="J44" i="50" s="1"/>
  <c r="J47" i="50" s="1"/>
  <c r="J48" i="50" s="1"/>
  <c r="F39" i="51"/>
  <c r="G39" i="51" s="1"/>
  <c r="J27" i="2" s="1"/>
  <c r="I27" i="2" s="1"/>
  <c r="H8" i="9"/>
  <c r="H9" i="9" s="1"/>
  <c r="J28" i="2" s="1"/>
  <c r="G47" i="61"/>
  <c r="M11" i="2"/>
  <c r="M43" i="2"/>
  <c r="M50" i="2"/>
  <c r="D57" i="9"/>
  <c r="H29" i="2" s="1"/>
  <c r="H37" i="2" s="1"/>
  <c r="H39" i="2" s="1"/>
  <c r="H53" i="2"/>
  <c r="S18" i="2" s="1"/>
  <c r="S20" i="2" s="1"/>
  <c r="F78" i="47"/>
  <c r="J19" i="2" s="1"/>
  <c r="M19" i="2" s="1"/>
  <c r="H47" i="61"/>
  <c r="J35" i="2" s="1"/>
  <c r="I35" i="2" s="1"/>
  <c r="D8" i="74"/>
  <c r="D15" i="74"/>
  <c r="G17" i="74"/>
  <c r="D9" i="74"/>
  <c r="D12" i="74"/>
  <c r="D13" i="74"/>
  <c r="D7" i="74"/>
  <c r="D10" i="74"/>
  <c r="D14" i="74"/>
  <c r="G31" i="11"/>
  <c r="G34" i="11"/>
  <c r="J62" i="50"/>
  <c r="J77" i="50" s="1"/>
  <c r="J23" i="2" s="1"/>
  <c r="P23" i="2" s="1"/>
  <c r="P24" i="2" s="1"/>
  <c r="I30" i="2"/>
  <c r="D29" i="3"/>
  <c r="C75" i="3" s="1"/>
  <c r="P10" i="70"/>
  <c r="D30" i="70" s="1"/>
  <c r="V9" i="72"/>
  <c r="L70" i="50"/>
  <c r="D32" i="3"/>
  <c r="C78" i="3" s="1"/>
  <c r="G36" i="9"/>
  <c r="G57" i="9" s="1"/>
  <c r="I31" i="50"/>
  <c r="M34" i="2"/>
  <c r="I34" i="2"/>
  <c r="N34" i="2"/>
  <c r="H36" i="9"/>
  <c r="H57" i="9" s="1"/>
  <c r="J29" i="2" s="1"/>
  <c r="M14" i="50"/>
  <c r="K21" i="50"/>
  <c r="M21" i="50" s="1"/>
  <c r="V17" i="72"/>
  <c r="J55" i="2"/>
  <c r="M55" i="2" s="1"/>
  <c r="L14" i="2"/>
  <c r="L20" i="2" s="1"/>
  <c r="I55" i="2"/>
  <c r="F17" i="74"/>
  <c r="N91" i="41"/>
  <c r="H36" i="44"/>
  <c r="J36" i="44" s="1"/>
  <c r="M33" i="2"/>
  <c r="I33" i="2"/>
  <c r="N33" i="2"/>
  <c r="H43" i="41"/>
  <c r="L38" i="41"/>
  <c r="N32" i="2"/>
  <c r="V13" i="72"/>
  <c r="D26" i="3"/>
  <c r="C73" i="3" s="1"/>
  <c r="L29" i="41"/>
  <c r="H33" i="41"/>
  <c r="H35" i="41" s="1"/>
  <c r="B32" i="41"/>
  <c r="K25" i="41"/>
  <c r="N43" i="44"/>
  <c r="L42" i="44"/>
  <c r="P42" i="44" s="1"/>
  <c r="B39" i="41"/>
  <c r="I39" i="41" s="1"/>
  <c r="I30" i="41"/>
  <c r="J19" i="41"/>
  <c r="B40" i="41"/>
  <c r="J40" i="41" s="1"/>
  <c r="J31" i="41"/>
  <c r="N31" i="2"/>
  <c r="P34" i="44"/>
  <c r="P36" i="44" s="1"/>
  <c r="D36" i="44"/>
  <c r="F36" i="44" s="1"/>
  <c r="M32" i="2"/>
  <c r="I27" i="41"/>
  <c r="L23" i="41"/>
  <c r="P41" i="44"/>
  <c r="I19" i="41"/>
  <c r="N100" i="41"/>
  <c r="J54" i="61"/>
  <c r="J57" i="61" s="1"/>
  <c r="L30" i="2" s="1"/>
  <c r="H11" i="74" s="1"/>
  <c r="J11" i="74" s="1"/>
  <c r="G32" i="11"/>
  <c r="G17" i="11"/>
  <c r="L24" i="41"/>
  <c r="J27" i="41"/>
  <c r="F12" i="15"/>
  <c r="F14" i="15" s="1"/>
  <c r="D14" i="15"/>
  <c r="I30" i="51"/>
  <c r="I39" i="51" s="1"/>
  <c r="L27" i="2" s="1"/>
  <c r="D24" i="3" s="1"/>
  <c r="C71" i="3" s="1"/>
  <c r="F16" i="62"/>
  <c r="L16" i="41"/>
  <c r="L17" i="41" s="1"/>
  <c r="K17" i="41"/>
  <c r="I31" i="2"/>
  <c r="U33" i="2"/>
  <c r="U34" i="2" s="1"/>
  <c r="U35" i="2" s="1"/>
  <c r="C60" i="3"/>
  <c r="C65" i="3" s="1"/>
  <c r="I28" i="2" l="1"/>
  <c r="N28" i="2"/>
  <c r="N27" i="2"/>
  <c r="M27" i="2"/>
  <c r="M28" i="2"/>
  <c r="I29" i="2"/>
  <c r="I19" i="2"/>
  <c r="M35" i="2"/>
  <c r="H55" i="2"/>
  <c r="H57" i="2" s="1"/>
  <c r="N35" i="2"/>
  <c r="G35" i="11"/>
  <c r="D17" i="74"/>
  <c r="M18" i="50"/>
  <c r="R23" i="2"/>
  <c r="R24" i="2" s="1"/>
  <c r="I23" i="2"/>
  <c r="K23" i="50"/>
  <c r="K25" i="50" s="1"/>
  <c r="I28" i="50"/>
  <c r="I25" i="50"/>
  <c r="I30" i="50"/>
  <c r="M29" i="2"/>
  <c r="N29" i="2"/>
  <c r="D16" i="3"/>
  <c r="D18" i="3" s="1"/>
  <c r="H45" i="41"/>
  <c r="H53" i="41" s="1"/>
  <c r="K19" i="41"/>
  <c r="L19" i="41" s="1"/>
  <c r="I33" i="41"/>
  <c r="I35" i="41" s="1"/>
  <c r="L30" i="41"/>
  <c r="I43" i="41"/>
  <c r="L39" i="41"/>
  <c r="N44" i="44"/>
  <c r="L43" i="44"/>
  <c r="P43" i="44" s="1"/>
  <c r="H16" i="62"/>
  <c r="L31" i="41"/>
  <c r="K27" i="41"/>
  <c r="L25" i="41"/>
  <c r="L27" i="41" s="1"/>
  <c r="V14" i="72"/>
  <c r="P14" i="70"/>
  <c r="D34" i="70" s="1"/>
  <c r="M30" i="2"/>
  <c r="N30" i="2"/>
  <c r="D27" i="3"/>
  <c r="C74" i="3" s="1"/>
  <c r="L40" i="41"/>
  <c r="J43" i="41"/>
  <c r="B41" i="41"/>
  <c r="K41" i="41" s="1"/>
  <c r="J32" i="41"/>
  <c r="J33" i="41" s="1"/>
  <c r="J35" i="41" s="1"/>
  <c r="K32" i="41"/>
  <c r="K33" i="41" s="1"/>
  <c r="M25" i="50" l="1"/>
  <c r="L53" i="50"/>
  <c r="O21" i="50"/>
  <c r="M23" i="50"/>
  <c r="I44" i="50"/>
  <c r="I47" i="50" s="1"/>
  <c r="I48" i="50" s="1"/>
  <c r="K30" i="50"/>
  <c r="K31" i="50"/>
  <c r="M31" i="50" s="1"/>
  <c r="L73" i="50" s="1"/>
  <c r="K28" i="50"/>
  <c r="M28" i="50" s="1"/>
  <c r="H48" i="41"/>
  <c r="J45" i="41"/>
  <c r="J48" i="41" s="1"/>
  <c r="I45" i="41"/>
  <c r="I53" i="41" s="1"/>
  <c r="I48" i="41"/>
  <c r="L32" i="41"/>
  <c r="L33" i="41" s="1"/>
  <c r="K35" i="41"/>
  <c r="K43" i="41"/>
  <c r="L41" i="41"/>
  <c r="L43" i="41" s="1"/>
  <c r="G17" i="62"/>
  <c r="N45" i="44"/>
  <c r="L44" i="44"/>
  <c r="P44" i="44" s="1"/>
  <c r="H62" i="41"/>
  <c r="H65" i="41" s="1"/>
  <c r="H66" i="41" s="1"/>
  <c r="L58" i="50" l="1"/>
  <c r="L57" i="50"/>
  <c r="L56" i="50"/>
  <c r="L59" i="50"/>
  <c r="L55" i="50"/>
  <c r="L60" i="50"/>
  <c r="L54" i="50"/>
  <c r="M30" i="50"/>
  <c r="K44" i="50"/>
  <c r="K47" i="50" s="1"/>
  <c r="K48" i="50" s="1"/>
  <c r="J53" i="41"/>
  <c r="J62" i="41" s="1"/>
  <c r="J65" i="41" s="1"/>
  <c r="J66" i="41" s="1"/>
  <c r="L62" i="50"/>
  <c r="I62" i="41"/>
  <c r="I65" i="41" s="1"/>
  <c r="I66" i="41" s="1"/>
  <c r="C83" i="41"/>
  <c r="N83" i="41" s="1"/>
  <c r="L35" i="41"/>
  <c r="L45" i="41" s="1"/>
  <c r="F17" i="62"/>
  <c r="K45" i="41"/>
  <c r="L45" i="44"/>
  <c r="P45" i="44" s="1"/>
  <c r="N46" i="44"/>
  <c r="L75" i="50" l="1"/>
  <c r="M44" i="50"/>
  <c r="M47" i="50" s="1"/>
  <c r="N47" i="44"/>
  <c r="L46" i="44"/>
  <c r="P46" i="44" s="1"/>
  <c r="H64" i="61"/>
  <c r="G81" i="41"/>
  <c r="G85" i="41" s="1"/>
  <c r="D81" i="41"/>
  <c r="D85" i="41" s="1"/>
  <c r="E81" i="41"/>
  <c r="E85" i="41" s="1"/>
  <c r="J81" i="41"/>
  <c r="J85" i="41" s="1"/>
  <c r="H81" i="41"/>
  <c r="H85" i="41" s="1"/>
  <c r="B81" i="41"/>
  <c r="F81" i="41"/>
  <c r="F85" i="41" s="1"/>
  <c r="L81" i="41"/>
  <c r="L85" i="41" s="1"/>
  <c r="I81" i="41"/>
  <c r="I85" i="41" s="1"/>
  <c r="M81" i="41"/>
  <c r="M85" i="41" s="1"/>
  <c r="C81" i="41"/>
  <c r="C85" i="41" s="1"/>
  <c r="K81" i="41"/>
  <c r="K85" i="41" s="1"/>
  <c r="H65" i="61"/>
  <c r="G20" i="62"/>
  <c r="K48" i="41"/>
  <c r="K53" i="41"/>
  <c r="L53" i="41" s="1"/>
  <c r="H68" i="61" l="1"/>
  <c r="J36" i="2" s="1"/>
  <c r="K62" i="41"/>
  <c r="K65" i="41" s="1"/>
  <c r="K66" i="41" s="1"/>
  <c r="L48" i="41"/>
  <c r="L62" i="41" s="1"/>
  <c r="L65" i="41" s="1"/>
  <c r="M88" i="41"/>
  <c r="M92" i="41" s="1"/>
  <c r="B85" i="41"/>
  <c r="N81" i="41"/>
  <c r="N85" i="41" s="1"/>
  <c r="D88" i="41"/>
  <c r="D92" i="41" s="1"/>
  <c r="D102" i="41" s="1"/>
  <c r="F95" i="41"/>
  <c r="F97" i="41" s="1"/>
  <c r="K95" i="41"/>
  <c r="K97" i="41" s="1"/>
  <c r="E95" i="41"/>
  <c r="J95" i="41"/>
  <c r="J97" i="41" s="1"/>
  <c r="I95" i="41"/>
  <c r="I97" i="41" s="1"/>
  <c r="L95" i="41"/>
  <c r="L97" i="41" s="1"/>
  <c r="G95" i="41"/>
  <c r="G97" i="41" s="1"/>
  <c r="H95" i="41"/>
  <c r="H97" i="41" s="1"/>
  <c r="M95" i="41"/>
  <c r="M97" i="41" s="1"/>
  <c r="M102" i="41" s="1"/>
  <c r="I88" i="41"/>
  <c r="I92" i="41" s="1"/>
  <c r="H88" i="41"/>
  <c r="H92" i="41" s="1"/>
  <c r="G88" i="41"/>
  <c r="G92" i="41" s="1"/>
  <c r="N48" i="44"/>
  <c r="L47" i="44"/>
  <c r="P47" i="44" s="1"/>
  <c r="K88" i="41"/>
  <c r="K92" i="41" s="1"/>
  <c r="L88" i="41"/>
  <c r="L92" i="41" s="1"/>
  <c r="J88" i="41"/>
  <c r="J92" i="41" s="1"/>
  <c r="J102" i="41" s="1"/>
  <c r="C88" i="41"/>
  <c r="C92" i="41" s="1"/>
  <c r="C102" i="41" s="1"/>
  <c r="F88" i="41"/>
  <c r="F92" i="41" s="1"/>
  <c r="E88" i="41"/>
  <c r="E92" i="41" s="1"/>
  <c r="L102" i="41" l="1"/>
  <c r="G102" i="41"/>
  <c r="I102" i="41"/>
  <c r="K102" i="41"/>
  <c r="F102" i="41"/>
  <c r="H102" i="41"/>
  <c r="B88" i="41"/>
  <c r="L66" i="41"/>
  <c r="L71" i="41"/>
  <c r="I36" i="2"/>
  <c r="L48" i="44"/>
  <c r="P48" i="44" s="1"/>
  <c r="N49" i="44"/>
  <c r="N95" i="41"/>
  <c r="N97" i="41" s="1"/>
  <c r="E97" i="41"/>
  <c r="E102" i="41" s="1"/>
  <c r="F20" i="62"/>
  <c r="N88" i="41" l="1"/>
  <c r="B92" i="41"/>
  <c r="L49" i="44"/>
  <c r="P49" i="44" s="1"/>
  <c r="N50" i="44"/>
  <c r="H20" i="62"/>
  <c r="G21" i="62" s="1"/>
  <c r="N92" i="41" l="1"/>
  <c r="N102" i="41" s="1"/>
  <c r="B102" i="41"/>
  <c r="N51" i="44"/>
  <c r="L51" i="44" s="1"/>
  <c r="L50" i="44"/>
  <c r="P50" i="44" s="1"/>
  <c r="P51" i="44" l="1"/>
  <c r="P52" i="44" s="1"/>
  <c r="L52" i="44"/>
  <c r="N52" i="44" s="1"/>
  <c r="F21" i="62"/>
  <c r="H21" i="62" l="1"/>
  <c r="G22" i="62" s="1"/>
  <c r="F22" i="62" l="1"/>
  <c r="H22" i="62" l="1"/>
  <c r="G23" i="62" l="1"/>
  <c r="F23" i="62" l="1"/>
  <c r="H23" i="62" l="1"/>
  <c r="G24" i="62" l="1"/>
  <c r="F24" i="62" l="1"/>
  <c r="H24" i="62" l="1"/>
  <c r="G25" i="62" l="1"/>
  <c r="F25" i="62" s="1"/>
  <c r="H25" i="62" s="1"/>
  <c r="G26" i="62" l="1"/>
  <c r="F26" i="62" s="1"/>
  <c r="H26" i="62" s="1"/>
  <c r="G27" i="62" l="1"/>
  <c r="F27" i="62" s="1"/>
  <c r="H27" i="62" s="1"/>
  <c r="G28" i="62" l="1"/>
  <c r="F28" i="62" s="1"/>
  <c r="H28" i="62" s="1"/>
  <c r="G29" i="62" l="1"/>
  <c r="F29" i="62" s="1"/>
  <c r="H29" i="62" s="1"/>
  <c r="G30" i="62" l="1"/>
  <c r="F30" i="62" s="1"/>
  <c r="H30" i="62" s="1"/>
  <c r="G31" i="62" l="1"/>
  <c r="G32" i="62" s="1"/>
  <c r="F31" i="62" l="1"/>
  <c r="F32" i="62" s="1"/>
  <c r="I32" i="62" s="1"/>
  <c r="J64" i="61"/>
  <c r="J65" i="61" l="1"/>
  <c r="J68" i="61" s="1"/>
  <c r="H31" i="62"/>
  <c r="L36" i="2" l="1"/>
  <c r="H9" i="74" l="1"/>
  <c r="J9" i="74" s="1"/>
  <c r="P12" i="70"/>
  <c r="D32" i="70" s="1"/>
  <c r="V11" i="72"/>
  <c r="D33" i="3"/>
  <c r="C79" i="3" s="1"/>
  <c r="M36" i="2"/>
  <c r="N36" i="2"/>
  <c r="F52" i="68" l="1"/>
  <c r="L63" i="50" l="1"/>
  <c r="L77" i="50" l="1"/>
  <c r="L23" i="2" s="1"/>
  <c r="M23" i="2" s="1"/>
  <c r="V10" i="72" l="1"/>
  <c r="N23" i="2"/>
  <c r="P11" i="70"/>
  <c r="D31" i="70" s="1"/>
  <c r="H8" i="74"/>
  <c r="D21" i="3"/>
  <c r="C68" i="3" l="1"/>
  <c r="J8" i="74"/>
  <c r="D21" i="64" l="1"/>
  <c r="H21" i="64" s="1"/>
  <c r="F21" i="64" l="1"/>
  <c r="K21" i="64" s="1"/>
  <c r="J14" i="2"/>
  <c r="I20" i="2" l="1"/>
  <c r="D41" i="59"/>
  <c r="E41" i="59"/>
  <c r="J12" i="2" l="1"/>
  <c r="M12" i="2" l="1"/>
  <c r="J20" i="2"/>
  <c r="M20" i="2" l="1"/>
  <c r="F52" i="53" l="1"/>
  <c r="F41" i="53"/>
  <c r="K41" i="67" s="1"/>
  <c r="K41" i="53"/>
  <c r="K50" i="53" s="1"/>
  <c r="K51" i="53" s="1"/>
  <c r="K52" i="53" s="1"/>
  <c r="D53" i="53"/>
  <c r="H53" i="53" s="1"/>
  <c r="F53" i="53" l="1"/>
  <c r="K53" i="53" l="1"/>
  <c r="K31" i="64" l="1"/>
  <c r="F31" i="64"/>
  <c r="H47" i="64"/>
  <c r="D47" i="64" s="1"/>
  <c r="F47" i="64" l="1"/>
  <c r="K47" i="64"/>
  <c r="K32" i="64"/>
  <c r="D34" i="64"/>
  <c r="F34" i="64" s="1"/>
  <c r="H52" i="64"/>
  <c r="D52" i="64" s="1"/>
  <c r="F52" i="64" s="1"/>
  <c r="K33" i="64"/>
  <c r="H51" i="64"/>
  <c r="D33" i="64"/>
  <c r="F33" i="64" s="1"/>
  <c r="H49" i="64"/>
  <c r="H50" i="64"/>
  <c r="D35" i="64"/>
  <c r="F35" i="64" s="1"/>
  <c r="H48" i="64"/>
  <c r="D32" i="64"/>
  <c r="D36" i="64"/>
  <c r="F36" i="64" s="1"/>
  <c r="D37" i="64" l="1"/>
  <c r="H37" i="64" s="1"/>
  <c r="K49" i="64"/>
  <c r="D49" i="64"/>
  <c r="F49" i="64" s="1"/>
  <c r="D51" i="64"/>
  <c r="F51" i="64" s="1"/>
  <c r="K51" i="64"/>
  <c r="D50" i="64"/>
  <c r="F50" i="64" s="1"/>
  <c r="K50" i="64"/>
  <c r="K48" i="64"/>
  <c r="D48" i="64"/>
  <c r="K34" i="64"/>
  <c r="K35" i="64" s="1"/>
  <c r="K36" i="64" s="1"/>
  <c r="F32" i="64"/>
  <c r="F37" i="64" s="1"/>
  <c r="K52" i="64"/>
  <c r="F48" i="64" l="1"/>
  <c r="F53" i="64" s="1"/>
  <c r="K53" i="64" s="1"/>
  <c r="D53" i="64"/>
  <c r="H53" i="64" s="1"/>
  <c r="K37" i="64"/>
  <c r="D47" i="67" l="1"/>
  <c r="K47" i="67" l="1"/>
  <c r="H50" i="67"/>
  <c r="D50" i="67" s="1"/>
  <c r="K50" i="67" s="1"/>
  <c r="D34" i="67"/>
  <c r="H52" i="67"/>
  <c r="D52" i="67" s="1"/>
  <c r="K52" i="67" s="1"/>
  <c r="H51" i="67"/>
  <c r="D51" i="67" s="1"/>
  <c r="K51" i="67" s="1"/>
  <c r="D33" i="67"/>
  <c r="D49" i="67"/>
  <c r="K49" i="67" s="1"/>
  <c r="D36" i="67"/>
  <c r="D35" i="67"/>
  <c r="D32" i="67"/>
  <c r="D48" i="67"/>
  <c r="D37" i="67" l="1"/>
  <c r="H37" i="67" s="1"/>
  <c r="D53" i="67"/>
  <c r="K48" i="67"/>
  <c r="K53" i="67" s="1"/>
  <c r="H53" i="67" l="1"/>
  <c r="L24" i="2"/>
  <c r="D22" i="3" l="1"/>
  <c r="C69" i="3" l="1"/>
  <c r="K35" i="53" l="1"/>
  <c r="K36" i="53" s="1"/>
  <c r="E37" i="53"/>
  <c r="I37" i="53" s="1"/>
  <c r="F36" i="53" l="1"/>
  <c r="F37" i="53" s="1"/>
  <c r="D37" i="53"/>
  <c r="H37" i="53" s="1"/>
  <c r="J24" i="2" l="1"/>
  <c r="K37" i="53"/>
  <c r="N24" i="2" l="1"/>
  <c r="I24" i="2"/>
  <c r="M24" i="2"/>
  <c r="K30" i="68"/>
  <c r="F30" i="68"/>
  <c r="E33" i="68"/>
  <c r="E32" i="68"/>
  <c r="E37" i="68" l="1"/>
  <c r="I37" i="68" s="1"/>
  <c r="H32" i="68" l="1"/>
  <c r="K32" i="68"/>
  <c r="D32" i="68"/>
  <c r="H33" i="68"/>
  <c r="H34" i="68"/>
  <c r="H35" i="68"/>
  <c r="H36" i="68" s="1"/>
  <c r="H47" i="68"/>
  <c r="K47" i="68"/>
  <c r="H51" i="68"/>
  <c r="D51" i="68" s="1"/>
  <c r="F51" i="68" s="1"/>
  <c r="K51" i="68"/>
  <c r="D34" i="68"/>
  <c r="F34" i="68" s="1"/>
  <c r="H49" i="68"/>
  <c r="D49" i="68" s="1"/>
  <c r="K49" i="68"/>
  <c r="H48" i="68"/>
  <c r="K48" i="68" s="1"/>
  <c r="D48" i="68"/>
  <c r="F48" i="68" s="1"/>
  <c r="H50" i="68"/>
  <c r="D33" i="68"/>
  <c r="D35" i="68"/>
  <c r="F35" i="68" s="1"/>
  <c r="K33" i="68"/>
  <c r="F31" i="68"/>
  <c r="F33" i="68"/>
  <c r="K31" i="68"/>
  <c r="K34" i="68" s="1"/>
  <c r="K35" i="68" s="1"/>
  <c r="K36" i="68" s="1"/>
  <c r="F32" i="68"/>
  <c r="D36" i="68" l="1"/>
  <c r="H52" i="68"/>
  <c r="K52" i="68" s="1"/>
  <c r="F49" i="68"/>
  <c r="F53" i="68" s="1"/>
  <c r="D53" i="68"/>
  <c r="H53" i="68" s="1"/>
  <c r="K50" i="68"/>
  <c r="D50" i="68"/>
  <c r="F50" i="68" s="1"/>
  <c r="D37" i="68" l="1"/>
  <c r="H37" i="68" s="1"/>
  <c r="F36" i="68"/>
  <c r="F37" i="68" s="1"/>
  <c r="K53" i="68"/>
  <c r="L25" i="2"/>
  <c r="J25" i="2" l="1"/>
  <c r="J37" i="2" s="1"/>
  <c r="J39" i="2" s="1"/>
  <c r="J57" i="2" s="1"/>
  <c r="K37" i="68"/>
  <c r="V12" i="72"/>
  <c r="V19" i="72" s="1"/>
  <c r="L37" i="2"/>
  <c r="D23" i="3"/>
  <c r="P13" i="70"/>
  <c r="H10" i="74"/>
  <c r="N25" i="2" l="1"/>
  <c r="I25" i="2"/>
  <c r="I37" i="2" s="1"/>
  <c r="I39" i="2" s="1"/>
  <c r="I57" i="2" s="1"/>
  <c r="M25" i="2"/>
  <c r="L36" i="70"/>
  <c r="M37" i="2"/>
  <c r="L39" i="2"/>
  <c r="C70" i="3"/>
  <c r="C80" i="3" s="1"/>
  <c r="D34" i="3"/>
  <c r="D36" i="3" s="1"/>
  <c r="E38" i="3" s="1"/>
  <c r="F35" i="18" s="1"/>
  <c r="P19" i="70"/>
  <c r="Q13" i="70" s="1"/>
  <c r="C33" i="70" s="1"/>
  <c r="D33" i="70"/>
  <c r="D35" i="70" s="1"/>
  <c r="L35" i="70" s="1"/>
  <c r="H17" i="74"/>
  <c r="I10" i="74" s="1"/>
  <c r="J10" i="74"/>
  <c r="M39" i="2" l="1"/>
  <c r="L57" i="2"/>
  <c r="M57" i="2" s="1"/>
  <c r="N39" i="2"/>
  <c r="Q17" i="70"/>
  <c r="H32" i="70" s="1"/>
  <c r="Q11" i="70"/>
  <c r="C31" i="70" s="1"/>
  <c r="Q16" i="70"/>
  <c r="H31" i="70" s="1"/>
  <c r="Q15" i="70"/>
  <c r="H30" i="70" s="1"/>
  <c r="Q12" i="70"/>
  <c r="C32" i="70" s="1"/>
  <c r="Q14" i="70"/>
  <c r="C34" i="70" s="1"/>
  <c r="Q18" i="70"/>
  <c r="H33" i="70" s="1"/>
  <c r="Q10" i="70"/>
  <c r="I9" i="74"/>
  <c r="I13" i="74"/>
  <c r="I11" i="74"/>
  <c r="I8" i="74"/>
  <c r="I14" i="74"/>
  <c r="I12" i="74"/>
  <c r="I7" i="74"/>
  <c r="I15" i="74"/>
  <c r="J17" i="74"/>
  <c r="C30" i="70" l="1"/>
  <c r="C35" i="70" s="1"/>
  <c r="Q19" i="70"/>
  <c r="H34" i="70"/>
  <c r="I17" i="74"/>
  <c r="L33" i="70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<sst xmlns="http://schemas.openxmlformats.org/spreadsheetml/2006/main" count="6340" uniqueCount="3225">
  <si>
    <t>0000-9994</t>
  </si>
  <si>
    <t>ASSETS</t>
  </si>
  <si>
    <t>0000-9995</t>
  </si>
  <si>
    <t>CASH AND CASH EQUIVALENTS</t>
  </si>
  <si>
    <t>0010-0000</t>
  </si>
  <si>
    <t>Operating Account</t>
  </si>
  <si>
    <t>0010-0002</t>
  </si>
  <si>
    <t>Operating Account 2</t>
  </si>
  <si>
    <t>0010-0003</t>
  </si>
  <si>
    <t>Payroll Account</t>
  </si>
  <si>
    <t>0010-0004</t>
  </si>
  <si>
    <t>Void Exchange</t>
  </si>
  <si>
    <t>0010-0005</t>
  </si>
  <si>
    <t>Operating Account 5</t>
  </si>
  <si>
    <t>0010-0006</t>
  </si>
  <si>
    <t>OEF-Checking</t>
  </si>
  <si>
    <t>0010-0099</t>
  </si>
  <si>
    <t>Old Operating Accounts</t>
  </si>
  <si>
    <t>0020-0000</t>
  </si>
  <si>
    <t>Money Market Account</t>
  </si>
  <si>
    <t>0020-0002</t>
  </si>
  <si>
    <t>Money Market Account 2</t>
  </si>
  <si>
    <t>0020-0003</t>
  </si>
  <si>
    <t>Money Market Account 3</t>
  </si>
  <si>
    <t>0020-0004</t>
  </si>
  <si>
    <t>Money Market 4</t>
  </si>
  <si>
    <t>0030-0000</t>
  </si>
  <si>
    <t>Investment Account</t>
  </si>
  <si>
    <t>0030-0002</t>
  </si>
  <si>
    <t>Investment Account 2</t>
  </si>
  <si>
    <t>0030-0003</t>
  </si>
  <si>
    <t>Investment Account 3</t>
  </si>
  <si>
    <t>0030-0004</t>
  </si>
  <si>
    <t>Investment Account 4</t>
  </si>
  <si>
    <t>0035-0001</t>
  </si>
  <si>
    <t>Reserve - Interest</t>
  </si>
  <si>
    <t>0035-0002</t>
  </si>
  <si>
    <t>Reserve 2</t>
  </si>
  <si>
    <t>0035-0004</t>
  </si>
  <si>
    <t>Reserve - Insurance</t>
  </si>
  <si>
    <t>0035-0005</t>
  </si>
  <si>
    <t>Condo Conversion Account</t>
  </si>
  <si>
    <t>0035-0006</t>
  </si>
  <si>
    <t>Reserve - Interest 2</t>
  </si>
  <si>
    <t>0040-0000</t>
  </si>
  <si>
    <t>Certificate of Deposit</t>
  </si>
  <si>
    <t>0040-0002</t>
  </si>
  <si>
    <t>Certificate of Deposit 2</t>
  </si>
  <si>
    <t>0040-0003</t>
  </si>
  <si>
    <t>Certificate of Deposit 3</t>
  </si>
  <si>
    <t>0040-0004</t>
  </si>
  <si>
    <t>Certificate of Deposit 4</t>
  </si>
  <si>
    <t>0040-0005</t>
  </si>
  <si>
    <t>Tax Escrow</t>
  </si>
  <si>
    <t>0040-0006</t>
  </si>
  <si>
    <t>Capital Reserves</t>
  </si>
  <si>
    <t>0040-0007</t>
  </si>
  <si>
    <t>Capital Reserves 2</t>
  </si>
  <si>
    <t>0050-0000</t>
  </si>
  <si>
    <t>Treasury Bill</t>
  </si>
  <si>
    <t>0050-0002</t>
  </si>
  <si>
    <t>Treasury Bill 2</t>
  </si>
  <si>
    <t>0050-0003</t>
  </si>
  <si>
    <t>Treasury Bill 3</t>
  </si>
  <si>
    <t>0050-0004</t>
  </si>
  <si>
    <t>Treasury Bill 4</t>
  </si>
  <si>
    <t>0050-0005</t>
  </si>
  <si>
    <t>Treasury Bill 5</t>
  </si>
  <si>
    <t>0050-0006</t>
  </si>
  <si>
    <t>Owner's Reserves</t>
  </si>
  <si>
    <t>0050-0007</t>
  </si>
  <si>
    <t>0055-0000</t>
  </si>
  <si>
    <t>Escrow Deposits</t>
  </si>
  <si>
    <t>0055-0001</t>
  </si>
  <si>
    <t>Escrow - Release Price</t>
  </si>
  <si>
    <t>0055-0002</t>
  </si>
  <si>
    <t>Security Deposits</t>
  </si>
  <si>
    <t>0055-0003</t>
  </si>
  <si>
    <t>Escrow - Mechanics Lien</t>
  </si>
  <si>
    <t>0055-0004</t>
  </si>
  <si>
    <t>Escrow - Condo Conversion</t>
  </si>
  <si>
    <t>0055-0005</t>
  </si>
  <si>
    <t>Alteration Deposits</t>
  </si>
  <si>
    <t>0055-0006</t>
  </si>
  <si>
    <t>Escrow - Restricted Cash</t>
  </si>
  <si>
    <t>0055-0007</t>
  </si>
  <si>
    <t>Escrow - Real Estate Tax</t>
  </si>
  <si>
    <t>0060-0000</t>
  </si>
  <si>
    <t>Petty Cash</t>
  </si>
  <si>
    <t>0099-9997</t>
  </si>
  <si>
    <t>TOTAL CASH AND CASH EQUIVALENTS</t>
  </si>
  <si>
    <t>1200-9994</t>
  </si>
  <si>
    <t>ACCOUNTS RECEIVABLE</t>
  </si>
  <si>
    <t>1210-0000</t>
  </si>
  <si>
    <t>Accounts Receivable</t>
  </si>
  <si>
    <t>1210-0001</t>
  </si>
  <si>
    <t>Repairs Receivable</t>
  </si>
  <si>
    <t>1210-0002</t>
  </si>
  <si>
    <t>Other Accounts Receivable</t>
  </si>
  <si>
    <t>1210-0003</t>
  </si>
  <si>
    <t>Accounts Receivable Aging</t>
  </si>
  <si>
    <t>1210-1111</t>
  </si>
  <si>
    <t>Allowance for Doubtful Accounts</t>
  </si>
  <si>
    <t>1299-9997</t>
  </si>
  <si>
    <t>TOTAL ACCOUNTS RECEIVABLE</t>
  </si>
  <si>
    <t>1300-9994</t>
  </si>
  <si>
    <t>PREPAID EXPENSES</t>
  </si>
  <si>
    <t>1310-0000</t>
  </si>
  <si>
    <t>Prepaid Insurance</t>
  </si>
  <si>
    <t>1320-0000</t>
  </si>
  <si>
    <t>Prepaid Taxes</t>
  </si>
  <si>
    <t>1330-0000</t>
  </si>
  <si>
    <t>Prepaid Supplies</t>
  </si>
  <si>
    <t>1340-0000</t>
  </si>
  <si>
    <t>Prepaid - Other</t>
  </si>
  <si>
    <t>1399-9997</t>
  </si>
  <si>
    <t>TOTAL PREPAID EXPENSES</t>
  </si>
  <si>
    <t>1399-9998</t>
  </si>
  <si>
    <t>TOTAL CURRENT ASSETS</t>
  </si>
  <si>
    <t>1400-9994</t>
  </si>
  <si>
    <t>FIXED ASSETS</t>
  </si>
  <si>
    <t>1405-0000</t>
  </si>
  <si>
    <t>Land</t>
  </si>
  <si>
    <t>1407-0000</t>
  </si>
  <si>
    <t>Building</t>
  </si>
  <si>
    <t>1407-1111</t>
  </si>
  <si>
    <t>Accum. Depreciation - Building</t>
  </si>
  <si>
    <t>1408-0000</t>
  </si>
  <si>
    <t>Property Held for Sale</t>
  </si>
  <si>
    <t>1408-0010</t>
  </si>
  <si>
    <t>Deferred Selling Cost</t>
  </si>
  <si>
    <t>1408-0020</t>
  </si>
  <si>
    <t>Syndication Costs</t>
  </si>
  <si>
    <t>1409-0000</t>
  </si>
  <si>
    <t>Building Improvements</t>
  </si>
  <si>
    <t>1409-1111</t>
  </si>
  <si>
    <t>Accum. Depreciation - Building Improvements</t>
  </si>
  <si>
    <t>1411-0000</t>
  </si>
  <si>
    <t>Building Equipment</t>
  </si>
  <si>
    <t>1411-1111</t>
  </si>
  <si>
    <t>Accum. Depreciation - Building Equipment</t>
  </si>
  <si>
    <t>1413-0000</t>
  </si>
  <si>
    <t>Lobby Improvements</t>
  </si>
  <si>
    <t>1413-1111</t>
  </si>
  <si>
    <t>Accum. Depreciation - Lobby Improvements</t>
  </si>
  <si>
    <t>1415-0000</t>
  </si>
  <si>
    <t>Hallway Improvements</t>
  </si>
  <si>
    <t>1415-1111</t>
  </si>
  <si>
    <t>Accum. Depreciation - Hallway Improvements</t>
  </si>
  <si>
    <t>1417-0000</t>
  </si>
  <si>
    <t>Roof Improvements</t>
  </si>
  <si>
    <t>1417-1111</t>
  </si>
  <si>
    <t>Accum. Depreciation - Roof Improvements</t>
  </si>
  <si>
    <t>1419-0000</t>
  </si>
  <si>
    <t>Facade Improvements</t>
  </si>
  <si>
    <t>1419-1111</t>
  </si>
  <si>
    <t>Accum. Depreciation - Fa‡ade Improvements</t>
  </si>
  <si>
    <t>1421-0000</t>
  </si>
  <si>
    <t>Building Personal Property</t>
  </si>
  <si>
    <t>1421-1111</t>
  </si>
  <si>
    <t>Accum. Depreciation - Building Personal Property</t>
  </si>
  <si>
    <t>1423-0000</t>
  </si>
  <si>
    <t>Office Equipment</t>
  </si>
  <si>
    <t>1423-1111</t>
  </si>
  <si>
    <t>Accum. Depreciation - Office</t>
  </si>
  <si>
    <t>1425-0000</t>
  </si>
  <si>
    <t>Furniture &amp; Fixtures</t>
  </si>
  <si>
    <t>1425-1111</t>
  </si>
  <si>
    <t>Accum. Depreciation - Furniture &amp; Fixtures</t>
  </si>
  <si>
    <t>1427-0000</t>
  </si>
  <si>
    <t>Leasehold Improvements</t>
  </si>
  <si>
    <t>1427-1111</t>
  </si>
  <si>
    <t>Accum. Depreciation - Leasehold Improvements</t>
  </si>
  <si>
    <t>1429-0000</t>
  </si>
  <si>
    <t>Truck and Auto</t>
  </si>
  <si>
    <t>1429-1111</t>
  </si>
  <si>
    <t>Accum. Depreciation - Truck and Auto</t>
  </si>
  <si>
    <t>1431-0000</t>
  </si>
  <si>
    <t>Office Personal Property</t>
  </si>
  <si>
    <t>1431-1111</t>
  </si>
  <si>
    <t>Accum. Depreciation - Computer Equipment</t>
  </si>
  <si>
    <t>1433-0000</t>
  </si>
  <si>
    <t>Computer Equipment</t>
  </si>
  <si>
    <t>1433-1111</t>
  </si>
  <si>
    <t>Accum. Depreciation - Computer Software</t>
  </si>
  <si>
    <t>1435-0000</t>
  </si>
  <si>
    <t>Computer Software</t>
  </si>
  <si>
    <t>1435-1111</t>
  </si>
  <si>
    <t>Accum. Depreciation - Office Personal Property</t>
  </si>
  <si>
    <t>1440-0000</t>
  </si>
  <si>
    <t>Conversions Costs - Capital</t>
  </si>
  <si>
    <t>1499-9997</t>
  </si>
  <si>
    <t>TOTAL FIXED ASSETS</t>
  </si>
  <si>
    <t>1500-9994</t>
  </si>
  <si>
    <t>LOANS RECEIVABLE</t>
  </si>
  <si>
    <t>1510-0000</t>
  </si>
  <si>
    <t>Loans Receivable</t>
  </si>
  <si>
    <t>1510-0010</t>
  </si>
  <si>
    <t>Loans Receivable - CMS</t>
  </si>
  <si>
    <t>1510-0020</t>
  </si>
  <si>
    <t>Loans Receivable - Shareholders</t>
  </si>
  <si>
    <t>1510-0030</t>
  </si>
  <si>
    <t>Loans to Affiliates</t>
  </si>
  <si>
    <t>1510-0090</t>
  </si>
  <si>
    <t>Loans Receivable - Others</t>
  </si>
  <si>
    <t>1550-0000</t>
  </si>
  <si>
    <t>Mortgage Receivable</t>
  </si>
  <si>
    <t>1599-9997</t>
  </si>
  <si>
    <t>TOTAL LOANS RECEIVABLE</t>
  </si>
  <si>
    <t>1700-9994</t>
  </si>
  <si>
    <t>OTHER ASSETS</t>
  </si>
  <si>
    <t>1710-0000</t>
  </si>
  <si>
    <t>Deferred Expenses</t>
  </si>
  <si>
    <t>1710-0010</t>
  </si>
  <si>
    <t>Deferred Leasing Expense</t>
  </si>
  <si>
    <t>1720-0000</t>
  </si>
  <si>
    <t>Fair Value of Interest Rate Cap</t>
  </si>
  <si>
    <t>1755-0000</t>
  </si>
  <si>
    <t>Goodwill</t>
  </si>
  <si>
    <t>1760-0000</t>
  </si>
  <si>
    <t>Non Sufficient Funds</t>
  </si>
  <si>
    <t>1765-0000</t>
  </si>
  <si>
    <t>Organizational Costs</t>
  </si>
  <si>
    <t>1770-0000</t>
  </si>
  <si>
    <t>Acquired Management Contracts</t>
  </si>
  <si>
    <t>1770-1000</t>
  </si>
  <si>
    <t>Covenant Not to Compete</t>
  </si>
  <si>
    <t>1770-2000</t>
  </si>
  <si>
    <t>Management Contract Acquisition Costs</t>
  </si>
  <si>
    <t>1775-0000</t>
  </si>
  <si>
    <t>Accum. Amortization</t>
  </si>
  <si>
    <t>1775-0001</t>
  </si>
  <si>
    <t>Interest Receivable</t>
  </si>
  <si>
    <t>1775-0005</t>
  </si>
  <si>
    <t>Deferred Straight Line Rent</t>
  </si>
  <si>
    <t>1775-7500</t>
  </si>
  <si>
    <t>Accum. Amortization - Acquired Mgmt. Contracts</t>
  </si>
  <si>
    <t>1776-0000</t>
  </si>
  <si>
    <t>Deferred Financing Costs</t>
  </si>
  <si>
    <t>1776-1111</t>
  </si>
  <si>
    <t>Accum. Amort - Financing</t>
  </si>
  <si>
    <t>1777-0000</t>
  </si>
  <si>
    <t>Deferred Financing Costs 2</t>
  </si>
  <si>
    <t>1777-1111</t>
  </si>
  <si>
    <t>Accum. Amort - Deferred Financing Costs</t>
  </si>
  <si>
    <t>1778-0000</t>
  </si>
  <si>
    <t>Utility Deposits</t>
  </si>
  <si>
    <t>1780-0000</t>
  </si>
  <si>
    <t>Other Assets</t>
  </si>
  <si>
    <t>1789-0001</t>
  </si>
  <si>
    <t>Transfer to Owners Tax Reserve</t>
  </si>
  <si>
    <t>1789-0002</t>
  </si>
  <si>
    <t>Transfer to Owners Capital Reserve</t>
  </si>
  <si>
    <t>1789-0003</t>
  </si>
  <si>
    <t>Distribution to Owners</t>
  </si>
  <si>
    <t>1789-0004</t>
  </si>
  <si>
    <t>Transfer From Owners Tax Reserve</t>
  </si>
  <si>
    <t>1789-0005</t>
  </si>
  <si>
    <t>Transfer from Owners Capital Reserve</t>
  </si>
  <si>
    <t>1789-9999</t>
  </si>
  <si>
    <t>Exchange Account</t>
  </si>
  <si>
    <t>1799-9997</t>
  </si>
  <si>
    <t>TOTAL OTHER ASSETS</t>
  </si>
  <si>
    <t>1999-9998</t>
  </si>
  <si>
    <t>TOTAL ASSETS</t>
  </si>
  <si>
    <t>2000-9994</t>
  </si>
  <si>
    <t>LIABILITIES &amp; CAPITAL</t>
  </si>
  <si>
    <t>2000-9995</t>
  </si>
  <si>
    <t>LIABILITIES</t>
  </si>
  <si>
    <t>2000-9996</t>
  </si>
  <si>
    <t>CURRENT LIABILITIES</t>
  </si>
  <si>
    <t>2210-0000</t>
  </si>
  <si>
    <t>Accounts Payable</t>
  </si>
  <si>
    <t>2265-0010</t>
  </si>
  <si>
    <t>Shareholder Tax Benefits Payable</t>
  </si>
  <si>
    <t>2210-1000</t>
  </si>
  <si>
    <t>Accounts Payable Aging</t>
  </si>
  <si>
    <t>2210-2000</t>
  </si>
  <si>
    <t>Prepaid Rent Liability</t>
  </si>
  <si>
    <t>2220-0000</t>
  </si>
  <si>
    <t>Accrued Expenses</t>
  </si>
  <si>
    <t>2220-1000</t>
  </si>
  <si>
    <t>Accrued Interest Payable</t>
  </si>
  <si>
    <t>2230-0000</t>
  </si>
  <si>
    <t>Payroll Taxes Payable</t>
  </si>
  <si>
    <t>2230-1000</t>
  </si>
  <si>
    <t>Federal Withholding Tax Payable</t>
  </si>
  <si>
    <t>2230-2000</t>
  </si>
  <si>
    <t>State Withholding Tax Payable</t>
  </si>
  <si>
    <t>2230-3000</t>
  </si>
  <si>
    <t>City Withholding Tax Payable</t>
  </si>
  <si>
    <t>2230-4000</t>
  </si>
  <si>
    <t>FICA Tax Payable</t>
  </si>
  <si>
    <t>2230-5000</t>
  </si>
  <si>
    <t>Medicare Payable</t>
  </si>
  <si>
    <t>2230-6000</t>
  </si>
  <si>
    <t>FUTA Tax Payable</t>
  </si>
  <si>
    <t>2230-7000</t>
  </si>
  <si>
    <t>SUI Tax Payable</t>
  </si>
  <si>
    <t>2230-8000</t>
  </si>
  <si>
    <t>401K Employer Liability</t>
  </si>
  <si>
    <t>2230-8010</t>
  </si>
  <si>
    <t>Disability Payable</t>
  </si>
  <si>
    <t>2230-8015</t>
  </si>
  <si>
    <t>Medical Payable</t>
  </si>
  <si>
    <t>2230-8020</t>
  </si>
  <si>
    <t>Union Dues Payable</t>
  </si>
  <si>
    <t>2230-9000</t>
  </si>
  <si>
    <t>Other Payroll Taxes Payable</t>
  </si>
  <si>
    <t>2250-0000</t>
  </si>
  <si>
    <t>Escrow Deposits Payable</t>
  </si>
  <si>
    <t>2255-0000</t>
  </si>
  <si>
    <t>Security Deposits Payable</t>
  </si>
  <si>
    <t>2260-0000</t>
  </si>
  <si>
    <t>Alteration Deposits Payable</t>
  </si>
  <si>
    <t>2265-0000</t>
  </si>
  <si>
    <t>Move In-Out Deposits Payable</t>
  </si>
  <si>
    <t>2265-0005</t>
  </si>
  <si>
    <t>Real Estate Taxes Payable</t>
  </si>
  <si>
    <t>2299-9997</t>
  </si>
  <si>
    <t>TOTAL CURRENT LIABILITIES</t>
  </si>
  <si>
    <t>2500-9994</t>
  </si>
  <si>
    <t>LOANS PAYABLE</t>
  </si>
  <si>
    <t>2510-0000</t>
  </si>
  <si>
    <t>Mortgage Payable</t>
  </si>
  <si>
    <t>2515-0000</t>
  </si>
  <si>
    <t>Mortgage Payable 2</t>
  </si>
  <si>
    <t>2515-0003</t>
  </si>
  <si>
    <t>Mortgage Payable 3</t>
  </si>
  <si>
    <t>2520-0000</t>
  </si>
  <si>
    <t>Loan Payable</t>
  </si>
  <si>
    <t>2520-0001</t>
  </si>
  <si>
    <t>Loans Payable - Partners</t>
  </si>
  <si>
    <t>2520-0002</t>
  </si>
  <si>
    <t>Loans Payable - Partner 2</t>
  </si>
  <si>
    <t>2520-0003</t>
  </si>
  <si>
    <t>Loans Payable - Partner 3</t>
  </si>
  <si>
    <t>2520-0004</t>
  </si>
  <si>
    <t>Loans Payable - Partner 4</t>
  </si>
  <si>
    <t>2520-0060</t>
  </si>
  <si>
    <t>Rescue Loans</t>
  </si>
  <si>
    <t>2520-0065</t>
  </si>
  <si>
    <t>Preferred Return Payable</t>
  </si>
  <si>
    <t>2520-2000</t>
  </si>
  <si>
    <t>Loan Payable 2</t>
  </si>
  <si>
    <t>2520-3000</t>
  </si>
  <si>
    <t>Loan Payable - Century Operating Corp.</t>
  </si>
  <si>
    <t>2520-5000</t>
  </si>
  <si>
    <t>Loans Payable Shareholders</t>
  </si>
  <si>
    <t>2520-5050</t>
  </si>
  <si>
    <t>Participant Liability</t>
  </si>
  <si>
    <t>2520-6000</t>
  </si>
  <si>
    <t>Lease Payable</t>
  </si>
  <si>
    <t>2521-0000</t>
  </si>
  <si>
    <t>Line of Credit</t>
  </si>
  <si>
    <t>2522-0000</t>
  </si>
  <si>
    <t>Line of Credit 2</t>
  </si>
  <si>
    <t>2523-0000</t>
  </si>
  <si>
    <t>Junior Mezz Loan</t>
  </si>
  <si>
    <t>2599-9997</t>
  </si>
  <si>
    <t>TOTAL LOANS PAYABLE</t>
  </si>
  <si>
    <t>2600-1000</t>
  </si>
  <si>
    <t>Due To/From Century Operating Corp.</t>
  </si>
  <si>
    <t>2600-2000</t>
  </si>
  <si>
    <t>Due To/From Century Mgmt. Services, Inc.</t>
  </si>
  <si>
    <t>2600-3000</t>
  </si>
  <si>
    <t>Due To/From Century Mgmt. Services II, Inc.</t>
  </si>
  <si>
    <t>2600-4000</t>
  </si>
  <si>
    <t>Due To/From Affiliates</t>
  </si>
  <si>
    <t>2600-4001</t>
  </si>
  <si>
    <t>Due To/From Affiliates 2</t>
  </si>
  <si>
    <t>2600-4002</t>
  </si>
  <si>
    <t>Due To/From Other</t>
  </si>
  <si>
    <t>2600-4003</t>
  </si>
  <si>
    <t>Due to/From Prior Owner</t>
  </si>
  <si>
    <t>2600-4010</t>
  </si>
  <si>
    <t>Due to/From Sponsor</t>
  </si>
  <si>
    <t>2600-5000</t>
  </si>
  <si>
    <t>Due To/From Property</t>
  </si>
  <si>
    <t>2600-9994</t>
  </si>
  <si>
    <t>INTERCOMPANY ACCOUNTS</t>
  </si>
  <si>
    <t>2699-9997</t>
  </si>
  <si>
    <t>TOTAL INTERCOMPANY ACCOUNTS</t>
  </si>
  <si>
    <t>2800-9994</t>
  </si>
  <si>
    <t>OTHER LIABILITIES</t>
  </si>
  <si>
    <t>2810-0000</t>
  </si>
  <si>
    <t>Deferred Maintenance Income</t>
  </si>
  <si>
    <t>2810-1000</t>
  </si>
  <si>
    <t>Deferred Common Charge Income</t>
  </si>
  <si>
    <t>2810-2000</t>
  </si>
  <si>
    <t>Deferred Rental Income</t>
  </si>
  <si>
    <t>2810-3000</t>
  </si>
  <si>
    <t>Deferred Income Other</t>
  </si>
  <si>
    <t>2810-4000</t>
  </si>
  <si>
    <t>Deferred Management Fees</t>
  </si>
  <si>
    <t>2810-5000</t>
  </si>
  <si>
    <t>Stamp Tax</t>
  </si>
  <si>
    <t>2890-0000</t>
  </si>
  <si>
    <t>Other Payable</t>
  </si>
  <si>
    <t>2899-9997</t>
  </si>
  <si>
    <t>TOTAL OTHER LIABILITIES</t>
  </si>
  <si>
    <t>2999-9998</t>
  </si>
  <si>
    <t>TOTAL LIABILITIES</t>
  </si>
  <si>
    <t>3000-9994</t>
  </si>
  <si>
    <t>CAPITAL</t>
  </si>
  <si>
    <t>3100-0000</t>
  </si>
  <si>
    <t>Capital Stock</t>
  </si>
  <si>
    <t>3200-0000</t>
  </si>
  <si>
    <t>Additional Paid in Capital</t>
  </si>
  <si>
    <t>3200-0001</t>
  </si>
  <si>
    <t>Capital - Managing Partners</t>
  </si>
  <si>
    <t>3200-0002</t>
  </si>
  <si>
    <t>Capital - Managing Partners 2</t>
  </si>
  <si>
    <t>3200-0003</t>
  </si>
  <si>
    <t>Capital - Managing Partners 3</t>
  </si>
  <si>
    <t>3200-0004</t>
  </si>
  <si>
    <t>Capital - Managing Partners 4</t>
  </si>
  <si>
    <t>3200-0005</t>
  </si>
  <si>
    <t>Capital - Managing Partners 5</t>
  </si>
  <si>
    <t>3200-0006</t>
  </si>
  <si>
    <t>Capital - Managing Partners 6</t>
  </si>
  <si>
    <t>3200-0007</t>
  </si>
  <si>
    <t>Capital - Managing Partners 7</t>
  </si>
  <si>
    <t>3200-0008</t>
  </si>
  <si>
    <t>Capital - Managing Partners 8</t>
  </si>
  <si>
    <t>3200-0009</t>
  </si>
  <si>
    <t>Capital - Managing Partners 9</t>
  </si>
  <si>
    <t>3200-0010</t>
  </si>
  <si>
    <t>Capital - Managing Partners 10</t>
  </si>
  <si>
    <t>3200-0011</t>
  </si>
  <si>
    <t>Capital - Limited Partners</t>
  </si>
  <si>
    <t>3201-0000</t>
  </si>
  <si>
    <t>Capital Contribution-Mortgage Amortization</t>
  </si>
  <si>
    <t>3202-0000</t>
  </si>
  <si>
    <t>Capital Assessment</t>
  </si>
  <si>
    <t>3202-0005</t>
  </si>
  <si>
    <t>Working Capital Deposit</t>
  </si>
  <si>
    <t>3202-0010</t>
  </si>
  <si>
    <t>Reserve Fund</t>
  </si>
  <si>
    <t>3204-0000</t>
  </si>
  <si>
    <t>Equity Deposit</t>
  </si>
  <si>
    <t>3204-0010</t>
  </si>
  <si>
    <t>Equity Refund</t>
  </si>
  <si>
    <t>3205-0000</t>
  </si>
  <si>
    <t>Change in Fair Value of Interest Rate</t>
  </si>
  <si>
    <t>3210-0000</t>
  </si>
  <si>
    <t>Shareholder Distribution</t>
  </si>
  <si>
    <t>3210-0001</t>
  </si>
  <si>
    <t>Distribution - Limited Partners</t>
  </si>
  <si>
    <t>3210-0002</t>
  </si>
  <si>
    <t>Preferred Return RFD</t>
  </si>
  <si>
    <t>3215-0000</t>
  </si>
  <si>
    <t>Transfer from Prior Agent</t>
  </si>
  <si>
    <t>3400-0000</t>
  </si>
  <si>
    <t>Treasury Stock</t>
  </si>
  <si>
    <t>3800-0000</t>
  </si>
  <si>
    <t>Current Year Income (Loss)</t>
  </si>
  <si>
    <t>3800-1000</t>
  </si>
  <si>
    <t>Retained Earnings</t>
  </si>
  <si>
    <t>3899-9997</t>
  </si>
  <si>
    <t>TOTAL CAPITAL</t>
  </si>
  <si>
    <t>3999-9998</t>
  </si>
  <si>
    <t>TOTAL LIABILITIES &amp; CAPITAL</t>
  </si>
  <si>
    <t>4000-9994</t>
  </si>
  <si>
    <t>INCOME</t>
  </si>
  <si>
    <t>4000-9995</t>
  </si>
  <si>
    <t>RECURRING INCOME</t>
  </si>
  <si>
    <t>4010-0000</t>
  </si>
  <si>
    <t>Maintenance</t>
  </si>
  <si>
    <t>4011-0000</t>
  </si>
  <si>
    <t>Maintenance Sponsors</t>
  </si>
  <si>
    <t>4020-0000</t>
  </si>
  <si>
    <t>Common Charges</t>
  </si>
  <si>
    <t>4021-0000</t>
  </si>
  <si>
    <t>Common Charges Sponsors</t>
  </si>
  <si>
    <t>4025-0000</t>
  </si>
  <si>
    <t>Homeowner Association Dues</t>
  </si>
  <si>
    <t>4030-0000</t>
  </si>
  <si>
    <t>Rental Income</t>
  </si>
  <si>
    <t>4030-0010</t>
  </si>
  <si>
    <t>Vacancy Loss</t>
  </si>
  <si>
    <t>4040-0000</t>
  </si>
  <si>
    <t>Commercial Rent</t>
  </si>
  <si>
    <t>4040-0010</t>
  </si>
  <si>
    <t>Common Area Maintenance</t>
  </si>
  <si>
    <t>4050-0000</t>
  </si>
  <si>
    <t>Professional Rental Income</t>
  </si>
  <si>
    <t>4060-0000</t>
  </si>
  <si>
    <t>Arrears</t>
  </si>
  <si>
    <t>4065-0000</t>
  </si>
  <si>
    <t>Surcharge</t>
  </si>
  <si>
    <t>4070-0000</t>
  </si>
  <si>
    <t>Prepaid Income</t>
  </si>
  <si>
    <t>4105-0000</t>
  </si>
  <si>
    <t>Real Estate Tax Abatement</t>
  </si>
  <si>
    <t>4110-0000</t>
  </si>
  <si>
    <t>STAR Exemption</t>
  </si>
  <si>
    <t>4115-0000</t>
  </si>
  <si>
    <t>Veterans Exemption</t>
  </si>
  <si>
    <t>4120-0000</t>
  </si>
  <si>
    <t>SCRIE</t>
  </si>
  <si>
    <t>4125-0000</t>
  </si>
  <si>
    <t>SCHE</t>
  </si>
  <si>
    <t>4127-0000</t>
  </si>
  <si>
    <t>Abatement</t>
  </si>
  <si>
    <t>4128-0000</t>
  </si>
  <si>
    <t>MCI Increase</t>
  </si>
  <si>
    <t>4129-0000</t>
  </si>
  <si>
    <t>Preferential Rent</t>
  </si>
  <si>
    <t>4130-0000</t>
  </si>
  <si>
    <t>Apartment Charges</t>
  </si>
  <si>
    <t>4130-0010</t>
  </si>
  <si>
    <t>Storage Room</t>
  </si>
  <si>
    <t>4130-0015</t>
  </si>
  <si>
    <t>Bicycle Charge</t>
  </si>
  <si>
    <t>4130-0020</t>
  </si>
  <si>
    <t>Gym Fees</t>
  </si>
  <si>
    <t>4130-0021</t>
  </si>
  <si>
    <t>Business Center</t>
  </si>
  <si>
    <t>4130-0022</t>
  </si>
  <si>
    <t>Cinema Room</t>
  </si>
  <si>
    <t>4130-0025</t>
  </si>
  <si>
    <t>Energy Surcharge</t>
  </si>
  <si>
    <t>4130-0030</t>
  </si>
  <si>
    <t>Laundry</t>
  </si>
  <si>
    <t>4130-0031</t>
  </si>
  <si>
    <t>Valet</t>
  </si>
  <si>
    <t>4130-0035</t>
  </si>
  <si>
    <t>Maids Room</t>
  </si>
  <si>
    <t>4130-0040</t>
  </si>
  <si>
    <t>Pool Charges</t>
  </si>
  <si>
    <t>4135-0000</t>
  </si>
  <si>
    <t>Garage &amp; Parking</t>
  </si>
  <si>
    <t>4135-0010</t>
  </si>
  <si>
    <t>Garage</t>
  </si>
  <si>
    <t>4135-0015</t>
  </si>
  <si>
    <t>Garage - Non Residents</t>
  </si>
  <si>
    <t>4135-0020</t>
  </si>
  <si>
    <t>Parking</t>
  </si>
  <si>
    <t>4135-0025</t>
  </si>
  <si>
    <t>Parking - Non-Residents</t>
  </si>
  <si>
    <t>4135-0030</t>
  </si>
  <si>
    <t>Garage Door Opener</t>
  </si>
  <si>
    <t>4140-0015</t>
  </si>
  <si>
    <t>Accelerated Common Charges</t>
  </si>
  <si>
    <t>4200-0000</t>
  </si>
  <si>
    <t>Assessment - Operating</t>
  </si>
  <si>
    <t>4200-0010</t>
  </si>
  <si>
    <t>Discount on Prepaid Assessment</t>
  </si>
  <si>
    <t>4250-0000</t>
  </si>
  <si>
    <t>Utility Income</t>
  </si>
  <si>
    <t>4250-0005</t>
  </si>
  <si>
    <t>Refrigerator</t>
  </si>
  <si>
    <t>4250-0010</t>
  </si>
  <si>
    <t>Cable TV</t>
  </si>
  <si>
    <t>4250-0015</t>
  </si>
  <si>
    <t>Air Conditioner</t>
  </si>
  <si>
    <t>4250-0020</t>
  </si>
  <si>
    <t>Gas</t>
  </si>
  <si>
    <t>4250-0025</t>
  </si>
  <si>
    <t>Electric</t>
  </si>
  <si>
    <t>4250-0030</t>
  </si>
  <si>
    <t>Washing Machine</t>
  </si>
  <si>
    <t>4250-0035</t>
  </si>
  <si>
    <t>Dryer</t>
  </si>
  <si>
    <t>4250-0040</t>
  </si>
  <si>
    <t>Dishwasher</t>
  </si>
  <si>
    <t>4250-0045</t>
  </si>
  <si>
    <t>Freezer</t>
  </si>
  <si>
    <t>4250-0050</t>
  </si>
  <si>
    <t>Carbon/Smoke Detector</t>
  </si>
  <si>
    <t>4305-0000</t>
  </si>
  <si>
    <t>Fuel Surcharge</t>
  </si>
  <si>
    <t>4310-0000</t>
  </si>
  <si>
    <t>Maximum Base Rent</t>
  </si>
  <si>
    <t>4505-0000</t>
  </si>
  <si>
    <t>Additional Commercial Rent</t>
  </si>
  <si>
    <t>4515-0000</t>
  </si>
  <si>
    <t>CPI Adjustment</t>
  </si>
  <si>
    <t>4515-0010</t>
  </si>
  <si>
    <t>Operating Escalation Income</t>
  </si>
  <si>
    <t>4515-0015</t>
  </si>
  <si>
    <t>Straight Line Adjustment</t>
  </si>
  <si>
    <t>4520-0000</t>
  </si>
  <si>
    <t>Commercial Real Estate Tax</t>
  </si>
  <si>
    <t>4525-0000</t>
  </si>
  <si>
    <t>Porter Wage</t>
  </si>
  <si>
    <t>4530-0000</t>
  </si>
  <si>
    <t>Garage - Operator</t>
  </si>
  <si>
    <t>4580-0000</t>
  </si>
  <si>
    <t>Sales Tax</t>
  </si>
  <si>
    <t>4600-0000</t>
  </si>
  <si>
    <t>Management Fees</t>
  </si>
  <si>
    <t>4605-0000</t>
  </si>
  <si>
    <t>Conference Room</t>
  </si>
  <si>
    <t>4650-0000</t>
  </si>
  <si>
    <t>Bad Debt</t>
  </si>
  <si>
    <t>4655-0000</t>
  </si>
  <si>
    <t>N.Y.C. Grant</t>
  </si>
  <si>
    <t>4660-0000</t>
  </si>
  <si>
    <t>Roof Income</t>
  </si>
  <si>
    <t>4690-0000</t>
  </si>
  <si>
    <t>Other Recurring Income</t>
  </si>
  <si>
    <t>4699-9997</t>
  </si>
  <si>
    <t>TOTAL RECURRING INCOME</t>
  </si>
  <si>
    <t>4700-9994</t>
  </si>
  <si>
    <t>NON-RECURRING INCOME</t>
  </si>
  <si>
    <t>4705-0000</t>
  </si>
  <si>
    <t>Late Charges</t>
  </si>
  <si>
    <t>4710-0000</t>
  </si>
  <si>
    <t>Legal Fees</t>
  </si>
  <si>
    <t>4715-0000</t>
  </si>
  <si>
    <t>Bounce Check Fee</t>
  </si>
  <si>
    <t>4720-0000</t>
  </si>
  <si>
    <t>Apartment Repair Income</t>
  </si>
  <si>
    <t>4720-0010</t>
  </si>
  <si>
    <t>Architectural/Engineering Fees</t>
  </si>
  <si>
    <t>4720-0020</t>
  </si>
  <si>
    <t>Paint &amp; Plaster</t>
  </si>
  <si>
    <t>4720-0025</t>
  </si>
  <si>
    <t>Bathroom Repair</t>
  </si>
  <si>
    <t>4720-0030</t>
  </si>
  <si>
    <t>Plumbing Repair</t>
  </si>
  <si>
    <t>4720-0035</t>
  </si>
  <si>
    <t>A/C Repair</t>
  </si>
  <si>
    <t>4720-0040</t>
  </si>
  <si>
    <t>HVAC Repair</t>
  </si>
  <si>
    <t>4720-0045</t>
  </si>
  <si>
    <t>4720-0046</t>
  </si>
  <si>
    <t>Range &amp; Oven</t>
  </si>
  <si>
    <t>4720-0050</t>
  </si>
  <si>
    <t>Electrical Repairs</t>
  </si>
  <si>
    <t>4720-0055</t>
  </si>
  <si>
    <t>Intercom Repairs</t>
  </si>
  <si>
    <t>4720-0060</t>
  </si>
  <si>
    <t>Retroactive Air Conditioner Fees</t>
  </si>
  <si>
    <t>4725-0000</t>
  </si>
  <si>
    <t>Other Apartment Charges</t>
  </si>
  <si>
    <t>4725-0015</t>
  </si>
  <si>
    <t>Violations</t>
  </si>
  <si>
    <t>4725-0020</t>
  </si>
  <si>
    <t>Gate Cards</t>
  </si>
  <si>
    <t>4725-0025</t>
  </si>
  <si>
    <t>Move-In Out Fees</t>
  </si>
  <si>
    <t>4725-0030</t>
  </si>
  <si>
    <t>Locks &amp; Keys</t>
  </si>
  <si>
    <t>4725-0035</t>
  </si>
  <si>
    <t>Sublet Fees</t>
  </si>
  <si>
    <t>4725-0040</t>
  </si>
  <si>
    <t>Working Capital Contribution</t>
  </si>
  <si>
    <t>4725-0045</t>
  </si>
  <si>
    <t>Guest Fees</t>
  </si>
  <si>
    <t>4725-0050</t>
  </si>
  <si>
    <t>Child Care Fees</t>
  </si>
  <si>
    <t>4725-0055</t>
  </si>
  <si>
    <t>Landscaping Fund Fees</t>
  </si>
  <si>
    <t>4725-0060</t>
  </si>
  <si>
    <t>Cleaning Service Fees</t>
  </si>
  <si>
    <t>4725-0065</t>
  </si>
  <si>
    <t>Window Washing Fees</t>
  </si>
  <si>
    <t>4725-0070</t>
  </si>
  <si>
    <t>Rubbish Removal Fees</t>
  </si>
  <si>
    <t>4725-0075</t>
  </si>
  <si>
    <t>Freight Elevator Fees</t>
  </si>
  <si>
    <t>4800-0000</t>
  </si>
  <si>
    <t>Interest Income</t>
  </si>
  <si>
    <t>4803-0000</t>
  </si>
  <si>
    <t>Dividend Income</t>
  </si>
  <si>
    <t>4806-0000</t>
  </si>
  <si>
    <t>Insurance Refunds</t>
  </si>
  <si>
    <t>4809-0000</t>
  </si>
  <si>
    <t>Real Estate Tax Refunds</t>
  </si>
  <si>
    <t>4812-0000</t>
  </si>
  <si>
    <t>Corporation Tax Refunds</t>
  </si>
  <si>
    <t>4815-0000</t>
  </si>
  <si>
    <t>Payroll Tax Refunds</t>
  </si>
  <si>
    <t>4818-0000</t>
  </si>
  <si>
    <t>Flip Tax - Operating</t>
  </si>
  <si>
    <t>4821-0000</t>
  </si>
  <si>
    <t>Tenant Allowance</t>
  </si>
  <si>
    <t>4824-0000</t>
  </si>
  <si>
    <t>Telephone Reimbursement</t>
  </si>
  <si>
    <t>4827-0000</t>
  </si>
  <si>
    <t>Forfeit Security Deposit</t>
  </si>
  <si>
    <t>4830-0000</t>
  </si>
  <si>
    <t>Water &amp; Sewer</t>
  </si>
  <si>
    <t>4833-0000</t>
  </si>
  <si>
    <t>Fuel Rebates</t>
  </si>
  <si>
    <t>4836-0000</t>
  </si>
  <si>
    <t>Utility Rebates</t>
  </si>
  <si>
    <t>4839-0000</t>
  </si>
  <si>
    <t>Court Stipulation</t>
  </si>
  <si>
    <t>4905-0000</t>
  </si>
  <si>
    <t>Photocopy</t>
  </si>
  <si>
    <t>4908-0000</t>
  </si>
  <si>
    <t>Postage</t>
  </si>
  <si>
    <t>4911-0000</t>
  </si>
  <si>
    <t>Messenger</t>
  </si>
  <si>
    <t>4914-0000</t>
  </si>
  <si>
    <t>Stationery &amp; Printing</t>
  </si>
  <si>
    <t>4917-0000</t>
  </si>
  <si>
    <t>Credit Check Fees</t>
  </si>
  <si>
    <t>4920-0000</t>
  </si>
  <si>
    <t>Prospectus</t>
  </si>
  <si>
    <t>4921-0000</t>
  </si>
  <si>
    <t>Coop Questionnaire</t>
  </si>
  <si>
    <t>4922-0000</t>
  </si>
  <si>
    <t>Alteration Agreement Fee</t>
  </si>
  <si>
    <t>4923-0000</t>
  </si>
  <si>
    <t>Recognition Agreement Fees</t>
  </si>
  <si>
    <t>4926-0000</t>
  </si>
  <si>
    <t>Administrative Fees</t>
  </si>
  <si>
    <t>4929-0000</t>
  </si>
  <si>
    <t>Secretary Services</t>
  </si>
  <si>
    <t>4932-0000</t>
  </si>
  <si>
    <t>Application Fees</t>
  </si>
  <si>
    <t>4935-0000</t>
  </si>
  <si>
    <t>Refinancing Fees</t>
  </si>
  <si>
    <t>4938-0000</t>
  </si>
  <si>
    <t>Closing Fees</t>
  </si>
  <si>
    <t>4941-0000</t>
  </si>
  <si>
    <t>Offering Plan Fees</t>
  </si>
  <si>
    <t>4944-0000</t>
  </si>
  <si>
    <t>Window Guards</t>
  </si>
  <si>
    <t>4947-0000</t>
  </si>
  <si>
    <t>Lead Paint</t>
  </si>
  <si>
    <t>4950-0000</t>
  </si>
  <si>
    <t>Fire Safety</t>
  </si>
  <si>
    <t>4953-0000</t>
  </si>
  <si>
    <t>1098's Fee's</t>
  </si>
  <si>
    <t>4954-0000</t>
  </si>
  <si>
    <t>Accounting Fees</t>
  </si>
  <si>
    <t>4955-0000</t>
  </si>
  <si>
    <t>Tax Abatement Program</t>
  </si>
  <si>
    <t>4956-0000</t>
  </si>
  <si>
    <t>Security Account Admin.</t>
  </si>
  <si>
    <t>4959-0000</t>
  </si>
  <si>
    <t>Leasing Commissions</t>
  </si>
  <si>
    <t>4970-0000</t>
  </si>
  <si>
    <t>Sales Commissions</t>
  </si>
  <si>
    <t>4972-0000</t>
  </si>
  <si>
    <t>Insurance Commissions</t>
  </si>
  <si>
    <t>4974-0000</t>
  </si>
  <si>
    <t>Mortgage Brokerage Commissions</t>
  </si>
  <si>
    <t>4975-0000</t>
  </si>
  <si>
    <t>Co-Broker Fees</t>
  </si>
  <si>
    <t>4975-0010</t>
  </si>
  <si>
    <t>Closing Costs Reimbursement</t>
  </si>
  <si>
    <t>4975-0015</t>
  </si>
  <si>
    <t>Gain on Debt</t>
  </si>
  <si>
    <t>4975-0020</t>
  </si>
  <si>
    <t>Apartment Sales</t>
  </si>
  <si>
    <t>4975-0025</t>
  </si>
  <si>
    <t>Cost of Sales</t>
  </si>
  <si>
    <t>4990-0000</t>
  </si>
  <si>
    <t>Other Non Recurring Income</t>
  </si>
  <si>
    <t>4998-9997</t>
  </si>
  <si>
    <t>TOTAL NON-RECURRING INCOME</t>
  </si>
  <si>
    <t>4999-9998</t>
  </si>
  <si>
    <t>TOTAL INCOME</t>
  </si>
  <si>
    <t>5000-9994</t>
  </si>
  <si>
    <t>EXPENSES</t>
  </si>
  <si>
    <t>5000-9995</t>
  </si>
  <si>
    <t>OPERATING EXPENSES</t>
  </si>
  <si>
    <t>5100-9994</t>
  </si>
  <si>
    <t>PAYROLL EXPENSES</t>
  </si>
  <si>
    <t>5105-0000</t>
  </si>
  <si>
    <t>Gross Payroll</t>
  </si>
  <si>
    <t>5105-0010</t>
  </si>
  <si>
    <t>Overtime Pay</t>
  </si>
  <si>
    <t>5105-0015</t>
  </si>
  <si>
    <t>Vacation Pay</t>
  </si>
  <si>
    <t>5105-0020</t>
  </si>
  <si>
    <t>Holiday Pay</t>
  </si>
  <si>
    <t>5105-0021</t>
  </si>
  <si>
    <t>Holiday Premium Pay</t>
  </si>
  <si>
    <t>5105-0025</t>
  </si>
  <si>
    <t>Sick Pay</t>
  </si>
  <si>
    <t>5105-0027</t>
  </si>
  <si>
    <t>Meal Reimbursement - Payroll</t>
  </si>
  <si>
    <t>5105-0029</t>
  </si>
  <si>
    <t>Tool Reimbursement</t>
  </si>
  <si>
    <t>5105-0030</t>
  </si>
  <si>
    <t>Miscellaneous Pay</t>
  </si>
  <si>
    <t>5105-0035</t>
  </si>
  <si>
    <t>Bonus</t>
  </si>
  <si>
    <t>5140-0000</t>
  </si>
  <si>
    <t>Employee Payroll Taxes</t>
  </si>
  <si>
    <t>5140-0010</t>
  </si>
  <si>
    <t>Medicare</t>
  </si>
  <si>
    <t>5140-0015</t>
  </si>
  <si>
    <t>Federal withholding Taxes</t>
  </si>
  <si>
    <t>5140-0020</t>
  </si>
  <si>
    <t>NYS withholding Taxes</t>
  </si>
  <si>
    <t>5140-0025</t>
  </si>
  <si>
    <t>NYC withholding Taxes</t>
  </si>
  <si>
    <t>5145-0000</t>
  </si>
  <si>
    <t>Employer Payroll Taxes</t>
  </si>
  <si>
    <t>5145-0010</t>
  </si>
  <si>
    <t>FICA Taxes</t>
  </si>
  <si>
    <t>5145-0015</t>
  </si>
  <si>
    <t>SUI - State Unemployment Insurance</t>
  </si>
  <si>
    <t>5145-0020</t>
  </si>
  <si>
    <t>FUTA - Federal Unemployment Insurance</t>
  </si>
  <si>
    <t>5150-0000</t>
  </si>
  <si>
    <t>401K</t>
  </si>
  <si>
    <t>5150-0010</t>
  </si>
  <si>
    <t>401K Loan</t>
  </si>
  <si>
    <t>5150-0020</t>
  </si>
  <si>
    <t>401K Match</t>
  </si>
  <si>
    <t>5150-0030</t>
  </si>
  <si>
    <t>401K Roth</t>
  </si>
  <si>
    <t>5155-0000</t>
  </si>
  <si>
    <t>Voluntary Deductible</t>
  </si>
  <si>
    <t>5155-0010</t>
  </si>
  <si>
    <t>Union Dues</t>
  </si>
  <si>
    <t>5155-0015</t>
  </si>
  <si>
    <t>Health Insurance</t>
  </si>
  <si>
    <t>5160-0000</t>
  </si>
  <si>
    <t>Union Benefit Funds</t>
  </si>
  <si>
    <t>5160-0005</t>
  </si>
  <si>
    <t>Life Insurance</t>
  </si>
  <si>
    <t>5160-0010</t>
  </si>
  <si>
    <t>Pension Fund</t>
  </si>
  <si>
    <t>5160-0015</t>
  </si>
  <si>
    <t>Health Fund</t>
  </si>
  <si>
    <t>5160-0020</t>
  </si>
  <si>
    <t>Annuity Fund</t>
  </si>
  <si>
    <t>5160-0025</t>
  </si>
  <si>
    <t>Legal Fund</t>
  </si>
  <si>
    <t>5160-0030</t>
  </si>
  <si>
    <t>Training Fund</t>
  </si>
  <si>
    <t>5160-0035</t>
  </si>
  <si>
    <t>Welfare Fund</t>
  </si>
  <si>
    <t>5160-0040</t>
  </si>
  <si>
    <t>Garnishments</t>
  </si>
  <si>
    <t>5165-0000</t>
  </si>
  <si>
    <t>Workers Compensation Insurance</t>
  </si>
  <si>
    <t>5165-0050</t>
  </si>
  <si>
    <t>Workers Comp Audit / Dividend</t>
  </si>
  <si>
    <t>5166-0000</t>
  </si>
  <si>
    <t>Disability Insurance</t>
  </si>
  <si>
    <t>5170-0000</t>
  </si>
  <si>
    <t>Benefits Administration</t>
  </si>
  <si>
    <t>5171-0000</t>
  </si>
  <si>
    <t>Check Cashing</t>
  </si>
  <si>
    <t>5172-0000</t>
  </si>
  <si>
    <t>Payroll Processing</t>
  </si>
  <si>
    <t>5179-0000</t>
  </si>
  <si>
    <t>Other Payroll Expenses</t>
  </si>
  <si>
    <t>5199-9997</t>
  </si>
  <si>
    <t>TOTAL PAYROLL EXPENSES</t>
  </si>
  <si>
    <t>5200-9994</t>
  </si>
  <si>
    <t>ENERGY EXPENSES</t>
  </si>
  <si>
    <t>5250-0000</t>
  </si>
  <si>
    <t>5251-0000</t>
  </si>
  <si>
    <t>Gas Transport</t>
  </si>
  <si>
    <t>5252-0000</t>
  </si>
  <si>
    <t>Gas - Heating</t>
  </si>
  <si>
    <t>5255-0000</t>
  </si>
  <si>
    <t>Electricity</t>
  </si>
  <si>
    <t>5260-0000</t>
  </si>
  <si>
    <t>Fuel</t>
  </si>
  <si>
    <t>5265-0000</t>
  </si>
  <si>
    <t>Steam</t>
  </si>
  <si>
    <t>5270-0000</t>
  </si>
  <si>
    <t>Other Energy Expense</t>
  </si>
  <si>
    <t>5299-9997</t>
  </si>
  <si>
    <t>TOTAL ENERGY EXPENSES</t>
  </si>
  <si>
    <t>5400-9994</t>
  </si>
  <si>
    <t>SUPPLIES,REPAIRS,MAINTENENACE</t>
  </si>
  <si>
    <t>5401-9995</t>
  </si>
  <si>
    <t>SUPPLIES</t>
  </si>
  <si>
    <t>5405-0000</t>
  </si>
  <si>
    <t>Appliance Supplies</t>
  </si>
  <si>
    <t>5406-0000</t>
  </si>
  <si>
    <t>Supplies &amp; Hardware</t>
  </si>
  <si>
    <t>5410-0000</t>
  </si>
  <si>
    <t>Refrigeration Supplies</t>
  </si>
  <si>
    <t>5415-0000</t>
  </si>
  <si>
    <t>Dishwasher Supplies</t>
  </si>
  <si>
    <t>5420-0000</t>
  </si>
  <si>
    <t>Range &amp; Oven Supplies</t>
  </si>
  <si>
    <t>5425-0000</t>
  </si>
  <si>
    <t>Bathroom Fixture Supplies</t>
  </si>
  <si>
    <t>5430-0000</t>
  </si>
  <si>
    <t>Hardware Supplies</t>
  </si>
  <si>
    <t>5430-0010</t>
  </si>
  <si>
    <t>Plumbing Supplies</t>
  </si>
  <si>
    <t>5430-0015</t>
  </si>
  <si>
    <t>Electrical Supplies</t>
  </si>
  <si>
    <t>5430-0020</t>
  </si>
  <si>
    <t>Light Bulbs</t>
  </si>
  <si>
    <t>5430-0025</t>
  </si>
  <si>
    <t>Cleaning Supplies</t>
  </si>
  <si>
    <t>5430-0030</t>
  </si>
  <si>
    <t>Compactor Bags</t>
  </si>
  <si>
    <t>5430-0035</t>
  </si>
  <si>
    <t>5430-0040</t>
  </si>
  <si>
    <t>Exterminating Supplies</t>
  </si>
  <si>
    <t>5430-0045</t>
  </si>
  <si>
    <t>Air Conditioning Supplies</t>
  </si>
  <si>
    <t>5430-0050</t>
  </si>
  <si>
    <t>Window &amp; Glass Supplies</t>
  </si>
  <si>
    <t>5435-0000</t>
  </si>
  <si>
    <t>Directory Plates &amp; Signs</t>
  </si>
  <si>
    <t>5440-0000</t>
  </si>
  <si>
    <t>Painting Supplies</t>
  </si>
  <si>
    <t>5445-0000</t>
  </si>
  <si>
    <t>Uniforms Purchased</t>
  </si>
  <si>
    <t>5450-0000</t>
  </si>
  <si>
    <t>STP Chemicals</t>
  </si>
  <si>
    <t>5455-0000</t>
  </si>
  <si>
    <t>Snow Melt Chemicals</t>
  </si>
  <si>
    <t>5460-0000</t>
  </si>
  <si>
    <t>Pool Supplies</t>
  </si>
  <si>
    <t>5465-0000</t>
  </si>
  <si>
    <t>Fitness Center Supplies</t>
  </si>
  <si>
    <t>5495-0000</t>
  </si>
  <si>
    <t>Other Building Supplies</t>
  </si>
  <si>
    <t>5499-9997</t>
  </si>
  <si>
    <t>TOTAL SUPPLIES</t>
  </si>
  <si>
    <t>5600-9994</t>
  </si>
  <si>
    <t>REPAIRS</t>
  </si>
  <si>
    <t>5603-0000</t>
  </si>
  <si>
    <t>Apartment Repairs</t>
  </si>
  <si>
    <t>5606-0000</t>
  </si>
  <si>
    <t>Insurance Repairs</t>
  </si>
  <si>
    <t>5609-0000</t>
  </si>
  <si>
    <t>Appliance Repairs</t>
  </si>
  <si>
    <t>5612-0000</t>
  </si>
  <si>
    <t>Refrigerator Repairs</t>
  </si>
  <si>
    <t>5615-0000</t>
  </si>
  <si>
    <t>Range &amp; Oven Repairs</t>
  </si>
  <si>
    <t>5618-0000</t>
  </si>
  <si>
    <t>Dishwasher Repairs</t>
  </si>
  <si>
    <t>5621-0000</t>
  </si>
  <si>
    <t>Equipment Repairs</t>
  </si>
  <si>
    <t>5624-0000</t>
  </si>
  <si>
    <t>Heating Repairs</t>
  </si>
  <si>
    <t>5627-0000</t>
  </si>
  <si>
    <t>Boiler/Burner Repairs</t>
  </si>
  <si>
    <t>5630-0000</t>
  </si>
  <si>
    <t>Plumbing Repairs</t>
  </si>
  <si>
    <t>5630-0001</t>
  </si>
  <si>
    <t>Pump/Motor Repair</t>
  </si>
  <si>
    <t>5633-0000</t>
  </si>
  <si>
    <t>5636-0000</t>
  </si>
  <si>
    <t>Air Conditioning Repairs</t>
  </si>
  <si>
    <t>5639-0000</t>
  </si>
  <si>
    <t>Elevator Repairs</t>
  </si>
  <si>
    <t>5642-0000</t>
  </si>
  <si>
    <t>Compactor / Incinerator Repairs</t>
  </si>
  <si>
    <t>5645-0000</t>
  </si>
  <si>
    <t>Window Repairs</t>
  </si>
  <si>
    <t>5648-0000</t>
  </si>
  <si>
    <t>Floor / Carpet Repair</t>
  </si>
  <si>
    <t>5651-0000</t>
  </si>
  <si>
    <t>Garage Repairs</t>
  </si>
  <si>
    <t>5654-0000</t>
  </si>
  <si>
    <t>Hallway Repairs</t>
  </si>
  <si>
    <t>5657-0000</t>
  </si>
  <si>
    <t>Lobby Repairs</t>
  </si>
  <si>
    <t>5660-0000</t>
  </si>
  <si>
    <t>Paint &amp; Plaster Repairs</t>
  </si>
  <si>
    <t>5663-0000</t>
  </si>
  <si>
    <t>Carpentry Repairs</t>
  </si>
  <si>
    <t>5666-0000</t>
  </si>
  <si>
    <t>Door Repairs</t>
  </si>
  <si>
    <t>5668-0000</t>
  </si>
  <si>
    <t>Canopy Repairs</t>
  </si>
  <si>
    <t>5670-0000</t>
  </si>
  <si>
    <t>5672-0000</t>
  </si>
  <si>
    <t>Time Recorder Repairs</t>
  </si>
  <si>
    <t>5674-0000</t>
  </si>
  <si>
    <t>Facade / Waterproofing Repairs</t>
  </si>
  <si>
    <t>5676-0000</t>
  </si>
  <si>
    <t>Roof Repairs</t>
  </si>
  <si>
    <t>5678-0000</t>
  </si>
  <si>
    <t>Roof Tank / Water Tank Repairs</t>
  </si>
  <si>
    <t>5680-0000</t>
  </si>
  <si>
    <t>Roof Exhaust Repairs</t>
  </si>
  <si>
    <t>5681-0000</t>
  </si>
  <si>
    <t>STP Repairs</t>
  </si>
  <si>
    <t>5682-0000</t>
  </si>
  <si>
    <t>Sprinkler System Repairs</t>
  </si>
  <si>
    <t>5684-0000</t>
  </si>
  <si>
    <t>Sidewalk/Concrete Repairs</t>
  </si>
  <si>
    <t>5686-0000</t>
  </si>
  <si>
    <t>Pool Repairs</t>
  </si>
  <si>
    <t>5688-0000</t>
  </si>
  <si>
    <t>Steam / Locker Room Repairs</t>
  </si>
  <si>
    <t>5690-0000</t>
  </si>
  <si>
    <t>Sauna Repairs</t>
  </si>
  <si>
    <t>5692-0000</t>
  </si>
  <si>
    <t>Fitness Equipment Repair</t>
  </si>
  <si>
    <t>5695-0000</t>
  </si>
  <si>
    <t>Other Building Repairs</t>
  </si>
  <si>
    <t>5699-9997</t>
  </si>
  <si>
    <t>TOTAL REPAIRS</t>
  </si>
  <si>
    <t>5800-9994</t>
  </si>
  <si>
    <t>MAINTENANCE</t>
  </si>
  <si>
    <t>5803-0000</t>
  </si>
  <si>
    <t>Cleaning &amp; Maintenance</t>
  </si>
  <si>
    <t>5806-0000</t>
  </si>
  <si>
    <t>Air Conditioning Maintenance</t>
  </si>
  <si>
    <t>5809-0000</t>
  </si>
  <si>
    <t>Heating Maintenance</t>
  </si>
  <si>
    <t>5809-0010</t>
  </si>
  <si>
    <t>Boiler Maintenance</t>
  </si>
  <si>
    <t>5809-0015</t>
  </si>
  <si>
    <t>Burner Maintenance</t>
  </si>
  <si>
    <t>5810-0000</t>
  </si>
  <si>
    <t>HVAC Maintenance</t>
  </si>
  <si>
    <t>5812-0000</t>
  </si>
  <si>
    <t>Elevator Maintenance</t>
  </si>
  <si>
    <t>5815-0000</t>
  </si>
  <si>
    <t>Floor/Carpet Cleaning</t>
  </si>
  <si>
    <t>5818-0000</t>
  </si>
  <si>
    <t>Window Cleaning</t>
  </si>
  <si>
    <t>5821-0000</t>
  </si>
  <si>
    <t>Fire Extinguisher Maintenance</t>
  </si>
  <si>
    <t>5825-0000</t>
  </si>
  <si>
    <t>Uniform Cleaning &amp; Maintenance</t>
  </si>
  <si>
    <t>5828-0000</t>
  </si>
  <si>
    <t>Rubbish Removal</t>
  </si>
  <si>
    <t>5831-0000</t>
  </si>
  <si>
    <t>Exterminating</t>
  </si>
  <si>
    <t>5834-0000</t>
  </si>
  <si>
    <t>Cooling Tower Maintenance</t>
  </si>
  <si>
    <t>5837-0000</t>
  </si>
  <si>
    <t>Alarm / Security System Maintenance</t>
  </si>
  <si>
    <t>5840-0000</t>
  </si>
  <si>
    <t>Metal/Marble/Wood Maintenance</t>
  </si>
  <si>
    <t>5843-0000</t>
  </si>
  <si>
    <t>Laundry Equipment Maintenance</t>
  </si>
  <si>
    <t>5846-0000</t>
  </si>
  <si>
    <t>Garage Maintenance</t>
  </si>
  <si>
    <t>5849-0000</t>
  </si>
  <si>
    <t>Fa‡ade Maintenance</t>
  </si>
  <si>
    <t>5852-0000</t>
  </si>
  <si>
    <t>Water Treatment Maintenance</t>
  </si>
  <si>
    <t>5853-0000</t>
  </si>
  <si>
    <t>STP Maintenance</t>
  </si>
  <si>
    <t>5856-0000</t>
  </si>
  <si>
    <t>Equipment Maintenance</t>
  </si>
  <si>
    <t>5859-0000</t>
  </si>
  <si>
    <t>Pool Maintenance</t>
  </si>
  <si>
    <t>5862-0000</t>
  </si>
  <si>
    <t>Cesspool Maintenance</t>
  </si>
  <si>
    <t>5865-0000</t>
  </si>
  <si>
    <t>Landscaping</t>
  </si>
  <si>
    <t>5868-0000</t>
  </si>
  <si>
    <t>Snow Removal</t>
  </si>
  <si>
    <t>5870-0000</t>
  </si>
  <si>
    <t>Rooftop Garden &amp; Landscaping</t>
  </si>
  <si>
    <t>5871-0000</t>
  </si>
  <si>
    <t>Sewer Plant Maintenance</t>
  </si>
  <si>
    <t>5874-0000</t>
  </si>
  <si>
    <t>Other Maintenance</t>
  </si>
  <si>
    <t>5899-9997</t>
  </si>
  <si>
    <t>TOTAL MAINTENANCE</t>
  </si>
  <si>
    <t>5999-9998</t>
  </si>
  <si>
    <t>TOTAL OPERATING EXPENSES</t>
  </si>
  <si>
    <t>6000-9994</t>
  </si>
  <si>
    <t>GENERAL &amp; ADMINISTRATIVE EXPENSES</t>
  </si>
  <si>
    <t>6100-9995</t>
  </si>
  <si>
    <t>INSURANCE</t>
  </si>
  <si>
    <t>6105-0000</t>
  </si>
  <si>
    <t>Package Policy</t>
  </si>
  <si>
    <t>6110-0000</t>
  </si>
  <si>
    <t>General Liability Insurance</t>
  </si>
  <si>
    <t>6115-0000</t>
  </si>
  <si>
    <t>Property Insurance</t>
  </si>
  <si>
    <t>6120-0000</t>
  </si>
  <si>
    <t>Umbrella Insurance</t>
  </si>
  <si>
    <t>6125-0000</t>
  </si>
  <si>
    <t>D&amp;O Insurance</t>
  </si>
  <si>
    <t>6126-0000</t>
  </si>
  <si>
    <t>Cyber Insurance</t>
  </si>
  <si>
    <t>6130-0000</t>
  </si>
  <si>
    <t>Auto Insurance</t>
  </si>
  <si>
    <t>6135-0000</t>
  </si>
  <si>
    <t>Crime / Fidelity Insurance</t>
  </si>
  <si>
    <t>6140-0000</t>
  </si>
  <si>
    <t>Boiler &amp; Machinery Insurance</t>
  </si>
  <si>
    <t>6145-0000</t>
  </si>
  <si>
    <t>Errors &amp; Omissions Insurance</t>
  </si>
  <si>
    <t>6150-0000</t>
  </si>
  <si>
    <t>Flood / Hurricane Insurance</t>
  </si>
  <si>
    <t>6195-0000</t>
  </si>
  <si>
    <t>Other Insurance</t>
  </si>
  <si>
    <t>6199-9997</t>
  </si>
  <si>
    <t>TOTAL INSURANCE</t>
  </si>
  <si>
    <t>6300-9994</t>
  </si>
  <si>
    <t>TAXES</t>
  </si>
  <si>
    <t>6305-0000</t>
  </si>
  <si>
    <t>6310-0000</t>
  </si>
  <si>
    <t>Corporation Tax</t>
  </si>
  <si>
    <t>6315-0000</t>
  </si>
  <si>
    <t>Real Estate Tax</t>
  </si>
  <si>
    <t>6315-0010</t>
  </si>
  <si>
    <t>6315-0020</t>
  </si>
  <si>
    <t>6315-0025</t>
  </si>
  <si>
    <t>Veteran Exemption</t>
  </si>
  <si>
    <t>6315-0030</t>
  </si>
  <si>
    <t>SCRIE Credit</t>
  </si>
  <si>
    <t>6315-0035</t>
  </si>
  <si>
    <t>SCHE Credit</t>
  </si>
  <si>
    <t>6315-0040</t>
  </si>
  <si>
    <t>J-51 Credit</t>
  </si>
  <si>
    <t>6320-0000</t>
  </si>
  <si>
    <t>Transfer Tax</t>
  </si>
  <si>
    <t>6325-0000</t>
  </si>
  <si>
    <t>Sales &amp; Use Tax</t>
  </si>
  <si>
    <t>6330-0000</t>
  </si>
  <si>
    <t>Commercial Rent Tax</t>
  </si>
  <si>
    <t>6335-0000</t>
  </si>
  <si>
    <t>BID Tax</t>
  </si>
  <si>
    <t>6395-0000</t>
  </si>
  <si>
    <t>Other Taxes</t>
  </si>
  <si>
    <t>6399-9997</t>
  </si>
  <si>
    <t>TOTAL TAXES</t>
  </si>
  <si>
    <t>6500-9994</t>
  </si>
  <si>
    <t>PROFESSIONAL FEES</t>
  </si>
  <si>
    <t>6505-0000</t>
  </si>
  <si>
    <t>Engineering &amp; Architectural Fees</t>
  </si>
  <si>
    <t>6510-0000</t>
  </si>
  <si>
    <t>6515-0000</t>
  </si>
  <si>
    <t>6517-0000</t>
  </si>
  <si>
    <t>Legal Fees Reimbursible</t>
  </si>
  <si>
    <t>6520-0000</t>
  </si>
  <si>
    <t>Real Estate Tax Certiorari Fees</t>
  </si>
  <si>
    <t>6525-0000</t>
  </si>
  <si>
    <t>6530-0000</t>
  </si>
  <si>
    <t>Fitness Center Fees</t>
  </si>
  <si>
    <t>6590-0000</t>
  </si>
  <si>
    <t>Other Professional Fees</t>
  </si>
  <si>
    <t>6599-9997</t>
  </si>
  <si>
    <t>TOTAL PROFESSIONAL FEES</t>
  </si>
  <si>
    <t>6700-9994</t>
  </si>
  <si>
    <t>ADMINISTRATIVE &amp; OTHER</t>
  </si>
  <si>
    <t>6701-0000</t>
  </si>
  <si>
    <t>Condo Common Charges</t>
  </si>
  <si>
    <t>6702-0000</t>
  </si>
  <si>
    <t>Coop Maintenance</t>
  </si>
  <si>
    <t>6703-0000</t>
  </si>
  <si>
    <t>Assessment Charges</t>
  </si>
  <si>
    <t>6704-0000</t>
  </si>
  <si>
    <t>Lock Box Services</t>
  </si>
  <si>
    <t>6706-0000</t>
  </si>
  <si>
    <t>Office Expense</t>
  </si>
  <si>
    <t>6706-0010</t>
  </si>
  <si>
    <t>Office Supplies</t>
  </si>
  <si>
    <t>6706-0015</t>
  </si>
  <si>
    <t>Coffee Services</t>
  </si>
  <si>
    <t>6706-0020</t>
  </si>
  <si>
    <t>Water Cooler Expense</t>
  </si>
  <si>
    <t>6708-0000</t>
  </si>
  <si>
    <t>6710-0000</t>
  </si>
  <si>
    <t>Postage Expense</t>
  </si>
  <si>
    <t>6710-0010</t>
  </si>
  <si>
    <t>Postage Meter</t>
  </si>
  <si>
    <t>6710-0015</t>
  </si>
  <si>
    <t>Messenger Expense</t>
  </si>
  <si>
    <t>6712-0000</t>
  </si>
  <si>
    <t>6712-0005</t>
  </si>
  <si>
    <t>Computer Maintenance</t>
  </si>
  <si>
    <t>6712-0010</t>
  </si>
  <si>
    <t>Computer Supplies</t>
  </si>
  <si>
    <t>6712-0015</t>
  </si>
  <si>
    <t>Computer Repairs</t>
  </si>
  <si>
    <t>6712-0020</t>
  </si>
  <si>
    <t>Computer Consulting</t>
  </si>
  <si>
    <t>6714-0000</t>
  </si>
  <si>
    <t>Telephone Expense</t>
  </si>
  <si>
    <t>6714-0005</t>
  </si>
  <si>
    <t>Beepers</t>
  </si>
  <si>
    <t>6714-0010</t>
  </si>
  <si>
    <t>Answering Service Expense</t>
  </si>
  <si>
    <t>6716-0000</t>
  </si>
  <si>
    <t>Cable TV Expense</t>
  </si>
  <si>
    <t>6718-0000</t>
  </si>
  <si>
    <t>Photocopy Expense</t>
  </si>
  <si>
    <t>6718-0010</t>
  </si>
  <si>
    <t>Photocopy Supplies &amp; Maintenance</t>
  </si>
  <si>
    <t>6720-0000</t>
  </si>
  <si>
    <t>Dues &amp; Subscriptions</t>
  </si>
  <si>
    <t>6722-0000</t>
  </si>
  <si>
    <t>Education &amp; Seminars</t>
  </si>
  <si>
    <t>6724-0000</t>
  </si>
  <si>
    <t>Advertising</t>
  </si>
  <si>
    <t>6726-0000</t>
  </si>
  <si>
    <t>Inspection Fees &amp; Permits</t>
  </si>
  <si>
    <t>6728-0000</t>
  </si>
  <si>
    <t>6730-0000</t>
  </si>
  <si>
    <t>Laundry Collection Service</t>
  </si>
  <si>
    <t>6732-0000</t>
  </si>
  <si>
    <t>Meter Reading Charges</t>
  </si>
  <si>
    <t>6734-0000</t>
  </si>
  <si>
    <t>Gratuities</t>
  </si>
  <si>
    <t>6736-0000</t>
  </si>
  <si>
    <t>Donations</t>
  </si>
  <si>
    <t>6738-0000</t>
  </si>
  <si>
    <t>Meals Reimbursement - Admin</t>
  </si>
  <si>
    <t>6740-0000</t>
  </si>
  <si>
    <t>Security Guards</t>
  </si>
  <si>
    <t>6742-0000</t>
  </si>
  <si>
    <t>Travel Expenses</t>
  </si>
  <si>
    <t>6742-0015</t>
  </si>
  <si>
    <t>Tolls</t>
  </si>
  <si>
    <t>6744-0000</t>
  </si>
  <si>
    <t>Auto / Truck Mileage</t>
  </si>
  <si>
    <t>6744-0005</t>
  </si>
  <si>
    <t>Auto / Truck Lease</t>
  </si>
  <si>
    <t>6744-0010</t>
  </si>
  <si>
    <t>Auto / Truck Gasoline</t>
  </si>
  <si>
    <t>6744-0015</t>
  </si>
  <si>
    <t>Auto / Truck Repair</t>
  </si>
  <si>
    <t>6744-0020</t>
  </si>
  <si>
    <t>Auto / Truck Garage - Parking</t>
  </si>
  <si>
    <t>6746-0000</t>
  </si>
  <si>
    <t>Lobby &amp; Hallway Decorations</t>
  </si>
  <si>
    <t>6748-0000</t>
  </si>
  <si>
    <t>Party Supplies</t>
  </si>
  <si>
    <t>6750-0000</t>
  </si>
  <si>
    <t>Children's Activities</t>
  </si>
  <si>
    <t>6752-0000</t>
  </si>
  <si>
    <t>Playroom Supplies</t>
  </si>
  <si>
    <t>6754-0000</t>
  </si>
  <si>
    <t>Credit Check</t>
  </si>
  <si>
    <t>6756-0000</t>
  </si>
  <si>
    <t>6758-0000</t>
  </si>
  <si>
    <t>6760-0000</t>
  </si>
  <si>
    <t>6761-0000</t>
  </si>
  <si>
    <t>Rent Registration Fee</t>
  </si>
  <si>
    <t>6762-0000</t>
  </si>
  <si>
    <t>1098 Fee's</t>
  </si>
  <si>
    <t>6763-0000</t>
  </si>
  <si>
    <t>Safety Notices</t>
  </si>
  <si>
    <t>6764-0000</t>
  </si>
  <si>
    <t>Tax Abatement Program Fees</t>
  </si>
  <si>
    <t>6766-0000</t>
  </si>
  <si>
    <t>6768-0000</t>
  </si>
  <si>
    <t>6770-0000</t>
  </si>
  <si>
    <t>Moving Expense</t>
  </si>
  <si>
    <t>6772-0000</t>
  </si>
  <si>
    <t>Petty Cash Expenses</t>
  </si>
  <si>
    <t>6774-0000</t>
  </si>
  <si>
    <t>Bank Charges</t>
  </si>
  <si>
    <t>6776-0000</t>
  </si>
  <si>
    <t>6778-0000</t>
  </si>
  <si>
    <t>Late Fees</t>
  </si>
  <si>
    <t>6780-0000</t>
  </si>
  <si>
    <t>Penalties</t>
  </si>
  <si>
    <t>6782-0000</t>
  </si>
  <si>
    <t>Rent</t>
  </si>
  <si>
    <t>6782-0005</t>
  </si>
  <si>
    <t>Electric Escalation</t>
  </si>
  <si>
    <t>6782-0010</t>
  </si>
  <si>
    <t>Real Estate Tax Escalation</t>
  </si>
  <si>
    <t>6782-0015</t>
  </si>
  <si>
    <t>6784-0000</t>
  </si>
  <si>
    <t>Lease Commissions</t>
  </si>
  <si>
    <t>6786-0000</t>
  </si>
  <si>
    <t>Contingency Account</t>
  </si>
  <si>
    <t>6788-0000</t>
  </si>
  <si>
    <t>Tenant Buyout Account</t>
  </si>
  <si>
    <t>6795-0000</t>
  </si>
  <si>
    <t>Other Administrative</t>
  </si>
  <si>
    <t>6799-9997</t>
  </si>
  <si>
    <t>TOTAL ADMINISTRATIVE &amp; OTHER</t>
  </si>
  <si>
    <t>6900-9994</t>
  </si>
  <si>
    <t>FINANCIAL EXPENSES</t>
  </si>
  <si>
    <t>6905-0000</t>
  </si>
  <si>
    <t>Interest Expense</t>
  </si>
  <si>
    <t>6905-0002</t>
  </si>
  <si>
    <t>Mortgage Interest 2</t>
  </si>
  <si>
    <t>6905-0003</t>
  </si>
  <si>
    <t>Other Interest Expense</t>
  </si>
  <si>
    <t>6915-0000</t>
  </si>
  <si>
    <t>Ground Lease</t>
  </si>
  <si>
    <t>6920-0000</t>
  </si>
  <si>
    <t>Financing Fees</t>
  </si>
  <si>
    <t>6925-0000</t>
  </si>
  <si>
    <t>Equipment Lease</t>
  </si>
  <si>
    <t>6930-0000</t>
  </si>
  <si>
    <t>Telephone Lease</t>
  </si>
  <si>
    <t>6935-0000</t>
  </si>
  <si>
    <t>Photocopy Lease</t>
  </si>
  <si>
    <t>6940-0000</t>
  </si>
  <si>
    <t>Postage Lease</t>
  </si>
  <si>
    <t>6945-0000</t>
  </si>
  <si>
    <t>Computer Lease</t>
  </si>
  <si>
    <t>6950-0000</t>
  </si>
  <si>
    <t>Depreciation</t>
  </si>
  <si>
    <t>6955-0000</t>
  </si>
  <si>
    <t>Amortization</t>
  </si>
  <si>
    <t>6960-0000</t>
  </si>
  <si>
    <t>Easement Fees</t>
  </si>
  <si>
    <t>6990-0000</t>
  </si>
  <si>
    <t>Overhead Allocation</t>
  </si>
  <si>
    <t>6995-0000</t>
  </si>
  <si>
    <t>Other Financial Expense</t>
  </si>
  <si>
    <t>6996-9997</t>
  </si>
  <si>
    <t>TOTAL FINANCIAL EXPENSES</t>
  </si>
  <si>
    <t>6997-9998</t>
  </si>
  <si>
    <t>TOTAL GENERAL &amp; ADMINISTRATIVE EXPENSES</t>
  </si>
  <si>
    <t>6998-9998</t>
  </si>
  <si>
    <t>6998-9999</t>
  </si>
  <si>
    <t>TOTAL EXPENSES</t>
  </si>
  <si>
    <t>6999-9999</t>
  </si>
  <si>
    <t>NET OPERATING CASH FLOW</t>
  </si>
  <si>
    <t>7000-9994</t>
  </si>
  <si>
    <t>OTHER SOURCES &amp; USES OF FUNDS</t>
  </si>
  <si>
    <t>7000-9995</t>
  </si>
  <si>
    <t>Sources of Funds</t>
  </si>
  <si>
    <t>7018-0000</t>
  </si>
  <si>
    <t>Net Proceeds of Sale</t>
  </si>
  <si>
    <t>7020-0000</t>
  </si>
  <si>
    <t>Real Estate Tax Refund</t>
  </si>
  <si>
    <t>7025-0000</t>
  </si>
  <si>
    <t>Flip Tax - Capital</t>
  </si>
  <si>
    <t>7030-0000</t>
  </si>
  <si>
    <t>J51 Credit - Capital</t>
  </si>
  <si>
    <t>7035-0000</t>
  </si>
  <si>
    <t>Investment Income</t>
  </si>
  <si>
    <t>7040-0000</t>
  </si>
  <si>
    <t>Mitchell Lama Amortization</t>
  </si>
  <si>
    <t>7045-0000</t>
  </si>
  <si>
    <t>Claims Proceeds - Insurance Repairs</t>
  </si>
  <si>
    <t>7095-0000</t>
  </si>
  <si>
    <t>Other Sources of Funds</t>
  </si>
  <si>
    <t>7099-9997</t>
  </si>
  <si>
    <t>TOTAL OTHER SOURCES OF FUNDS</t>
  </si>
  <si>
    <t>7100-9994</t>
  </si>
  <si>
    <t>OTHER USES OF FUNDS</t>
  </si>
  <si>
    <t>7105-1411</t>
  </si>
  <si>
    <t>Cap - Elevator</t>
  </si>
  <si>
    <t>7110-1409</t>
  </si>
  <si>
    <t>Cap - Boiler/Burner</t>
  </si>
  <si>
    <t>7115-1409</t>
  </si>
  <si>
    <t>Cap - HVAC</t>
  </si>
  <si>
    <t>7120-1411</t>
  </si>
  <si>
    <t>Cap - Pump &amp; Motor</t>
  </si>
  <si>
    <t>7125-1411</t>
  </si>
  <si>
    <t>Cap - Appliances</t>
  </si>
  <si>
    <t>7130-1417</t>
  </si>
  <si>
    <t>Cap - Roofing</t>
  </si>
  <si>
    <t>7135-1417</t>
  </si>
  <si>
    <t>Cap - Chimney</t>
  </si>
  <si>
    <t>7140-1419</t>
  </si>
  <si>
    <t>Cap - Facade Waterproof</t>
  </si>
  <si>
    <t>7145-1409</t>
  </si>
  <si>
    <t>Cap - Plumbing</t>
  </si>
  <si>
    <t>7150-1409</t>
  </si>
  <si>
    <t>Cap - Electrical</t>
  </si>
  <si>
    <t>7155-1409</t>
  </si>
  <si>
    <t>Cap - General Contractor</t>
  </si>
  <si>
    <t>7160-1409</t>
  </si>
  <si>
    <t>Cap - Carpentry</t>
  </si>
  <si>
    <t>7165-1409</t>
  </si>
  <si>
    <t>Cap - Engineering / Architectural</t>
  </si>
  <si>
    <t>7170-1409</t>
  </si>
  <si>
    <t>Cap - Sprinkler</t>
  </si>
  <si>
    <t>7175-1411</t>
  </si>
  <si>
    <t>Cap - Water Meter</t>
  </si>
  <si>
    <t>7180-1417</t>
  </si>
  <si>
    <t>Cap - Water Tank</t>
  </si>
  <si>
    <t>7185-1409</t>
  </si>
  <si>
    <t>Cap - Windows</t>
  </si>
  <si>
    <t>7190-1415</t>
  </si>
  <si>
    <t>Cap - Hallways</t>
  </si>
  <si>
    <t>7195-1413</t>
  </si>
  <si>
    <t>Cap - Lobby</t>
  </si>
  <si>
    <t>7200-1411</t>
  </si>
  <si>
    <t>Cap - Compactor</t>
  </si>
  <si>
    <t>7205-1409</t>
  </si>
  <si>
    <t>Cap - Storage</t>
  </si>
  <si>
    <t>7210-1411</t>
  </si>
  <si>
    <t>Cap - Sidewalk Bridge</t>
  </si>
  <si>
    <t>7215-1409</t>
  </si>
  <si>
    <t>Cap - Paint &amp; Plaster</t>
  </si>
  <si>
    <t>7220-1409</t>
  </si>
  <si>
    <t>Cap - Asbestos Removal</t>
  </si>
  <si>
    <t>7225-1409</t>
  </si>
  <si>
    <t>Cap - Sidewalk / Concrete</t>
  </si>
  <si>
    <t>7230-1409</t>
  </si>
  <si>
    <t>Cap - Driveway</t>
  </si>
  <si>
    <t>7235-1409</t>
  </si>
  <si>
    <t>Cap - Doors</t>
  </si>
  <si>
    <t>7240-1409</t>
  </si>
  <si>
    <t>Cap - Floor / Carpet</t>
  </si>
  <si>
    <t>7245-1409</t>
  </si>
  <si>
    <t>Cap - Garage</t>
  </si>
  <si>
    <t>7250-1409</t>
  </si>
  <si>
    <t>Cap - Canopy / Awning</t>
  </si>
  <si>
    <t>7255-1411</t>
  </si>
  <si>
    <t>Cap - TV / VCR</t>
  </si>
  <si>
    <t>7260-1411</t>
  </si>
  <si>
    <t>Cap - Intercom</t>
  </si>
  <si>
    <t>7265-1411</t>
  </si>
  <si>
    <t>Cap - Security System</t>
  </si>
  <si>
    <t>7270-1409</t>
  </si>
  <si>
    <t>Cap - Garden &amp; Landscape</t>
  </si>
  <si>
    <t>7273-1409</t>
  </si>
  <si>
    <t>Cap - Insurance Repairs</t>
  </si>
  <si>
    <t>7275-1409</t>
  </si>
  <si>
    <t>Cap - Mailbox</t>
  </si>
  <si>
    <t>7280-1409</t>
  </si>
  <si>
    <t>Cap - Signage</t>
  </si>
  <si>
    <t>7285-1409</t>
  </si>
  <si>
    <t>Cap - Parking</t>
  </si>
  <si>
    <t>7290-1409</t>
  </si>
  <si>
    <t>Cap - Pool</t>
  </si>
  <si>
    <t>7295-1421</t>
  </si>
  <si>
    <t>Cap - Pool Furniture</t>
  </si>
  <si>
    <t>7300-1409</t>
  </si>
  <si>
    <t>Cap - STP</t>
  </si>
  <si>
    <t>7305-1409</t>
  </si>
  <si>
    <t>Cap - Whirlpool / Steam room</t>
  </si>
  <si>
    <t>7310-1409</t>
  </si>
  <si>
    <t>Cap - Tennis Court</t>
  </si>
  <si>
    <t>7315-1421</t>
  </si>
  <si>
    <t>Cap - Fitness Equipment</t>
  </si>
  <si>
    <t>7320-1409</t>
  </si>
  <si>
    <t>Cap - Laundry Room</t>
  </si>
  <si>
    <t>7325-1409</t>
  </si>
  <si>
    <t>Cap - Children's Play Area</t>
  </si>
  <si>
    <t>7330-1409</t>
  </si>
  <si>
    <t>Cap - Gym</t>
  </si>
  <si>
    <t>7335-1409</t>
  </si>
  <si>
    <t>Cap - Aerobics Floor</t>
  </si>
  <si>
    <t>7340-1409</t>
  </si>
  <si>
    <t>Cap - Racquetball Court</t>
  </si>
  <si>
    <t>7345-1409</t>
  </si>
  <si>
    <t>Cap - Great Room</t>
  </si>
  <si>
    <t>7350-2510</t>
  </si>
  <si>
    <t>Cap - Principal Amortization</t>
  </si>
  <si>
    <t>7355-2510</t>
  </si>
  <si>
    <t>Cap - Interest</t>
  </si>
  <si>
    <t>7360-1780</t>
  </si>
  <si>
    <t>Cap - Professional</t>
  </si>
  <si>
    <t>7370-1780</t>
  </si>
  <si>
    <t>Cap - Commissions</t>
  </si>
  <si>
    <t>7375-1780</t>
  </si>
  <si>
    <t>Cap - Legal</t>
  </si>
  <si>
    <t>7380-1780</t>
  </si>
  <si>
    <t>Cap - Loan Financing Fees</t>
  </si>
  <si>
    <t>7385-1411</t>
  </si>
  <si>
    <t>Cap - Building Equipment</t>
  </si>
  <si>
    <t>7390-1423</t>
  </si>
  <si>
    <t>Cap - Office Equipment</t>
  </si>
  <si>
    <t>7395-1433</t>
  </si>
  <si>
    <t>Cap - Computer Equipment</t>
  </si>
  <si>
    <t>7400-1435</t>
  </si>
  <si>
    <t>Cap - Computer Software</t>
  </si>
  <si>
    <t>7405-1425</t>
  </si>
  <si>
    <t>Cap - Furniture &amp; Fixtures</t>
  </si>
  <si>
    <t>7490-1409</t>
  </si>
  <si>
    <t>Cap - Other</t>
  </si>
  <si>
    <t>7900-1409</t>
  </si>
  <si>
    <t>Cap - Contra - Building Improvements</t>
  </si>
  <si>
    <t>7900-1411</t>
  </si>
  <si>
    <t>Cap - Contra - Building Equipment</t>
  </si>
  <si>
    <t>7900-1413</t>
  </si>
  <si>
    <t>Cap - Contra - Lobby Improvements</t>
  </si>
  <si>
    <t>7900-1415</t>
  </si>
  <si>
    <t>Cap - Contra - Hallway Improvements</t>
  </si>
  <si>
    <t>7900-1417</t>
  </si>
  <si>
    <t>Cap - Contra - Roof Improvements</t>
  </si>
  <si>
    <t>7900-1419</t>
  </si>
  <si>
    <t>Cap - Contra - Fa‡ade Improvements</t>
  </si>
  <si>
    <t>7900-1421</t>
  </si>
  <si>
    <t>Cap - Contra - Building Personal Property</t>
  </si>
  <si>
    <t>7997-9997</t>
  </si>
  <si>
    <t>TOTAL USES OF FUNDS</t>
  </si>
  <si>
    <t>7998-9998</t>
  </si>
  <si>
    <t>NET SOURCES (USES) OF FUNDS</t>
  </si>
  <si>
    <t>7999-9999</t>
  </si>
  <si>
    <t>NET CASH FLOW</t>
  </si>
  <si>
    <t>9999-9998</t>
  </si>
  <si>
    <t>Total of All</t>
  </si>
  <si>
    <t/>
  </si>
  <si>
    <t>9/1/2015</t>
  </si>
  <si>
    <t>12/1/2015</t>
  </si>
  <si>
    <t>tempcen_cf</t>
  </si>
  <si>
    <t>Cash</t>
  </si>
  <si>
    <t>148</t>
  </si>
  <si>
    <t>Oracle</t>
  </si>
  <si>
    <t>Sql Server</t>
  </si>
  <si>
    <t>Filter</t>
  </si>
  <si>
    <t>444 East 86th Owners Corp</t>
  </si>
  <si>
    <t>Y-T-D</t>
  </si>
  <si>
    <t>Budget</t>
  </si>
  <si>
    <t>GL#</t>
  </si>
  <si>
    <t>Actual</t>
  </si>
  <si>
    <t>BUDGET</t>
  </si>
  <si>
    <t>APPROVED</t>
  </si>
  <si>
    <t>0000-0000</t>
  </si>
  <si>
    <t xml:space="preserve">    CASH FLOW</t>
  </si>
  <si>
    <t xml:space="preserve">    (Header)</t>
  </si>
  <si>
    <t xml:space="preserve"> INCOME</t>
  </si>
  <si>
    <t xml:space="preserve"> RECURRING INCOME</t>
  </si>
  <si>
    <t xml:space="preserve">     Maintenance</t>
  </si>
  <si>
    <t xml:space="preserve">     Maintenance Sponsors</t>
  </si>
  <si>
    <t xml:space="preserve">     Common Charges</t>
  </si>
  <si>
    <t>4030-0005</t>
  </si>
  <si>
    <t xml:space="preserve">     Commercial Common Charges</t>
  </si>
  <si>
    <t xml:space="preserve">     Common Charges Sponsors</t>
  </si>
  <si>
    <t xml:space="preserve">     Rental Income</t>
  </si>
  <si>
    <t>4080-0000</t>
  </si>
  <si>
    <t xml:space="preserve">     Rents- Residential Below Market</t>
  </si>
  <si>
    <t xml:space="preserve">     Vacancy Loss</t>
  </si>
  <si>
    <t xml:space="preserve">     Commercial Rent</t>
  </si>
  <si>
    <t>4080-0002</t>
  </si>
  <si>
    <t xml:space="preserve">     Rents- Commercial Straight Line</t>
  </si>
  <si>
    <t>4080-0004</t>
  </si>
  <si>
    <t xml:space="preserve">     Rents-Commercial Above Market</t>
  </si>
  <si>
    <t>4080-0006</t>
  </si>
  <si>
    <t xml:space="preserve">     Rents- Commercial Below Market</t>
  </si>
  <si>
    <t xml:space="preserve">     Common Area Maintenance</t>
  </si>
  <si>
    <t xml:space="preserve">     Professional Rental Income</t>
  </si>
  <si>
    <t xml:space="preserve">     Arrears</t>
  </si>
  <si>
    <t xml:space="preserve">     Surcharge</t>
  </si>
  <si>
    <t xml:space="preserve">     Prepaid Income</t>
  </si>
  <si>
    <t xml:space="preserve">     Real Estate Tax Abatement</t>
  </si>
  <si>
    <t xml:space="preserve">     STAR Exemption</t>
  </si>
  <si>
    <t xml:space="preserve">     Veterans Exemption</t>
  </si>
  <si>
    <t xml:space="preserve">     SCRIE</t>
  </si>
  <si>
    <t xml:space="preserve">     SCHE</t>
  </si>
  <si>
    <t xml:space="preserve">     Abatement</t>
  </si>
  <si>
    <t xml:space="preserve">     MCI Increase</t>
  </si>
  <si>
    <t>4128-0002</t>
  </si>
  <si>
    <t xml:space="preserve">     IAI Increase</t>
  </si>
  <si>
    <t xml:space="preserve">     Preferential Rent</t>
  </si>
  <si>
    <t xml:space="preserve">     Apartment Charges</t>
  </si>
  <si>
    <t xml:space="preserve">     Storage Room</t>
  </si>
  <si>
    <t xml:space="preserve">     Bicycle Charge</t>
  </si>
  <si>
    <t xml:space="preserve">     Gym Fees</t>
  </si>
  <si>
    <t xml:space="preserve">     Business Center</t>
  </si>
  <si>
    <t xml:space="preserve">     Cinema Room</t>
  </si>
  <si>
    <t xml:space="preserve">     Energy Surcharge</t>
  </si>
  <si>
    <t xml:space="preserve">     Laundry</t>
  </si>
  <si>
    <t xml:space="preserve">     Valet</t>
  </si>
  <si>
    <t xml:space="preserve">     Maids Room</t>
  </si>
  <si>
    <t xml:space="preserve">     Pool Charges</t>
  </si>
  <si>
    <t xml:space="preserve">     Garage &amp; Parking</t>
  </si>
  <si>
    <t xml:space="preserve">     Garage</t>
  </si>
  <si>
    <t>4135-0011</t>
  </si>
  <si>
    <t xml:space="preserve">     Garage Sublet Fee</t>
  </si>
  <si>
    <t>4135- 0012</t>
  </si>
  <si>
    <t xml:space="preserve">     Garage SUV Surcharge</t>
  </si>
  <si>
    <t>4135-0013</t>
  </si>
  <si>
    <t xml:space="preserve">     Amenity1</t>
  </si>
  <si>
    <t xml:space="preserve">     Garage - Non Residents</t>
  </si>
  <si>
    <t xml:space="preserve">     Parking</t>
  </si>
  <si>
    <t xml:space="preserve">     Parking - Non-Residents</t>
  </si>
  <si>
    <t xml:space="preserve">     Garage Door Opener</t>
  </si>
  <si>
    <t xml:space="preserve">     Accelerated Common Charges</t>
  </si>
  <si>
    <t xml:space="preserve">     Assessment - Operating</t>
  </si>
  <si>
    <t>4200-0005</t>
  </si>
  <si>
    <t xml:space="preserve">     Special Assessment</t>
  </si>
  <si>
    <t xml:space="preserve">     Discount on Prepaid Assessment</t>
  </si>
  <si>
    <t xml:space="preserve">     Utility Income</t>
  </si>
  <si>
    <t xml:space="preserve">     Refrigerator</t>
  </si>
  <si>
    <t xml:space="preserve">     Cable TV</t>
  </si>
  <si>
    <t xml:space="preserve">     Air Conditioner</t>
  </si>
  <si>
    <t xml:space="preserve">     Gas</t>
  </si>
  <si>
    <t xml:space="preserve">     Electric</t>
  </si>
  <si>
    <t xml:space="preserve">     Washing Machine</t>
  </si>
  <si>
    <t xml:space="preserve">     Dryer</t>
  </si>
  <si>
    <t xml:space="preserve">     Dishwasher</t>
  </si>
  <si>
    <t xml:space="preserve">     Freezer</t>
  </si>
  <si>
    <t xml:space="preserve">     Carbon/Smoke Detector</t>
  </si>
  <si>
    <t>4250-0055</t>
  </si>
  <si>
    <t xml:space="preserve">     Appliance Charges</t>
  </si>
  <si>
    <t xml:space="preserve">     Fuel Surcharge</t>
  </si>
  <si>
    <t xml:space="preserve">     Maximum Base Rent</t>
  </si>
  <si>
    <t xml:space="preserve">     Additional Commercial Rent</t>
  </si>
  <si>
    <t xml:space="preserve">     CPI Adjustment</t>
  </si>
  <si>
    <t xml:space="preserve">     Operating Esc Income</t>
  </si>
  <si>
    <t xml:space="preserve">     Straight Line Adjustment</t>
  </si>
  <si>
    <t xml:space="preserve">     Commercial Real Estate Tax</t>
  </si>
  <si>
    <t xml:space="preserve">     Porter Wage</t>
  </si>
  <si>
    <t xml:space="preserve">     Garage - Operator</t>
  </si>
  <si>
    <t xml:space="preserve">     Sales Tax</t>
  </si>
  <si>
    <t xml:space="preserve">     Management Fees</t>
  </si>
  <si>
    <t>4600-0010</t>
  </si>
  <si>
    <t xml:space="preserve">     Management Fees-Staff</t>
  </si>
  <si>
    <t xml:space="preserve">     Conference Room</t>
  </si>
  <si>
    <t>4606-0000</t>
  </si>
  <si>
    <t xml:space="preserve">     Amenity Rental</t>
  </si>
  <si>
    <t xml:space="preserve">     Bad Debt</t>
  </si>
  <si>
    <t xml:space="preserve">     N.Y.C. Grant</t>
  </si>
  <si>
    <t xml:space="preserve">     Roof Income</t>
  </si>
  <si>
    <t xml:space="preserve">     Other Recurring Income</t>
  </si>
  <si>
    <t xml:space="preserve"> TOTAL RECURRING INCOME</t>
  </si>
  <si>
    <t xml:space="preserve"> NON-RECURRING INCOME</t>
  </si>
  <si>
    <t xml:space="preserve">     Late Charges</t>
  </si>
  <si>
    <t xml:space="preserve">     Legal Fees</t>
  </si>
  <si>
    <t xml:space="preserve">     Bounce Check Fee</t>
  </si>
  <si>
    <t xml:space="preserve">     Apartment Repair Income</t>
  </si>
  <si>
    <t xml:space="preserve">     Architectural/Enginerring Fees</t>
  </si>
  <si>
    <t xml:space="preserve">     Paint &amp; Plaster</t>
  </si>
  <si>
    <t xml:space="preserve">     Bathroom Repair</t>
  </si>
  <si>
    <t xml:space="preserve">     Plumbing Repair</t>
  </si>
  <si>
    <t xml:space="preserve">     A/C Repair</t>
  </si>
  <si>
    <t xml:space="preserve">     HVAC Repair</t>
  </si>
  <si>
    <t xml:space="preserve">     Range &amp; Oven</t>
  </si>
  <si>
    <t xml:space="preserve">     Electrical Repairs</t>
  </si>
  <si>
    <t xml:space="preserve">     Intercom Repairs</t>
  </si>
  <si>
    <t xml:space="preserve">     Retroactive Air Conditioner Fees</t>
  </si>
  <si>
    <t xml:space="preserve">     Other Apartment Charges</t>
  </si>
  <si>
    <t xml:space="preserve">     Violations</t>
  </si>
  <si>
    <t xml:space="preserve">     Gate Cards</t>
  </si>
  <si>
    <t xml:space="preserve">     Move-In Out Fees</t>
  </si>
  <si>
    <t xml:space="preserve">     Locks &amp; Keys</t>
  </si>
  <si>
    <t xml:space="preserve">     Sublet Fees</t>
  </si>
  <si>
    <t xml:space="preserve">     Guest Fees</t>
  </si>
  <si>
    <t xml:space="preserve">     Child Care Fees</t>
  </si>
  <si>
    <t xml:space="preserve">     Landscaping Fund Fees</t>
  </si>
  <si>
    <t xml:space="preserve">     Cleaning Service Fees</t>
  </si>
  <si>
    <t xml:space="preserve">     Window Washing Fees</t>
  </si>
  <si>
    <t xml:space="preserve">     Rubbish Removal Fees</t>
  </si>
  <si>
    <t xml:space="preserve">     Freight Elevator Fees</t>
  </si>
  <si>
    <t xml:space="preserve">     Interest Income</t>
  </si>
  <si>
    <t xml:space="preserve">     Dividend Income</t>
  </si>
  <si>
    <t xml:space="preserve">     Insurance Refunds</t>
  </si>
  <si>
    <t xml:space="preserve">     Real Estate Tax Refunds</t>
  </si>
  <si>
    <t xml:space="preserve">     Corporation Tax Refunds</t>
  </si>
  <si>
    <t xml:space="preserve">     Payroll Tax Refunds</t>
  </si>
  <si>
    <t xml:space="preserve">     Flip Tax - Operating</t>
  </si>
  <si>
    <t xml:space="preserve">     Tenant Allowance</t>
  </si>
  <si>
    <t xml:space="preserve">     Telephone Reimbursement</t>
  </si>
  <si>
    <t xml:space="preserve">     Forfeit Security Deposit</t>
  </si>
  <si>
    <t xml:space="preserve">     Water &amp; Sewer</t>
  </si>
  <si>
    <t xml:space="preserve">     Fuel Rebates</t>
  </si>
  <si>
    <t xml:space="preserve">     Utility Rebates</t>
  </si>
  <si>
    <t xml:space="preserve">     Court Stipulation</t>
  </si>
  <si>
    <t xml:space="preserve">     Photocopy</t>
  </si>
  <si>
    <t xml:space="preserve">     Postage</t>
  </si>
  <si>
    <t xml:space="preserve">     Messenger</t>
  </si>
  <si>
    <t xml:space="preserve">     Stationery &amp; Printing</t>
  </si>
  <si>
    <t xml:space="preserve">     Credit Check Fees</t>
  </si>
  <si>
    <t xml:space="preserve">     Prospectus</t>
  </si>
  <si>
    <t xml:space="preserve">     Coop Questionnaire</t>
  </si>
  <si>
    <t xml:space="preserve">     Alteration Agreement Fee</t>
  </si>
  <si>
    <t xml:space="preserve">     Recognition Agreement Fees</t>
  </si>
  <si>
    <t>4925-0000</t>
  </si>
  <si>
    <t xml:space="preserve">     Pet Fees</t>
  </si>
  <si>
    <t xml:space="preserve">     Administrative Fees</t>
  </si>
  <si>
    <t xml:space="preserve">     Secretary Services</t>
  </si>
  <si>
    <t xml:space="preserve">     Application Fees</t>
  </si>
  <si>
    <t xml:space="preserve">     Refinancing Fees</t>
  </si>
  <si>
    <t xml:space="preserve">     Closing Fees</t>
  </si>
  <si>
    <t xml:space="preserve">     Offering Plan Fees</t>
  </si>
  <si>
    <t xml:space="preserve">     Window Guards</t>
  </si>
  <si>
    <t>4945-0000</t>
  </si>
  <si>
    <t xml:space="preserve">     Safety Notices</t>
  </si>
  <si>
    <t xml:space="preserve">     Lead Paint</t>
  </si>
  <si>
    <t xml:space="preserve">     Fire Safety</t>
  </si>
  <si>
    <t xml:space="preserve">     1098's Fee's</t>
  </si>
  <si>
    <t xml:space="preserve">     Accounting Fees</t>
  </si>
  <si>
    <t xml:space="preserve">     Tax Abatement Program</t>
  </si>
  <si>
    <t xml:space="preserve">     Security Account Admin.</t>
  </si>
  <si>
    <t xml:space="preserve">     Leasing Commissions</t>
  </si>
  <si>
    <t xml:space="preserve">     Sales Commissions</t>
  </si>
  <si>
    <t xml:space="preserve">     Insurance Commissions</t>
  </si>
  <si>
    <t xml:space="preserve">     Mortgage Brokerage Commissions</t>
  </si>
  <si>
    <t xml:space="preserve">     Co-Broker</t>
  </si>
  <si>
    <t xml:space="preserve">     Closing Costs Reimbursement</t>
  </si>
  <si>
    <t xml:space="preserve">     Gain on Debt</t>
  </si>
  <si>
    <t xml:space="preserve">     Apartment Sales</t>
  </si>
  <si>
    <t xml:space="preserve">     Cost of Sales</t>
  </si>
  <si>
    <t xml:space="preserve">     Other Non Recurring Income</t>
  </si>
  <si>
    <t xml:space="preserve"> TOTAL NON-RECURRING INCOME</t>
  </si>
  <si>
    <t xml:space="preserve"> TOTAL INCOME</t>
  </si>
  <si>
    <t xml:space="preserve"> EXPENSES</t>
  </si>
  <si>
    <t xml:space="preserve"> OPERATING EXPENSES</t>
  </si>
  <si>
    <t xml:space="preserve"> PAYROLL EXPENSES</t>
  </si>
  <si>
    <t xml:space="preserve">     Gross Payroll</t>
  </si>
  <si>
    <t xml:space="preserve">     Overtime Pay</t>
  </si>
  <si>
    <t xml:space="preserve">     Vacation Pay</t>
  </si>
  <si>
    <t xml:space="preserve">     Holiday Pay</t>
  </si>
  <si>
    <t xml:space="preserve">     Holiday Premium Pay</t>
  </si>
  <si>
    <t xml:space="preserve">     Sick Pay</t>
  </si>
  <si>
    <t xml:space="preserve">     Meal Reimbursement - Payroll</t>
  </si>
  <si>
    <t xml:space="preserve">     Tool Reimbursement</t>
  </si>
  <si>
    <t xml:space="preserve">     Miscellaneous Pay</t>
  </si>
  <si>
    <t xml:space="preserve">     Bonus</t>
  </si>
  <si>
    <t xml:space="preserve">     Employee Payroll Taxes</t>
  </si>
  <si>
    <t xml:space="preserve">     Medicare</t>
  </si>
  <si>
    <t xml:space="preserve">     Federal Withholding Taxes</t>
  </si>
  <si>
    <t xml:space="preserve">     NYS Withholding Taxes</t>
  </si>
  <si>
    <t xml:space="preserve">     NYC Withholding Taxes</t>
  </si>
  <si>
    <t xml:space="preserve">     Employer Payroll Taxes</t>
  </si>
  <si>
    <t xml:space="preserve">     SUI - State Unemployment Insurance</t>
  </si>
  <si>
    <t xml:space="preserve">     FUTA - Federal Unemployment Insurance</t>
  </si>
  <si>
    <t xml:space="preserve">     401K</t>
  </si>
  <si>
    <t xml:space="preserve">     401K Loan</t>
  </si>
  <si>
    <t xml:space="preserve">     401K Match</t>
  </si>
  <si>
    <t xml:space="preserve">     401K Roth</t>
  </si>
  <si>
    <t xml:space="preserve">     Voluntary Deductible</t>
  </si>
  <si>
    <t xml:space="preserve">     Union Dues</t>
  </si>
  <si>
    <t xml:space="preserve">     Health Insurance</t>
  </si>
  <si>
    <t>5155-0020</t>
  </si>
  <si>
    <t xml:space="preserve">     Dental Insurance</t>
  </si>
  <si>
    <t xml:space="preserve">     Union Benefit Funds</t>
  </si>
  <si>
    <t xml:space="preserve">     Life Insurance</t>
  </si>
  <si>
    <t xml:space="preserve">     Pension Fund</t>
  </si>
  <si>
    <t xml:space="preserve">     Health Fund</t>
  </si>
  <si>
    <t xml:space="preserve">     Annuity Fund</t>
  </si>
  <si>
    <t xml:space="preserve">     Legal Fund</t>
  </si>
  <si>
    <t xml:space="preserve">     Training Fund</t>
  </si>
  <si>
    <t xml:space="preserve">     Welfare Fund</t>
  </si>
  <si>
    <t xml:space="preserve">     Garnishments</t>
  </si>
  <si>
    <t xml:space="preserve">     Workers Compensation Insurance</t>
  </si>
  <si>
    <t xml:space="preserve">     Workers Comp Audit / Dividend</t>
  </si>
  <si>
    <t xml:space="preserve">     Disability Insurance</t>
  </si>
  <si>
    <t>5168-0000</t>
  </si>
  <si>
    <t xml:space="preserve">     Paid Family Leave</t>
  </si>
  <si>
    <t xml:space="preserve">     Benefits Administration</t>
  </si>
  <si>
    <t xml:space="preserve">     Check Cashing</t>
  </si>
  <si>
    <t xml:space="preserve">     Payroll Processing</t>
  </si>
  <si>
    <t xml:space="preserve">     Other Payroll Expenses</t>
  </si>
  <si>
    <t>5179-0002</t>
  </si>
  <si>
    <t xml:space="preserve">     Staffing Services</t>
  </si>
  <si>
    <t xml:space="preserve"> TOTAL PAYROLL EXPENSES</t>
  </si>
  <si>
    <t xml:space="preserve"> ENERGY EXPENSES</t>
  </si>
  <si>
    <t xml:space="preserve">     Gas Transport</t>
  </si>
  <si>
    <t xml:space="preserve">     Gas - Heating</t>
  </si>
  <si>
    <t xml:space="preserve">     Electricity</t>
  </si>
  <si>
    <t xml:space="preserve">     Fuel</t>
  </si>
  <si>
    <t xml:space="preserve">     Steam</t>
  </si>
  <si>
    <t xml:space="preserve">     Other Energy Expense</t>
  </si>
  <si>
    <t xml:space="preserve"> TOTAL ENERGY EXPENSES</t>
  </si>
  <si>
    <t xml:space="preserve"> SUPPLIES REPAIRS MAINTENANCE</t>
  </si>
  <si>
    <t xml:space="preserve"> SUPPLIES</t>
  </si>
  <si>
    <t xml:space="preserve">     Appliance Supplies</t>
  </si>
  <si>
    <t xml:space="preserve">     Supplies &amp; Hardware</t>
  </si>
  <si>
    <t>5408-0000</t>
  </si>
  <si>
    <t xml:space="preserve">     Startup Supplies</t>
  </si>
  <si>
    <t xml:space="preserve">     Refrigeration Supplies</t>
  </si>
  <si>
    <t xml:space="preserve">     Dishwasher Supplies</t>
  </si>
  <si>
    <t xml:space="preserve">     Range &amp; Oven Supplies</t>
  </si>
  <si>
    <t xml:space="preserve">     Bathroom Fixture Supplies</t>
  </si>
  <si>
    <t xml:space="preserve">     Hardware Supplies</t>
  </si>
  <si>
    <t xml:space="preserve">     Plumbing Supplies</t>
  </si>
  <si>
    <t xml:space="preserve">     Electrical Supplies</t>
  </si>
  <si>
    <t xml:space="preserve">     Light Bulbs</t>
  </si>
  <si>
    <t xml:space="preserve">     Cleaning Supplies</t>
  </si>
  <si>
    <t xml:space="preserve">     Compactor Bags</t>
  </si>
  <si>
    <t xml:space="preserve">     Exterminating Supplies</t>
  </si>
  <si>
    <t xml:space="preserve">     Air Conditioning Supplies</t>
  </si>
  <si>
    <t xml:space="preserve">     Window &amp; Glass Supplies</t>
  </si>
  <si>
    <t xml:space="preserve">     Directory Plates &amp; Signs</t>
  </si>
  <si>
    <t xml:space="preserve">     Painting Supplies</t>
  </si>
  <si>
    <t xml:space="preserve">     Uniforms Purchased</t>
  </si>
  <si>
    <t xml:space="preserve">     STP Chemicals</t>
  </si>
  <si>
    <t xml:space="preserve">     Snow Melt Chemicals</t>
  </si>
  <si>
    <t xml:space="preserve">     Pool Supplies</t>
  </si>
  <si>
    <t xml:space="preserve">     Fitness Center Supplies</t>
  </si>
  <si>
    <t xml:space="preserve">     Other Building Supplies</t>
  </si>
  <si>
    <t xml:space="preserve"> TOTAL SUPPLIES</t>
  </si>
  <si>
    <t xml:space="preserve"> REPAIRS</t>
  </si>
  <si>
    <t xml:space="preserve">     Apartment Repairs</t>
  </si>
  <si>
    <t xml:space="preserve">     Insurance Repairs</t>
  </si>
  <si>
    <t xml:space="preserve">     Appliance Repairs</t>
  </si>
  <si>
    <t xml:space="preserve">     Refrigerator Repairs</t>
  </si>
  <si>
    <t>5622-0000</t>
  </si>
  <si>
    <t xml:space="preserve">     HVAC Repairs</t>
  </si>
  <si>
    <t xml:space="preserve">     Range &amp; Oven Repairs</t>
  </si>
  <si>
    <t xml:space="preserve">     Dishwasher Repairs</t>
  </si>
  <si>
    <t xml:space="preserve">     Equipment Repairs</t>
  </si>
  <si>
    <t xml:space="preserve">     Heating Repairs</t>
  </si>
  <si>
    <t xml:space="preserve">     Boiler/Burner Repairs</t>
  </si>
  <si>
    <t xml:space="preserve">     Plumbing Repairs</t>
  </si>
  <si>
    <t xml:space="preserve">     Pump/Motor Repair</t>
  </si>
  <si>
    <t xml:space="preserve">     Air Conditioning Repairs</t>
  </si>
  <si>
    <t xml:space="preserve">     Elevator Repairs</t>
  </si>
  <si>
    <t xml:space="preserve">     Compactor / Incinerator Repairs</t>
  </si>
  <si>
    <t xml:space="preserve">     Window Repairs</t>
  </si>
  <si>
    <t xml:space="preserve">     Floor / Carpet Repair</t>
  </si>
  <si>
    <t xml:space="preserve">     Garage Repairs</t>
  </si>
  <si>
    <t xml:space="preserve">     Hallway Repairs</t>
  </si>
  <si>
    <t xml:space="preserve">     Lobby Repairs</t>
  </si>
  <si>
    <t xml:space="preserve">     Paint &amp; Plaster Repairs</t>
  </si>
  <si>
    <t xml:space="preserve">     Carpentry Repairs</t>
  </si>
  <si>
    <t xml:space="preserve">     Door Repairs</t>
  </si>
  <si>
    <t xml:space="preserve">     Canopy Repairs</t>
  </si>
  <si>
    <t xml:space="preserve">     Time Recorder Repairs</t>
  </si>
  <si>
    <t xml:space="preserve">     Facade / Waterproofing Repairs</t>
  </si>
  <si>
    <t xml:space="preserve">     Roof Repairs</t>
  </si>
  <si>
    <t xml:space="preserve">     Roof Tank / Water Tank Repairs</t>
  </si>
  <si>
    <t xml:space="preserve">     Roof Exhaust Repairs</t>
  </si>
  <si>
    <t xml:space="preserve">     STP Repairs</t>
  </si>
  <si>
    <t xml:space="preserve">     Sprinkler System Repairs</t>
  </si>
  <si>
    <t xml:space="preserve">     Sidewalk Concrete Repairs</t>
  </si>
  <si>
    <t xml:space="preserve">     Pool Repairs</t>
  </si>
  <si>
    <t xml:space="preserve">     Steam / Locker Room Repairs</t>
  </si>
  <si>
    <t xml:space="preserve">     Sauna Repairs</t>
  </si>
  <si>
    <t xml:space="preserve">     Fitness Equipment Repair</t>
  </si>
  <si>
    <t xml:space="preserve">     Other Building Repairs</t>
  </si>
  <si>
    <t xml:space="preserve"> TOTAL REPAIRS</t>
  </si>
  <si>
    <t xml:space="preserve"> MAINTENANCE</t>
  </si>
  <si>
    <t xml:space="preserve">     Cleaning &amp; Maintenance</t>
  </si>
  <si>
    <t xml:space="preserve">     Air Conditioning Maintenance</t>
  </si>
  <si>
    <t xml:space="preserve">     Heating Maintenance</t>
  </si>
  <si>
    <t xml:space="preserve">     Boiler Maintenance</t>
  </si>
  <si>
    <t xml:space="preserve">     Burner Maintenance</t>
  </si>
  <si>
    <t>5809-0016</t>
  </si>
  <si>
    <t xml:space="preserve">     Sprinkler Maintenance</t>
  </si>
  <si>
    <t xml:space="preserve">     HVAC Maintenance</t>
  </si>
  <si>
    <t>5811-0000</t>
  </si>
  <si>
    <t xml:space="preserve">     Residential Chargebacks</t>
  </si>
  <si>
    <t xml:space="preserve">     Elevator Maintenance</t>
  </si>
  <si>
    <t xml:space="preserve">     Floor/Carpet Cleaning</t>
  </si>
  <si>
    <t xml:space="preserve">     Window Cleaning</t>
  </si>
  <si>
    <t xml:space="preserve">     Fire Extinguisher Maintenance</t>
  </si>
  <si>
    <t xml:space="preserve">     Uniform Cleaning &amp; Maintenance</t>
  </si>
  <si>
    <t>5825-0002</t>
  </si>
  <si>
    <t xml:space="preserve">     Startup Uniforms</t>
  </si>
  <si>
    <t xml:space="preserve">     Rubbish Removal</t>
  </si>
  <si>
    <t xml:space="preserve">     Exterminating</t>
  </si>
  <si>
    <t xml:space="preserve">     Cooling Tower Maintenance</t>
  </si>
  <si>
    <t xml:space="preserve">     Alarm / Security System Maintenance</t>
  </si>
  <si>
    <t xml:space="preserve">     Metal / Marble/ Wood Maintenance</t>
  </si>
  <si>
    <t xml:space="preserve">     Laundry Equipment Maintenance</t>
  </si>
  <si>
    <t xml:space="preserve">     Garage Maintenance</t>
  </si>
  <si>
    <t xml:space="preserve">     Facade Maintenance</t>
  </si>
  <si>
    <t xml:space="preserve">     Water Treatment Maintenance</t>
  </si>
  <si>
    <t xml:space="preserve">     STP Maintenance</t>
  </si>
  <si>
    <t xml:space="preserve">     Equipment Maintenance</t>
  </si>
  <si>
    <t xml:space="preserve">     Pool Maintenance</t>
  </si>
  <si>
    <t xml:space="preserve">     Cesspool Maintenance</t>
  </si>
  <si>
    <t xml:space="preserve">     Landscaping</t>
  </si>
  <si>
    <t xml:space="preserve">     Snow Removal</t>
  </si>
  <si>
    <t xml:space="preserve">     Roof Top Garden Expense</t>
  </si>
  <si>
    <t xml:space="preserve">     Sewer Plant Maintenance</t>
  </si>
  <si>
    <t xml:space="preserve">     Other Maintenance</t>
  </si>
  <si>
    <t xml:space="preserve"> TOTAL MAINTENANCE</t>
  </si>
  <si>
    <t xml:space="preserve"> TOTAL SUPPLIES REPAIRS MAINTENANCE</t>
  </si>
  <si>
    <t xml:space="preserve"> TOTAL OPERATING EXPENSES</t>
  </si>
  <si>
    <t xml:space="preserve"> GEN &amp; ADMIN EXPENSES</t>
  </si>
  <si>
    <t xml:space="preserve"> INSURANCE</t>
  </si>
  <si>
    <t xml:space="preserve">     Package Policy</t>
  </si>
  <si>
    <t xml:space="preserve">     General Liability Insurance</t>
  </si>
  <si>
    <t xml:space="preserve">     Property Insurance</t>
  </si>
  <si>
    <t xml:space="preserve">     Umbrella Insurance</t>
  </si>
  <si>
    <t xml:space="preserve">     D&amp;O Insurance</t>
  </si>
  <si>
    <t xml:space="preserve">     Cyber Insurance</t>
  </si>
  <si>
    <t xml:space="preserve">     Auto Insurance</t>
  </si>
  <si>
    <t xml:space="preserve">     Crime / Fidelity Insurance</t>
  </si>
  <si>
    <t xml:space="preserve">     Boiler &amp; Machinery Insurance</t>
  </si>
  <si>
    <t xml:space="preserve">     Errors &amp; Omissions Insurance</t>
  </si>
  <si>
    <t xml:space="preserve">     Flood / Hurricane Insurance</t>
  </si>
  <si>
    <t xml:space="preserve">     Other Insurance</t>
  </si>
  <si>
    <t xml:space="preserve"> TOTAL INSURANCE</t>
  </si>
  <si>
    <t xml:space="preserve"> TAXES</t>
  </si>
  <si>
    <t xml:space="preserve">     Water/Sewer</t>
  </si>
  <si>
    <t xml:space="preserve">     Corporation Tax</t>
  </si>
  <si>
    <t xml:space="preserve">     Real Estate Tax</t>
  </si>
  <si>
    <t xml:space="preserve">     Veteran Exemption</t>
  </si>
  <si>
    <t xml:space="preserve">     SCRIE Credit</t>
  </si>
  <si>
    <t xml:space="preserve">     SCHE Credit</t>
  </si>
  <si>
    <t xml:space="preserve">     J-51 Credit</t>
  </si>
  <si>
    <t xml:space="preserve">     Transfer Tax</t>
  </si>
  <si>
    <t xml:space="preserve">     Sales &amp; Use Tax</t>
  </si>
  <si>
    <t xml:space="preserve">     Commercial Rent Tax</t>
  </si>
  <si>
    <t xml:space="preserve">     BID Tax</t>
  </si>
  <si>
    <t xml:space="preserve">     Other Taxes</t>
  </si>
  <si>
    <t xml:space="preserve"> TOTAL TAXES</t>
  </si>
  <si>
    <t xml:space="preserve"> PROFESSIONAL FEES</t>
  </si>
  <si>
    <t xml:space="preserve">     Engineering &amp; Architectural Fees</t>
  </si>
  <si>
    <t>6510-0002</t>
  </si>
  <si>
    <t xml:space="preserve">     Owner Management Fees</t>
  </si>
  <si>
    <t xml:space="preserve">     Real Estate Tax Certiorari Fees</t>
  </si>
  <si>
    <t xml:space="preserve">     Fitness Center Fees</t>
  </si>
  <si>
    <t>6535-0000</t>
  </si>
  <si>
    <t xml:space="preserve">     Pool Management</t>
  </si>
  <si>
    <t xml:space="preserve">     Other Professional Fees</t>
  </si>
  <si>
    <t xml:space="preserve"> TOTAL PROFESSIONAL FEES</t>
  </si>
  <si>
    <t xml:space="preserve"> ADMINISTRATIVE &amp; OTHER</t>
  </si>
  <si>
    <t xml:space="preserve">     Condo Common Charges</t>
  </si>
  <si>
    <t xml:space="preserve">     Coop Maintenance</t>
  </si>
  <si>
    <t xml:space="preserve">     Assessment Charges</t>
  </si>
  <si>
    <t xml:space="preserve">     Lock Box Services</t>
  </si>
  <si>
    <t xml:space="preserve">     Office Expense</t>
  </si>
  <si>
    <t xml:space="preserve">     Office Supplies</t>
  </si>
  <si>
    <t xml:space="preserve">     Coffee Services</t>
  </si>
  <si>
    <t xml:space="preserve">     Water Cooler Expense</t>
  </si>
  <si>
    <t xml:space="preserve">     Postage Expense</t>
  </si>
  <si>
    <t xml:space="preserve">     Postage Meter</t>
  </si>
  <si>
    <t xml:space="preserve">     Messenger Expense</t>
  </si>
  <si>
    <t xml:space="preserve">     Computer Software</t>
  </si>
  <si>
    <t xml:space="preserve">     Computer Maintenance</t>
  </si>
  <si>
    <t xml:space="preserve">     Computer Supplies</t>
  </si>
  <si>
    <t xml:space="preserve">     Computer Repairs</t>
  </si>
  <si>
    <t xml:space="preserve">     Computer Consulting</t>
  </si>
  <si>
    <t xml:space="preserve">     Telephone Expense</t>
  </si>
  <si>
    <t xml:space="preserve">     Beepers</t>
  </si>
  <si>
    <t xml:space="preserve">     Answering Service Expense</t>
  </si>
  <si>
    <t xml:space="preserve">     Cable TV Expense</t>
  </si>
  <si>
    <t xml:space="preserve">     Photocopy Expense</t>
  </si>
  <si>
    <t xml:space="preserve">     Photocopy Supplies &amp; Maintenance</t>
  </si>
  <si>
    <t xml:space="preserve">     Dues &amp; Subscriptions</t>
  </si>
  <si>
    <t xml:space="preserve">     Education &amp; Seminars</t>
  </si>
  <si>
    <t xml:space="preserve">     Advertising</t>
  </si>
  <si>
    <t xml:space="preserve">     Inspection Fees &amp; Permits</t>
  </si>
  <si>
    <t xml:space="preserve">     Laundry Collection Service</t>
  </si>
  <si>
    <t xml:space="preserve">     Meter Reading Charges</t>
  </si>
  <si>
    <t xml:space="preserve">     Gratuities</t>
  </si>
  <si>
    <t xml:space="preserve">     Donations</t>
  </si>
  <si>
    <t xml:space="preserve">     Meals Reimbursement - Admin</t>
  </si>
  <si>
    <t xml:space="preserve">     Security Guards</t>
  </si>
  <si>
    <t xml:space="preserve">     Travel Expenses</t>
  </si>
  <si>
    <t xml:space="preserve">     Tolls</t>
  </si>
  <si>
    <t xml:space="preserve">     Auto / Truck Mileage</t>
  </si>
  <si>
    <t xml:space="preserve">     Auto / Truck Lease</t>
  </si>
  <si>
    <t xml:space="preserve">     Auto / Truck Gasoline</t>
  </si>
  <si>
    <t xml:space="preserve">     Auto / Truck Repair</t>
  </si>
  <si>
    <t xml:space="preserve">     Auto / Truck Garage - Parking</t>
  </si>
  <si>
    <t xml:space="preserve">     Lobby &amp; Hallway Decorations</t>
  </si>
  <si>
    <t xml:space="preserve">     Party Supplies</t>
  </si>
  <si>
    <t>6749-0000</t>
  </si>
  <si>
    <t xml:space="preserve">     Art Committee</t>
  </si>
  <si>
    <t xml:space="preserve">     Children's Activities</t>
  </si>
  <si>
    <t>6751-0000</t>
  </si>
  <si>
    <t xml:space="preserve">     Social Committee</t>
  </si>
  <si>
    <t xml:space="preserve">     Playroom Supplies</t>
  </si>
  <si>
    <t xml:space="preserve">     Credit Check</t>
  </si>
  <si>
    <t xml:space="preserve">     Rent Registration Fee</t>
  </si>
  <si>
    <t xml:space="preserve">     1098 Fee's</t>
  </si>
  <si>
    <t xml:space="preserve">     Tax Abatement Program Fees</t>
  </si>
  <si>
    <t xml:space="preserve">     Moving Expense</t>
  </si>
  <si>
    <t xml:space="preserve">     Petty Cash Expenses</t>
  </si>
  <si>
    <t xml:space="preserve">     Bank Charges</t>
  </si>
  <si>
    <t xml:space="preserve">     Late Fees</t>
  </si>
  <si>
    <t xml:space="preserve">     Penalties</t>
  </si>
  <si>
    <t xml:space="preserve">     Rent</t>
  </si>
  <si>
    <t xml:space="preserve">     Electric Escalation</t>
  </si>
  <si>
    <t xml:space="preserve">     Real Estate Tax Escalation</t>
  </si>
  <si>
    <t xml:space="preserve">     Lease Commissions</t>
  </si>
  <si>
    <t xml:space="preserve">     Contingency Account</t>
  </si>
  <si>
    <t xml:space="preserve">     Tenant Buyout Account</t>
  </si>
  <si>
    <t>6790-0000</t>
  </si>
  <si>
    <t xml:space="preserve">     Supt Apartment Expense</t>
  </si>
  <si>
    <t>6792-0000</t>
  </si>
  <si>
    <t xml:space="preserve">     Startup Purchases</t>
  </si>
  <si>
    <t xml:space="preserve">     Other Administrative</t>
  </si>
  <si>
    <t xml:space="preserve"> TOTAL ADMINISTRATIVE &amp; OTHER</t>
  </si>
  <si>
    <t xml:space="preserve"> FINANCIAL EXPENSES</t>
  </si>
  <si>
    <t xml:space="preserve">     Interest Expense</t>
  </si>
  <si>
    <t xml:space="preserve">     Mortgage Amortization</t>
  </si>
  <si>
    <t xml:space="preserve">     Mortgage Interest 2</t>
  </si>
  <si>
    <t xml:space="preserve">     Other Interest Expense</t>
  </si>
  <si>
    <t xml:space="preserve">     Ground Lease</t>
  </si>
  <si>
    <t xml:space="preserve">     Financing Fees</t>
  </si>
  <si>
    <t xml:space="preserve">     Equipment Lease</t>
  </si>
  <si>
    <t xml:space="preserve">     Telephone Lease</t>
  </si>
  <si>
    <t xml:space="preserve">     Photocopy Lease</t>
  </si>
  <si>
    <t xml:space="preserve">     Postage Lease</t>
  </si>
  <si>
    <t xml:space="preserve">     Computer Lease</t>
  </si>
  <si>
    <t xml:space="preserve">     Depreciation</t>
  </si>
  <si>
    <t xml:space="preserve">     Amortization</t>
  </si>
  <si>
    <t xml:space="preserve">     Easement Fees</t>
  </si>
  <si>
    <t xml:space="preserve">     Overhead Allocation</t>
  </si>
  <si>
    <t xml:space="preserve">     Other Financial Expense</t>
  </si>
  <si>
    <t xml:space="preserve">     Mortgage Payable 2</t>
  </si>
  <si>
    <t xml:space="preserve">     Mortgage Payable 3</t>
  </si>
  <si>
    <t xml:space="preserve"> TOTAL FINANCIAL EXPENSES</t>
  </si>
  <si>
    <t xml:space="preserve"> TOTAL GEN &amp; ADMIN EXPENSES</t>
  </si>
  <si>
    <t xml:space="preserve"> TOTAL EXPENSES</t>
  </si>
  <si>
    <t xml:space="preserve"> NET OPERATING CASH FLOW</t>
  </si>
  <si>
    <t xml:space="preserve"> OTHER SOURCES &amp; USES OF FUNDS</t>
  </si>
  <si>
    <t xml:space="preserve"> SOURCES OF FUNDS</t>
  </si>
  <si>
    <t xml:space="preserve">     Working Capital Contribution</t>
  </si>
  <si>
    <t xml:space="preserve">     Net Proceeds of Sale</t>
  </si>
  <si>
    <t xml:space="preserve">     Real Estate Tax Refund</t>
  </si>
  <si>
    <t xml:space="preserve">     Flip Tax - Capital</t>
  </si>
  <si>
    <t xml:space="preserve">     J51 Credit - Capital</t>
  </si>
  <si>
    <t xml:space="preserve">     Claims Proceeds- Insurance Repairs</t>
  </si>
  <si>
    <t xml:space="preserve">     Investment Income</t>
  </si>
  <si>
    <t xml:space="preserve">     Line of Credit 1</t>
  </si>
  <si>
    <t xml:space="preserve">     Line of Credit 2</t>
  </si>
  <si>
    <t xml:space="preserve">     Other Sources of Funds</t>
  </si>
  <si>
    <t xml:space="preserve"> TOTAL  SOURCES OF FUNDS</t>
  </si>
  <si>
    <t xml:space="preserve"> USES OF FUNDS</t>
  </si>
  <si>
    <t xml:space="preserve">     Cap - Elevator</t>
  </si>
  <si>
    <t xml:space="preserve">     Cap - Boiler</t>
  </si>
  <si>
    <t xml:space="preserve">     Cap - HVAC</t>
  </si>
  <si>
    <t xml:space="preserve">     Cap - Pump &amp; Motor</t>
  </si>
  <si>
    <t xml:space="preserve">     Cap - Appliances</t>
  </si>
  <si>
    <t xml:space="preserve">     Cap - Roofing</t>
  </si>
  <si>
    <t xml:space="preserve">     Cap - Chimney</t>
  </si>
  <si>
    <t xml:space="preserve">     Cap - Facade Waterproof</t>
  </si>
  <si>
    <t xml:space="preserve">     Cap - Plumbing</t>
  </si>
  <si>
    <t xml:space="preserve">     Cap - Electrical</t>
  </si>
  <si>
    <t xml:space="preserve">     Cap - General Contractor</t>
  </si>
  <si>
    <t xml:space="preserve">     Cap - Carpentry</t>
  </si>
  <si>
    <t xml:space="preserve">     Cap - Engineering / Architectural</t>
  </si>
  <si>
    <t xml:space="preserve">     Cap - Sprinkler</t>
  </si>
  <si>
    <t xml:space="preserve">     Cap - Water Meter</t>
  </si>
  <si>
    <t xml:space="preserve">     Cap - Water Tank</t>
  </si>
  <si>
    <t xml:space="preserve">     Cap - Windows</t>
  </si>
  <si>
    <t xml:space="preserve">     Cap - Hallways</t>
  </si>
  <si>
    <t xml:space="preserve">     Cap - Lobby</t>
  </si>
  <si>
    <t xml:space="preserve">     Cap - Compactor</t>
  </si>
  <si>
    <t xml:space="preserve">     Cap - Storage</t>
  </si>
  <si>
    <t xml:space="preserve">     Cap - Sidewalk Bridge</t>
  </si>
  <si>
    <t xml:space="preserve">     Cap - Paint &amp; Plaster</t>
  </si>
  <si>
    <t xml:space="preserve">     Cap - Asbestos Removal</t>
  </si>
  <si>
    <t xml:space="preserve">     Cap - Sidewalk Concrete</t>
  </si>
  <si>
    <t xml:space="preserve">     Cap - Driveway</t>
  </si>
  <si>
    <t xml:space="preserve">     Cap - Doors</t>
  </si>
  <si>
    <t xml:space="preserve">     Cap - Floor / Carpet</t>
  </si>
  <si>
    <t xml:space="preserve">     Cap - Garage</t>
  </si>
  <si>
    <t xml:space="preserve">     Cap - Canopy / Awning</t>
  </si>
  <si>
    <t xml:space="preserve">     Cap - TV / VCR</t>
  </si>
  <si>
    <t xml:space="preserve">     Cap - Intercom</t>
  </si>
  <si>
    <t xml:space="preserve">     Cap - Security System</t>
  </si>
  <si>
    <t xml:space="preserve">     Cap - Garden &amp; Landscape</t>
  </si>
  <si>
    <t xml:space="preserve">     Cap - Insurance Repairs</t>
  </si>
  <si>
    <t xml:space="preserve">     Cap - Mailbox</t>
  </si>
  <si>
    <t xml:space="preserve">     Cap - Signage</t>
  </si>
  <si>
    <t xml:space="preserve">     Cap - Parking</t>
  </si>
  <si>
    <t xml:space="preserve">     Cap - Pool</t>
  </si>
  <si>
    <t xml:space="preserve">     Cap - Outdoor  Furniture</t>
  </si>
  <si>
    <t xml:space="preserve">     Cap - STP</t>
  </si>
  <si>
    <t xml:space="preserve">     Cap - Whirlpool / Steam room</t>
  </si>
  <si>
    <t xml:space="preserve">     Cap - Tennis Court</t>
  </si>
  <si>
    <t xml:space="preserve">     Cap - Fitness Equipment</t>
  </si>
  <si>
    <t xml:space="preserve">     Cap - Laundry Room</t>
  </si>
  <si>
    <t xml:space="preserve">     Cap - Children's Play Area</t>
  </si>
  <si>
    <t xml:space="preserve">     Cap - Gym</t>
  </si>
  <si>
    <t xml:space="preserve">     Cap - Aerobics Floor</t>
  </si>
  <si>
    <t xml:space="preserve">     Cap - Racquetball Court</t>
  </si>
  <si>
    <t xml:space="preserve">     Cap - Great Room</t>
  </si>
  <si>
    <t xml:space="preserve">     Cap - Principal Amortization</t>
  </si>
  <si>
    <t xml:space="preserve">     Cap - Interest</t>
  </si>
  <si>
    <t xml:space="preserve">     Cap - Professional</t>
  </si>
  <si>
    <t xml:space="preserve">     Cap - Commissions</t>
  </si>
  <si>
    <t xml:space="preserve">     Cap - Legal</t>
  </si>
  <si>
    <t xml:space="preserve">     Cap - Loan Financing Fees</t>
  </si>
  <si>
    <t xml:space="preserve">     Cap - Building Equipment</t>
  </si>
  <si>
    <t xml:space="preserve">     Cap - Office Equipment</t>
  </si>
  <si>
    <t xml:space="preserve">     Cap - Computer Equipment</t>
  </si>
  <si>
    <t xml:space="preserve">     Cap - Computer Software</t>
  </si>
  <si>
    <t xml:space="preserve">     Cap - Furniture &amp; Fixtures</t>
  </si>
  <si>
    <t>7410-1409</t>
  </si>
  <si>
    <t xml:space="preserve">     Cap - Energy</t>
  </si>
  <si>
    <t>7415-1409</t>
  </si>
  <si>
    <t xml:space="preserve">     Cap - Inspection Fees</t>
  </si>
  <si>
    <t xml:space="preserve">     Cap - Other</t>
  </si>
  <si>
    <t xml:space="preserve">     Cap - Contra - Building Improvements</t>
  </si>
  <si>
    <t xml:space="preserve">     Cap - Contra - Building Equipment</t>
  </si>
  <si>
    <t xml:space="preserve">     Cap - Contra - Lobby Improvements</t>
  </si>
  <si>
    <t xml:space="preserve">     Cap - Contra - Hallway Improvements</t>
  </si>
  <si>
    <t xml:space="preserve">     Cap - Contra - Roof Improvements</t>
  </si>
  <si>
    <t xml:space="preserve">     Cap - Contra - Fasade Improvements</t>
  </si>
  <si>
    <t xml:space="preserve">     Cap - Contra - Building Personal Property</t>
  </si>
  <si>
    <t xml:space="preserve"> TOTAL USES OF FUNDS</t>
  </si>
  <si>
    <t xml:space="preserve"> NET SOURCES (USES) OF FUNDS</t>
  </si>
  <si>
    <t xml:space="preserve"> NET CASH FLOW FOR THIS PERIOD</t>
  </si>
  <si>
    <t xml:space="preserve"> ADJUSTMENTS TO CASH</t>
  </si>
  <si>
    <t xml:space="preserve">     Accrued Interest Payable</t>
  </si>
  <si>
    <t xml:space="preserve">     Escrow Deposits Payable</t>
  </si>
  <si>
    <t xml:space="preserve">     Security Deposits Payable</t>
  </si>
  <si>
    <t xml:space="preserve">     Alteration Deposits Payable</t>
  </si>
  <si>
    <t xml:space="preserve">     Move In-Out Deposits Payable</t>
  </si>
  <si>
    <t xml:space="preserve">     Real Estate Taxes Payable</t>
  </si>
  <si>
    <t xml:space="preserve">     Loan Payable</t>
  </si>
  <si>
    <t xml:space="preserve">     Loan Payable 2</t>
  </si>
  <si>
    <t xml:space="preserve">     Leasehold Improvements</t>
  </si>
  <si>
    <t xml:space="preserve">     Loans Receivable</t>
  </si>
  <si>
    <t xml:space="preserve">     Transfer to Owners Tax Reserve</t>
  </si>
  <si>
    <t xml:space="preserve">     Transfer to Owners Capital Reserve</t>
  </si>
  <si>
    <t xml:space="preserve">     Exchange Account</t>
  </si>
  <si>
    <t xml:space="preserve">     Stamp Tax</t>
  </si>
  <si>
    <t xml:space="preserve">     Loans Receivable - CMS</t>
  </si>
  <si>
    <t xml:space="preserve">     Loans Receivable - Shareholders</t>
  </si>
  <si>
    <t xml:space="preserve">     Loans to Affiliates</t>
  </si>
  <si>
    <t xml:space="preserve">     Loans Receivable - Others</t>
  </si>
  <si>
    <t xml:space="preserve">     Deferred Expenses</t>
  </si>
  <si>
    <t xml:space="preserve">     Deferred Leasing Exp</t>
  </si>
  <si>
    <t xml:space="preserve">     Goodwill</t>
  </si>
  <si>
    <t xml:space="preserve">     Non Sufficient Funds</t>
  </si>
  <si>
    <t xml:space="preserve">     Organizational Costs</t>
  </si>
  <si>
    <t xml:space="preserve">     Acquired Mgmt Contract</t>
  </si>
  <si>
    <t xml:space="preserve">     Covenant Not To Compete</t>
  </si>
  <si>
    <t xml:space="preserve">     Mgmt Contract Acq Mgmt</t>
  </si>
  <si>
    <t xml:space="preserve">     Accumulated Amoritization</t>
  </si>
  <si>
    <t xml:space="preserve">     Accum Amort Acquired Mgmt Contr</t>
  </si>
  <si>
    <t>1776-1112</t>
  </si>
  <si>
    <t xml:space="preserve">     Accum. Depreciation- Closing Cost</t>
  </si>
  <si>
    <t xml:space="preserve">     Utility Deposits</t>
  </si>
  <si>
    <t xml:space="preserve">     Loan Payable - Century Op</t>
  </si>
  <si>
    <t xml:space="preserve">     Loan Payable - Shareholder</t>
  </si>
  <si>
    <t xml:space="preserve">     Lease Payable</t>
  </si>
  <si>
    <t xml:space="preserve">     Mortgage Receivable</t>
  </si>
  <si>
    <t xml:space="preserve">     Due To/From Century Operating Corp.</t>
  </si>
  <si>
    <t xml:space="preserve">     Due To/From Century Mgmt. Services</t>
  </si>
  <si>
    <t xml:space="preserve">     Due To/From Century Mgmt. Services II</t>
  </si>
  <si>
    <t xml:space="preserve">     Due To/From Affiliates</t>
  </si>
  <si>
    <t xml:space="preserve">     Due To/From Property</t>
  </si>
  <si>
    <t>2600-6000</t>
  </si>
  <si>
    <t xml:space="preserve">     Due To/From Fox Capital Group LLC</t>
  </si>
  <si>
    <t xml:space="preserve">     Mitchell Lama Ammortization</t>
  </si>
  <si>
    <t xml:space="preserve"> CAPITAL</t>
  </si>
  <si>
    <t xml:space="preserve">     Capital Stock</t>
  </si>
  <si>
    <t xml:space="preserve">     Capital- Managing Partners</t>
  </si>
  <si>
    <t xml:space="preserve">     Capital-Managing Partners 2</t>
  </si>
  <si>
    <t xml:space="preserve">     Capital- Managing Partners 3</t>
  </si>
  <si>
    <t xml:space="preserve">     Capital- Managing Partners 4</t>
  </si>
  <si>
    <t xml:space="preserve">     Capital- Managing Partners 5</t>
  </si>
  <si>
    <t xml:space="preserve">     Capital Contribution-Mortgage Amortization</t>
  </si>
  <si>
    <t xml:space="preserve">     Capital Assessment</t>
  </si>
  <si>
    <t xml:space="preserve">     Working Capital Equity</t>
  </si>
  <si>
    <t>Special Reserve Fund</t>
  </si>
  <si>
    <t xml:space="preserve">     Equity Refund</t>
  </si>
  <si>
    <t xml:space="preserve">     Shareholder Distribution</t>
  </si>
  <si>
    <t xml:space="preserve">     Transfer from Prior Agent</t>
  </si>
  <si>
    <t>Additional Paid In Capital</t>
  </si>
  <si>
    <t xml:space="preserve">    (Total)</t>
  </si>
  <si>
    <t xml:space="preserve"> TOTAL ADJUSTMENTS</t>
  </si>
  <si>
    <t>ACCOUNT</t>
  </si>
  <si>
    <t xml:space="preserve"> NET CASH FLOW</t>
  </si>
  <si>
    <t>.</t>
  </si>
  <si>
    <t>For the Board of Directors of</t>
  </si>
  <si>
    <t>444 East 86th Street Owners Corp.</t>
  </si>
  <si>
    <t>Building #</t>
  </si>
  <si>
    <t>Prepared By: KP</t>
  </si>
  <si>
    <t>Reviewd By: MC</t>
  </si>
  <si>
    <t>2026 Proposed Increase:</t>
  </si>
  <si>
    <t>Operating Budget</t>
  </si>
  <si>
    <t>TABLE OF CONTENTS</t>
  </si>
  <si>
    <t xml:space="preserve"> </t>
  </si>
  <si>
    <t>CATEGORY</t>
  </si>
  <si>
    <t>SCHEDULE</t>
  </si>
  <si>
    <t>PAGE #</t>
  </si>
  <si>
    <t>OPERATING BUDGET SUMMARY</t>
  </si>
  <si>
    <t>-</t>
  </si>
  <si>
    <t>YEARLY COMPARISON</t>
  </si>
  <si>
    <t>INCOME ANALYSIS</t>
  </si>
  <si>
    <t>A</t>
  </si>
  <si>
    <t>COMMERCIAL RENT &amp; ESCALATIONS</t>
  </si>
  <si>
    <t>A-1</t>
  </si>
  <si>
    <t>EXPENSE PIE CHART</t>
  </si>
  <si>
    <t>PAYROLL</t>
  </si>
  <si>
    <t>B</t>
  </si>
  <si>
    <t xml:space="preserve">ELECTRIC </t>
  </si>
  <si>
    <t>C</t>
  </si>
  <si>
    <t>7 &amp; 8</t>
  </si>
  <si>
    <t>GAS-COOKING</t>
  </si>
  <si>
    <t>D</t>
  </si>
  <si>
    <t xml:space="preserve">GAS -HEATING </t>
  </si>
  <si>
    <t>E</t>
  </si>
  <si>
    <t>SUPPLIES, REPAIRS, &amp; MAINTENANCE</t>
  </si>
  <si>
    <t>F</t>
  </si>
  <si>
    <t>GENERAL &amp; ADMINISTRATIVE</t>
  </si>
  <si>
    <t>F-1</t>
  </si>
  <si>
    <t>ADMINISTRATIVE</t>
  </si>
  <si>
    <t>CORPORATE TAX</t>
  </si>
  <si>
    <t>WATER &amp; SEWER</t>
  </si>
  <si>
    <t>G</t>
  </si>
  <si>
    <t>REAL ESTATE TAXES</t>
  </si>
  <si>
    <t>H</t>
  </si>
  <si>
    <t>CAPITAL EXPENSES</t>
  </si>
  <si>
    <t>I</t>
  </si>
  <si>
    <t>MANAGEMENT FEE LETTER</t>
  </si>
  <si>
    <t>16-17</t>
  </si>
  <si>
    <t>ENERGY SCORE</t>
  </si>
  <si>
    <t>17-18</t>
  </si>
  <si>
    <t>Operating Budget Summary</t>
  </si>
  <si>
    <t>Operating Income</t>
  </si>
  <si>
    <t>Gaarage</t>
  </si>
  <si>
    <t xml:space="preserve">   Total Income</t>
  </si>
  <si>
    <t>Operating Expenses</t>
  </si>
  <si>
    <t xml:space="preserve">   Total Expenses</t>
  </si>
  <si>
    <t>Operating Surplus &lt; Deficit&gt;</t>
  </si>
  <si>
    <t>Maintenance Increase Needed to Cover &lt;Deficit&gt;</t>
  </si>
  <si>
    <t xml:space="preserve">  </t>
  </si>
  <si>
    <t>Cash &amp; Cash Equivalents</t>
  </si>
  <si>
    <t>G/L</t>
  </si>
  <si>
    <t>Webster Bank Operating Account</t>
  </si>
  <si>
    <t>Webster Bank Reserve</t>
  </si>
  <si>
    <t>NCB</t>
  </si>
  <si>
    <t>Webster Bank Tax Escrow</t>
  </si>
  <si>
    <t>Bank United Escrow Deposit</t>
  </si>
  <si>
    <t>Bank United Security Deposit</t>
  </si>
  <si>
    <t>Total Cash &amp; Cash Equivalents @ 08/31/2025</t>
  </si>
  <si>
    <t>Page 1</t>
  </si>
  <si>
    <t>Pie Chart Data</t>
  </si>
  <si>
    <t>Real Estate Tax (Net of Credits)</t>
  </si>
  <si>
    <t>Yearly Comparison</t>
  </si>
  <si>
    <t>For Year Ending 12/31/2026</t>
  </si>
  <si>
    <t>Income - Operating assessment amount is used to help balance the budget and control the amount of the increase.</t>
  </si>
  <si>
    <t>Leave the same amount used in prevoius years budget until the Board advises to change it</t>
  </si>
  <si>
    <t>Actual *</t>
  </si>
  <si>
    <t>8 Mo. Actual</t>
  </si>
  <si>
    <t>4 Mo. Est**</t>
  </si>
  <si>
    <t>12 Mo. Forecast</t>
  </si>
  <si>
    <t>Income</t>
  </si>
  <si>
    <t>Tax Benefit Credits (Abatement, Star,etc)</t>
  </si>
  <si>
    <t xml:space="preserve">Commercial </t>
  </si>
  <si>
    <t>(A)</t>
  </si>
  <si>
    <t>Storage Income</t>
  </si>
  <si>
    <t>(B)</t>
  </si>
  <si>
    <t>Other Income</t>
  </si>
  <si>
    <t>Do Not Print(Use these review Projections)</t>
  </si>
  <si>
    <t>Expenses</t>
  </si>
  <si>
    <t>Projected Variance Over 2016 Results</t>
  </si>
  <si>
    <t xml:space="preserve">Payroll </t>
  </si>
  <si>
    <t>Gas Cooking / Heating</t>
  </si>
  <si>
    <t>Supplies</t>
  </si>
  <si>
    <t>Repairs &amp; Maintenance</t>
  </si>
  <si>
    <t>Insurance</t>
  </si>
  <si>
    <t>Real Estate Taxes</t>
  </si>
  <si>
    <t>Real Estate Tax Benefit Credits</t>
  </si>
  <si>
    <t>Corporate Taxes</t>
  </si>
  <si>
    <t>Professional Fees</t>
  </si>
  <si>
    <t>Administrative &amp; Other</t>
  </si>
  <si>
    <t xml:space="preserve">Financial Expenses  </t>
  </si>
  <si>
    <t>Net Operating Surplus &lt;Deficit&gt;</t>
  </si>
  <si>
    <t>Non-Operating Income</t>
  </si>
  <si>
    <t>Special Assessment</t>
  </si>
  <si>
    <t>Make sure the assessment 12 mo Forecast is equal to the budgeted amount for the current year</t>
  </si>
  <si>
    <t>change the interest income formula</t>
  </si>
  <si>
    <t>Insurance Proceeds</t>
  </si>
  <si>
    <t>Real Estate Tax refund</t>
  </si>
  <si>
    <t>(C)</t>
  </si>
  <si>
    <t>(D)</t>
  </si>
  <si>
    <t>ICON Settlement Proceeds</t>
  </si>
  <si>
    <t>(E)</t>
  </si>
  <si>
    <t>SBA - PPP Loan Proceeds</t>
  </si>
  <si>
    <t xml:space="preserve">    Total Non- Operating Income</t>
  </si>
  <si>
    <t>Non-Operating Expense</t>
  </si>
  <si>
    <t>Capital Expenses</t>
  </si>
  <si>
    <t>Cert Fee for Tax Reduction</t>
  </si>
  <si>
    <t xml:space="preserve">    Total Non-Operating Expenses</t>
  </si>
  <si>
    <t>Total Surplus &lt;Deficit&gt;</t>
  </si>
  <si>
    <t>(B) Fuel - Purchased fuel to perform oil tank tightness test in 2017</t>
  </si>
  <si>
    <t>* Per Audited Financial Statements.</t>
  </si>
  <si>
    <t>** Includes Accrual Adjustments</t>
  </si>
  <si>
    <t>(A) Garage - 444 East 86th Street owns the Garage. Contract with 1623 York Avenue Parking Corp.  They pay a management fee of monthly proceeds</t>
  </si>
  <si>
    <t xml:space="preserve"> based on revenue collected less expenses.  2024 new commercial lease with Corrie Horshinski, D.C.  at $4,500.00/mo. from 1/13/2023-1/12/2027.</t>
  </si>
  <si>
    <t xml:space="preserve">(B) In June 2023 and 2022, a special assessment was charged to tenant-stockholders in the amount of $842,826.00 and $821,654.00 respectively. The assessments were based </t>
  </si>
  <si>
    <t>on the per share amount credited to tenant-stockholders who use their unit as their primary residence and are eligible to the NYC RE Tax Abatement credit. For Y/E 12/31/23 and</t>
  </si>
  <si>
    <t xml:space="preserve">12/31/22, the BOD allocated $238,000.00 and $150,00.00 of the special assessment to fund operating expenses. 2024 Budget assumed $111,371.00 of operating funding with </t>
  </si>
  <si>
    <t>CHANGE NOTE WHEN BOARD DECIDES WHAT THE AMOUNT TO KEEP IN OPERATING  FROM THE ASSESSMENT</t>
  </si>
  <si>
    <t>$725,619.00 to Special Assessment. See Schedule A - 2025 Budget total is $866,291.00 with $221,858.00 allocated to operating income and $644,433.00 to Special Assessment.</t>
  </si>
  <si>
    <t>(C) Real Estate Tax Refund - Tax Commission Settlement refund for overpayment of third and fourth quarters of 2021/2022 after corrected tax bills issued.</t>
  </si>
  <si>
    <t>(D) Capital Assessment - $2,000,000.00 Capital Assessment at $0.209/share from 01/21/21-12/31/22</t>
  </si>
  <si>
    <t>(E) ICON Settlement Proceeds - $600,000.00 received from ICON.  Negotiations are still ongoing and the funds will be applied once completed.</t>
  </si>
  <si>
    <t xml:space="preserve">(D) Other Source Of Funds - Mortgage Refinance funds received of $15,942,865.34 which paid off John Hancock for $12,429,783.97, opened new reserve at NCB which was a </t>
  </si>
  <si>
    <t>mortgage requirement of $500,000.00, closing costs of $173,462,23.  Net proceeds went to operating in the amount of $2,839,619.14.</t>
  </si>
  <si>
    <t>(E) SBA PPP Loan Proceeds - forgiven</t>
  </si>
  <si>
    <t>Page 2</t>
  </si>
  <si>
    <t>Schedule A</t>
  </si>
  <si>
    <t>Shares</t>
  </si>
  <si>
    <t>Mthly $/per sh</t>
  </si>
  <si>
    <t xml:space="preserve">Monthly </t>
  </si>
  <si>
    <t>Annual</t>
  </si>
  <si>
    <t>Increase</t>
  </si>
  <si>
    <t>315 Units</t>
  </si>
  <si>
    <t>Storage Fees were reduced after budget approved for 2023</t>
  </si>
  <si>
    <t>Size A - $75.00</t>
  </si>
  <si>
    <t>2026 Budget</t>
  </si>
  <si>
    <t>Size B - $100.00</t>
  </si>
  <si>
    <t>Size C - $125.00</t>
  </si>
  <si>
    <t>$/per Share</t>
  </si>
  <si>
    <t>Total</t>
  </si>
  <si>
    <t>Month Billed</t>
  </si>
  <si>
    <t>Size D - $180.00</t>
  </si>
  <si>
    <t>June</t>
  </si>
  <si>
    <t>(Assessment/Abatement)</t>
  </si>
  <si>
    <t>Operating Assessment is based on 17.5% of Gross Real Estate Taxes for 2015/2016</t>
  </si>
  <si>
    <t>May</t>
  </si>
  <si>
    <t>Total Units</t>
  </si>
  <si>
    <t>Units Occupied</t>
  </si>
  <si>
    <t>Monthly $/Per Unit</t>
  </si>
  <si>
    <t>Monthly Fee</t>
  </si>
  <si>
    <t>Annual Fee</t>
  </si>
  <si>
    <t>Size A</t>
  </si>
  <si>
    <t>28-32 cubic feet</t>
  </si>
  <si>
    <t>7 vacant</t>
  </si>
  <si>
    <t>Size B</t>
  </si>
  <si>
    <t>36 cubic feet</t>
  </si>
  <si>
    <t>Size C</t>
  </si>
  <si>
    <t>48 cubic Feet</t>
  </si>
  <si>
    <t>Size D</t>
  </si>
  <si>
    <t>monthly at full capacity</t>
  </si>
  <si>
    <t>Bicycle Storage</t>
  </si>
  <si>
    <t>Annual fee</t>
  </si>
  <si>
    <t>42 Bike Racks Total</t>
  </si>
  <si>
    <t>per Jacob - increase for 2022 # of spots</t>
  </si>
  <si>
    <t>Bicycle Billed monthly $15.00/mo.</t>
  </si>
  <si>
    <t>Jan 30 spots</t>
  </si>
  <si>
    <t>Feb-March-April-Aug-Sept  27 spots</t>
  </si>
  <si>
    <t>SEBCO Laundry Systems</t>
  </si>
  <si>
    <t>May-June-July-Oct 28 spots</t>
  </si>
  <si>
    <t>Sebco new contract  from commencement date 12/24-11/32</t>
  </si>
  <si>
    <t>New Laundry Contract with Sebco for 2024</t>
  </si>
  <si>
    <t>8 year term</t>
  </si>
  <si>
    <t>Jan - Aug</t>
  </si>
  <si>
    <t>Sep - Dec</t>
  </si>
  <si>
    <t>12 Month</t>
  </si>
  <si>
    <t>Category</t>
  </si>
  <si>
    <t>Est</t>
  </si>
  <si>
    <t>Forecast</t>
  </si>
  <si>
    <t xml:space="preserve">Real Estate Tax Refunds  </t>
  </si>
  <si>
    <t>(A) Real Estate Tax Refund - Refund due to 2017/2018 Assessed Value Reduction of $54,301.80 received by Tuchman, Korngold</t>
  </si>
  <si>
    <t>Refund received from request of overpayments on the Real Estate Tax account of $46,179.76.</t>
  </si>
  <si>
    <t>(C) Laundry contract - SEBCO Laundry Systems 12/2024-11/2032</t>
  </si>
  <si>
    <t>(A) Bad Debt - Settlement with Apt. 24D and Apt. 33J</t>
  </si>
  <si>
    <t xml:space="preserve">(C) Real Estate Tax Refund - Tax Commission Settlement refund for overpayment of third and fourth quarters of 2021/2022 after corrected </t>
  </si>
  <si>
    <t>Page 3</t>
  </si>
  <si>
    <t xml:space="preserve">      tax bills issued.</t>
  </si>
  <si>
    <t>Commercial Rent &amp; Escalations</t>
  </si>
  <si>
    <t>Schedule A-1</t>
  </si>
  <si>
    <t>1/23 new lease Horshinski</t>
  </si>
  <si>
    <t>COMMERCIAL RENT</t>
  </si>
  <si>
    <t>1/13/23-1/12/24 $54,000</t>
  </si>
  <si>
    <t xml:space="preserve">Tenant </t>
  </si>
  <si>
    <t>Period</t>
  </si>
  <si>
    <t xml:space="preserve">Rent </t>
  </si>
  <si>
    <t>Annualized</t>
  </si>
  <si>
    <t>1/13/24-1/12/25 $54,000</t>
  </si>
  <si>
    <t>2023</t>
  </si>
  <si>
    <t>Jan - Dec</t>
  </si>
  <si>
    <t>Corrie Horshinski, D.C.</t>
  </si>
  <si>
    <t>2024</t>
  </si>
  <si>
    <t>2025</t>
  </si>
  <si>
    <t>2026</t>
  </si>
  <si>
    <t>1/13/25-1/12/26 $54,000</t>
  </si>
  <si>
    <t>1/13/26-1/12/27 $54,000</t>
  </si>
  <si>
    <t>Receipt Month</t>
  </si>
  <si>
    <t xml:space="preserve">Payments Received </t>
  </si>
  <si>
    <t>East 86th Street Garage</t>
  </si>
  <si>
    <t>Aug 2024</t>
  </si>
  <si>
    <t>fix formula cells in all columns next year</t>
  </si>
  <si>
    <t>Commercial R/E Tax Escalation</t>
  </si>
  <si>
    <t>*Commercial Lease with Corrie Horshinski, D.C. 01/13/2023-1/12/2027.</t>
  </si>
  <si>
    <t>*Garage - 444 East 86th Street owns the Garage. Contract with 1623 York Avenue Parking Corp.  They pay a management fee of monthly proceeds</t>
  </si>
  <si>
    <t xml:space="preserve">  based on revenue collected less expenses.  2025 Budget assumes monthly collections of $38,000.00</t>
  </si>
  <si>
    <t xml:space="preserve">  For 2022 Commercial Rent and Garage Income totals are combined. 2023 Budget will separate and code to separate line items</t>
  </si>
  <si>
    <t>Page 4</t>
  </si>
  <si>
    <t>Labor &amp; Related</t>
  </si>
  <si>
    <t>Schedule B</t>
  </si>
  <si>
    <t>Resident</t>
  </si>
  <si>
    <t>Ptr/Drmn</t>
  </si>
  <si>
    <t>Porter</t>
  </si>
  <si>
    <t>Union: 32 BJ</t>
  </si>
  <si>
    <t>Manager</t>
  </si>
  <si>
    <t>Handyman</t>
  </si>
  <si>
    <t>Concierge</t>
  </si>
  <si>
    <t>Man (80%)</t>
  </si>
  <si>
    <t xml:space="preserve"> Wages:</t>
  </si>
  <si>
    <t>Resident Manager</t>
  </si>
  <si>
    <t xml:space="preserve">/wk </t>
  </si>
  <si>
    <t xml:space="preserve">* </t>
  </si>
  <si>
    <t>Wks</t>
  </si>
  <si>
    <t>/Qtr</t>
  </si>
  <si>
    <t>Qtrs</t>
  </si>
  <si>
    <t>Ptr/Drmn/Concierge</t>
  </si>
  <si>
    <t xml:space="preserve">           Total:</t>
  </si>
  <si>
    <t xml:space="preserve"> Overtime: % of wages @</t>
  </si>
  <si>
    <t>Vacation, Sick ,Personal</t>
  </si>
  <si>
    <t xml:space="preserve"> Union</t>
  </si>
  <si>
    <t>Coverage</t>
  </si>
  <si>
    <t>*</t>
  </si>
  <si>
    <t xml:space="preserve">WKS.*  </t>
  </si>
  <si>
    <t>Summer Relief</t>
  </si>
  <si>
    <t>Employees</t>
  </si>
  <si>
    <t xml:space="preserve">     Subtotal</t>
  </si>
  <si>
    <t>Unused Sick Time</t>
  </si>
  <si>
    <t>Unused Sick Time -Res Mgr</t>
  </si>
  <si>
    <t>days</t>
  </si>
  <si>
    <t>Unused Sick Time -Handyman</t>
  </si>
  <si>
    <t>Unused Sick Time -P/D/C</t>
  </si>
  <si>
    <t>Unused Sick Time-Porter</t>
  </si>
  <si>
    <t>* Coverage is for vacation time &amp; Union unused sick time is paid even though not taken</t>
  </si>
  <si>
    <t xml:space="preserve">      Total Vacation / Sick /Personal</t>
  </si>
  <si>
    <t>Holiday, Bonus:</t>
  </si>
  <si>
    <t xml:space="preserve">Super </t>
  </si>
  <si>
    <t>DAYS   *</t>
  </si>
  <si>
    <t>Ptr/Drmn/Concierge -80%</t>
  </si>
  <si>
    <t>Bonus (Based on prior year merrit)</t>
  </si>
  <si>
    <t>Total Gross Wages:</t>
  </si>
  <si>
    <t>Payroll Taxes &amp; Payroll Related Expenses:</t>
  </si>
  <si>
    <t xml:space="preserve">FICA-Gross Wages *     </t>
  </si>
  <si>
    <t xml:space="preserve">SUI </t>
  </si>
  <si>
    <t xml:space="preserve"> of 1st</t>
  </si>
  <si>
    <t xml:space="preserve">FUI </t>
  </si>
  <si>
    <t>MTA</t>
  </si>
  <si>
    <t>quarterly</t>
  </si>
  <si>
    <t xml:space="preserve">NYS Disability </t>
  </si>
  <si>
    <t>per annum per emp</t>
  </si>
  <si>
    <t xml:space="preserve">Worker's Comp. </t>
  </si>
  <si>
    <t>of total gross wages</t>
  </si>
  <si>
    <t xml:space="preserve">Welfare </t>
  </si>
  <si>
    <t>Per Mo/Man  *</t>
  </si>
  <si>
    <t>Months</t>
  </si>
  <si>
    <t xml:space="preserve">Pension </t>
  </si>
  <si>
    <t>Per Wk/Man  *</t>
  </si>
  <si>
    <t>Supplemental Retirement</t>
  </si>
  <si>
    <t xml:space="preserve">    Savings Plan (SRSP)</t>
  </si>
  <si>
    <t>Profit Sharing *</t>
  </si>
  <si>
    <t>Per Qtr/Man  *</t>
  </si>
  <si>
    <t>Otrs</t>
  </si>
  <si>
    <t>*Discretionary</t>
  </si>
  <si>
    <t>Total P/R Taxes &amp; Related Exps:</t>
  </si>
  <si>
    <t>Other-Bonus</t>
  </si>
  <si>
    <t>days @</t>
  </si>
  <si>
    <t>hrs</t>
  </si>
  <si>
    <t xml:space="preserve"> Total Labor &amp; Related:</t>
  </si>
  <si>
    <t>Cost Per Employee</t>
  </si>
  <si>
    <t>Payroll Summary</t>
  </si>
  <si>
    <t>Jan - Oct</t>
  </si>
  <si>
    <t>Novt-Dec</t>
  </si>
  <si>
    <t xml:space="preserve">Budget </t>
  </si>
  <si>
    <t>Est *</t>
  </si>
  <si>
    <t>Payroll Budget Upload</t>
  </si>
  <si>
    <t>2011 Budget # of Weds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</si>
  <si>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</si>
  <si>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</si>
  <si>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</si>
  <si>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</si>
  <si>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</si>
  <si>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</si>
  <si>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</si>
  <si>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</si>
  <si>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</si>
  <si>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</si>
  <si>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</si>
  <si>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Amount</t>
  </si>
  <si>
    <t>Gross Wages</t>
  </si>
  <si>
    <t>{Excl Unused Sick &amp; Bonus}</t>
  </si>
  <si>
    <t xml:space="preserve">     Total Gross Wages</t>
  </si>
  <si>
    <t>G/L 5101</t>
  </si>
  <si>
    <t>FICA</t>
  </si>
  <si>
    <t>FUI</t>
  </si>
  <si>
    <t xml:space="preserve">      Total taxes</t>
  </si>
  <si>
    <t>G/L 5010</t>
  </si>
  <si>
    <t>Worker's Comp</t>
  </si>
  <si>
    <t>G/L 5025</t>
  </si>
  <si>
    <t>Disability</t>
  </si>
  <si>
    <t>G/L 5030</t>
  </si>
  <si>
    <t xml:space="preserve">     Total W/Comp &amp; Disab.</t>
  </si>
  <si>
    <t>Union Benefits</t>
  </si>
  <si>
    <t>G/L 5015</t>
  </si>
  <si>
    <t>Total Payroll</t>
  </si>
  <si>
    <t>Payroll</t>
  </si>
  <si>
    <t>per JS - 2021 increase pay rate for whole year</t>
  </si>
  <si>
    <t>32 BJ Rates</t>
  </si>
  <si>
    <t>Porter/Doorman</t>
  </si>
  <si>
    <t>Assistant Super - Mario Espejo(Board increased 9/23 5%)</t>
  </si>
  <si>
    <t>Base Wages:*</t>
  </si>
  <si>
    <t xml:space="preserve">Handymen </t>
  </si>
  <si>
    <t xml:space="preserve">Resident Manager </t>
  </si>
  <si>
    <t>Assistant Super</t>
  </si>
  <si>
    <t>Porters</t>
  </si>
  <si>
    <t>Doormen</t>
  </si>
  <si>
    <t>Shiva Balram</t>
  </si>
  <si>
    <t>Walter Koch</t>
  </si>
  <si>
    <t>Sinayoko Bakary</t>
  </si>
  <si>
    <t>Jose Ortega</t>
  </si>
  <si>
    <t>Nicky Boysie</t>
  </si>
  <si>
    <t>Rey Quinones</t>
  </si>
  <si>
    <t xml:space="preserve">Harbajan  </t>
  </si>
  <si>
    <t>Jerry Rivera</t>
  </si>
  <si>
    <t>Porter/Doorman 75%</t>
  </si>
  <si>
    <t>Christian Acosta Sevilla replaced by Shiva Balram</t>
  </si>
  <si>
    <t>Gross Payroll:</t>
  </si>
  <si>
    <t>Balram -hire 3/04/24 at 75%</t>
  </si>
  <si>
    <t>85% 12/04/26</t>
  </si>
  <si>
    <t>Gross Payroll was multiplied by 1.135 to bring the pay year to</t>
  </si>
  <si>
    <t>factor spread</t>
  </si>
  <si>
    <t>100% 08/04/27</t>
  </si>
  <si>
    <t>59 weeks to allow for relief, sick days, holidays, vacation pay, and OT:</t>
  </si>
  <si>
    <t>of gross wages</t>
  </si>
  <si>
    <t>Paid Family Leave</t>
  </si>
  <si>
    <t>Non-Union Benefits(RM Only)</t>
  </si>
  <si>
    <t>Health</t>
  </si>
  <si>
    <t>/month</t>
  </si>
  <si>
    <t>Union Benefits:</t>
  </si>
  <si>
    <t>/year</t>
  </si>
  <si>
    <t>Pension</t>
  </si>
  <si>
    <t>Additional Supplemental Retirement</t>
  </si>
  <si>
    <t>Legal</t>
  </si>
  <si>
    <t>Training</t>
  </si>
  <si>
    <t>Total P/R Taxes &amp; Related Exps, and Union Benefits:</t>
  </si>
  <si>
    <t>Cost Per Employee:</t>
  </si>
  <si>
    <t xml:space="preserve">Jan - Aug </t>
  </si>
  <si>
    <t>DO NOT ERASE - NEEDED TO ENTER BUDGET</t>
  </si>
  <si>
    <t>%</t>
  </si>
  <si>
    <t>ot</t>
  </si>
  <si>
    <t>vac</t>
  </si>
  <si>
    <t>hol</t>
  </si>
  <si>
    <t>hol prem</t>
  </si>
  <si>
    <t>sick</t>
  </si>
  <si>
    <t>meal</t>
  </si>
  <si>
    <t>misc</t>
  </si>
  <si>
    <t xml:space="preserve">Gross Payroll  </t>
  </si>
  <si>
    <t>SUI - State Unemployment</t>
  </si>
  <si>
    <t>Workers Compensation</t>
  </si>
  <si>
    <t>Workers Comp Dividend</t>
  </si>
  <si>
    <t xml:space="preserve">(A) Porter C. Sevilla replaced by S. Balram at 75% rate 03/04/24. There was a 3 month savings in union benefits as </t>
  </si>
  <si>
    <t>Balram became eligible for Health , Legal and Training 06/04/24. Annuity will begin 03/04/25.</t>
  </si>
  <si>
    <t>2024 Workers Compensation was budgeted at 3.5% of total gross wages, 2025 is being budgeted at 5%.</t>
  </si>
  <si>
    <t>K. Harbajan was on leave 1/30/23-6/04/23. During this time benefit payments were reduced.</t>
  </si>
  <si>
    <t>Page 6</t>
  </si>
  <si>
    <t>Schedule C</t>
  </si>
  <si>
    <t>Cooking Gas</t>
  </si>
  <si>
    <t>Hess A/C # 4321095000000102948425</t>
  </si>
  <si>
    <t>ConEd A/C # 432109500000010</t>
  </si>
  <si>
    <t>ConEd A/C # 4321095100000018</t>
  </si>
  <si>
    <t>MMBtu</t>
  </si>
  <si>
    <t>$ Per MMBtu</t>
  </si>
  <si>
    <t>Therm</t>
  </si>
  <si>
    <t>$ Per therm</t>
  </si>
  <si>
    <t>January</t>
  </si>
  <si>
    <t>February</t>
  </si>
  <si>
    <t>March</t>
  </si>
  <si>
    <t>April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</si>
  <si>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</si>
  <si>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</si>
  <si>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</si>
  <si>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</si>
  <si>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</si>
  <si>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</si>
  <si>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</si>
  <si>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$ Per Therm</t>
  </si>
  <si>
    <t>2013 Budget Assumptions:</t>
  </si>
  <si>
    <t>Budget Electric Usage: Two year average consumption.</t>
  </si>
  <si>
    <t>Budget Price reflects an increase over prior yr costs @</t>
  </si>
  <si>
    <t>2011 three month estimate was calculated based on usage plus</t>
  </si>
  <si>
    <t>2011 4th Qtr</t>
  </si>
  <si>
    <t>2012 Budget</t>
  </si>
  <si>
    <t>Page 5</t>
  </si>
  <si>
    <t xml:space="preserve">Electric </t>
  </si>
  <si>
    <t>New Account Number</t>
  </si>
  <si>
    <t>0000-8  General</t>
  </si>
  <si>
    <t>Con Ed</t>
  </si>
  <si>
    <t>Esco</t>
  </si>
  <si>
    <t>KWH</t>
  </si>
  <si>
    <t>Con Ed $/Per KWH</t>
  </si>
  <si>
    <t>ESCO $/ KWH</t>
  </si>
  <si>
    <t>$/Per KWH</t>
  </si>
  <si>
    <t>0002-0</t>
  </si>
  <si>
    <t xml:space="preserve">October </t>
  </si>
  <si>
    <t xml:space="preserve">November </t>
  </si>
  <si>
    <t xml:space="preserve">December </t>
  </si>
  <si>
    <t>Con Ed #49-4182-7002-0000-8</t>
  </si>
  <si>
    <t>ESCO</t>
  </si>
  <si>
    <t>Con Ed $/KWH</t>
  </si>
  <si>
    <t>ESCO $/KWH</t>
  </si>
  <si>
    <t>2026 Budget Assumptions:</t>
  </si>
  <si>
    <t>2026 Budget Electric Usage: Prior Two year Average Consumption</t>
  </si>
  <si>
    <t>2026 Budget Price reflects an increase over prior year costs @</t>
  </si>
  <si>
    <t>2024 October-December Electric Price and Usage: Provided by Aurora Energy Advisors</t>
  </si>
  <si>
    <t>2023 October-December Electric  Price is at 2023 YTD Average $/KWH</t>
  </si>
  <si>
    <t>Contract Price for ESCO: 07/01/2023-06/30/2025</t>
  </si>
  <si>
    <t>Page 7</t>
  </si>
  <si>
    <t>Super</t>
  </si>
  <si>
    <t>For Budget Entry</t>
  </si>
  <si>
    <t>2026 Budget Electric Usage: Prior two year average consumption.</t>
  </si>
  <si>
    <t>Page 8</t>
  </si>
  <si>
    <t>Morton Square Condominium</t>
  </si>
  <si>
    <t>Schedule D</t>
  </si>
  <si>
    <t>For Year Ending 12/31/2011</t>
  </si>
  <si>
    <t>Electric-A/C # 432109500000010</t>
  </si>
  <si>
    <t>Electric-A/C # 436207190138003</t>
  </si>
  <si>
    <t>$ Per KWH</t>
  </si>
  <si>
    <t>Utility</t>
  </si>
  <si>
    <t>2011 Budget Assumptions:</t>
  </si>
  <si>
    <t>2011 Budget Electric Usage: Two year average consumption.</t>
  </si>
  <si>
    <t>2011 Budget Price reflects an increase over prior yr costs @</t>
  </si>
  <si>
    <t>2010 three month estimate was calculated based on cost per KWH as follows:</t>
  </si>
  <si>
    <t>2010 4th Qtr</t>
  </si>
  <si>
    <t>2011 Budget</t>
  </si>
  <si>
    <t>Gas - Cooking</t>
  </si>
  <si>
    <t xml:space="preserve">Con Ed  </t>
  </si>
  <si>
    <t>Therms</t>
  </si>
  <si>
    <t>Con Ed Therms</t>
  </si>
  <si>
    <t>EscoTherms</t>
  </si>
  <si>
    <t>$/Per Therm</t>
  </si>
  <si>
    <t>Direct Energy Effecive 01/2019 account #686734-61005</t>
  </si>
  <si>
    <t>Includes the Gas cooking now - must break out for both</t>
  </si>
  <si>
    <t>2026 Budget Gas Usage: Prio two year average consumption</t>
  </si>
  <si>
    <t>2026 Con Ed Budget Price relects an increase over prior year costs @</t>
  </si>
  <si>
    <t>New contract with Direct Energy for 2021 expires December</t>
  </si>
  <si>
    <t>Page 9</t>
  </si>
  <si>
    <t>Direct Energy</t>
  </si>
  <si>
    <t>Direct Energy Therms</t>
  </si>
  <si>
    <t xml:space="preserve">Con Ed </t>
  </si>
  <si>
    <t>Esco Therms</t>
  </si>
  <si>
    <t>NO NRG Bills, values taken from General Ledger</t>
  </si>
  <si>
    <t>therms now at 2 year average</t>
  </si>
  <si>
    <t>redo formula for 2026</t>
  </si>
  <si>
    <t>change forula for 2026 july and august figures</t>
  </si>
  <si>
    <t>New contract with Direct Energy for 2020 expires December</t>
  </si>
  <si>
    <t>Page 10</t>
  </si>
  <si>
    <t>Con Ed  #42-2039-0422-3701-4</t>
  </si>
  <si>
    <t>Schedule F</t>
  </si>
  <si>
    <t>Supplies,Repairs, &amp; Maintenance</t>
  </si>
  <si>
    <t xml:space="preserve">Accrual </t>
  </si>
  <si>
    <t>Unpaids</t>
  </si>
  <si>
    <t>Adjustments</t>
  </si>
  <si>
    <t>@08/31/25</t>
  </si>
  <si>
    <t>GL Code</t>
  </si>
  <si>
    <t>Total Supplies</t>
  </si>
  <si>
    <t>Repairs</t>
  </si>
  <si>
    <t>House tank cleaning</t>
  </si>
  <si>
    <t>Backflow preventer testing, Rael Maint -FDNY pretest of 2 standpipes</t>
  </si>
  <si>
    <t>Total Repairs</t>
  </si>
  <si>
    <t xml:space="preserve">Cleaning &amp; Maintenance    </t>
  </si>
  <si>
    <t>Building disinfecting for COVID-19 in 202</t>
  </si>
  <si>
    <t xml:space="preserve">Matco Service $1780.11/mo </t>
  </si>
  <si>
    <t>2x per year $2,307.56</t>
  </si>
  <si>
    <t>Vitralogy Environmental for monitoring $652.16/mo</t>
  </si>
  <si>
    <t>Metal / Marble/ Wood Maintenance</t>
  </si>
  <si>
    <t>Cooling Tower water treatment - OCS Chemical</t>
  </si>
  <si>
    <t>Equipment Maintenance - Software</t>
  </si>
  <si>
    <t>Total Repairs &amp; Maintenance</t>
  </si>
  <si>
    <t>(A) Façade/Waterproofin repairs - Thomas Fenniman window reccomendations</t>
  </si>
  <si>
    <t>Page 11</t>
  </si>
  <si>
    <t>Schedule F-1</t>
  </si>
  <si>
    <t>General &amp; Administrative Expenses</t>
  </si>
  <si>
    <t xml:space="preserve">Legal Fees                                </t>
  </si>
  <si>
    <t xml:space="preserve">Real Estate Tax Certiorari Fees  </t>
  </si>
  <si>
    <t xml:space="preserve">Jack Jaffa </t>
  </si>
  <si>
    <t>Stationary &amp; Printing</t>
  </si>
  <si>
    <t>50/mo Payroll reimb</t>
  </si>
  <si>
    <t>RCN increase to 736.81/mo &amp; 79.39/mo</t>
  </si>
  <si>
    <t>Employee Sexual Harassment Training</t>
  </si>
  <si>
    <t>benchmarking, rent stabilization, DOB-elevator, NYSDEC reg fee</t>
  </si>
  <si>
    <t>garage attendants</t>
  </si>
  <si>
    <t>staff dinner</t>
  </si>
  <si>
    <t xml:space="preserve">Security Guards                       </t>
  </si>
  <si>
    <t>NYC Floral Decorators roughly 350/mo in December they pay addt'l lobby flowers</t>
  </si>
  <si>
    <t xml:space="preserve">Safety Notices                       </t>
  </si>
  <si>
    <t>Abatement Processing</t>
  </si>
  <si>
    <t xml:space="preserve">Other Administrative            </t>
  </si>
  <si>
    <t>Iron Mountain monthly shredding-Century data storage</t>
  </si>
  <si>
    <t>Corp Tax</t>
  </si>
  <si>
    <t xml:space="preserve">Corporation Tax                            </t>
  </si>
  <si>
    <t>Financial Expenses</t>
  </si>
  <si>
    <t>for line of credit - Annual facility fee</t>
  </si>
  <si>
    <t>Verdant monthly finance payment</t>
  </si>
  <si>
    <t>(A) Education &amp; Seminars - 2025 Budget reflects a $25.00/employee increase for Sexual Harassment Training.</t>
  </si>
  <si>
    <t>(B) 1098 Fees - 2025 Budget includes a $3.00/form increase</t>
  </si>
  <si>
    <t>(C) 1st Mortgage is for $15,700,000.00 at 3.91% maturing 5/01/2028.  The 2nd Mortgage is a line of credit for $500,000.00.</t>
  </si>
  <si>
    <t>(D) Verdant finance payment</t>
  </si>
  <si>
    <t>Page 12</t>
  </si>
  <si>
    <t>Mortgage</t>
  </si>
  <si>
    <t>Princpal &amp; Interest</t>
  </si>
  <si>
    <t>Bank: John Hancock Financial Services</t>
  </si>
  <si>
    <r>
      <rPr>
        <i/>
        <sz val="12"/>
        <rFont val="Arial"/>
        <family val="2"/>
      </rPr>
      <t>Original Balance</t>
    </r>
    <r>
      <rPr>
        <sz val="12"/>
        <rFont val="Arial"/>
        <family val="2"/>
      </rPr>
      <t>:</t>
    </r>
  </si>
  <si>
    <t>NCB - New mortgage in 2018</t>
  </si>
  <si>
    <t>Interest Rate:</t>
  </si>
  <si>
    <t>does not escrow</t>
  </si>
  <si>
    <t>Maturity :</t>
  </si>
  <si>
    <t>2nd Mtg - Line of Credit $500,000.00</t>
  </si>
  <si>
    <t>Fixed Monthly Payment:</t>
  </si>
  <si>
    <t>Mortgage Amortization</t>
  </si>
  <si>
    <t>Monthly Payment</t>
  </si>
  <si>
    <t>Prinicpal</t>
  </si>
  <si>
    <t>Interest</t>
  </si>
  <si>
    <t>Balance</t>
  </si>
  <si>
    <t>Take this amount from Statement</t>
  </si>
  <si>
    <t>February 2025 = 28 days</t>
  </si>
  <si>
    <t xml:space="preserve">Insurance </t>
  </si>
  <si>
    <t>Budget (A)</t>
  </si>
  <si>
    <t>Policy</t>
  </si>
  <si>
    <t>Expires</t>
  </si>
  <si>
    <t>12/31/23-12/31/24</t>
  </si>
  <si>
    <t>Accrual adjustment</t>
  </si>
  <si>
    <t xml:space="preserve">Total </t>
  </si>
  <si>
    <t>This Section Should be used for Financed Polices. If Policy expires 12/31/16 and has been paid in Full than remove the yellow section from Budget.</t>
  </si>
  <si>
    <t>Est (A)</t>
  </si>
  <si>
    <t>D&amp;O/Crime combined in 2020 budget</t>
  </si>
  <si>
    <t>can break out for 2021 if you want</t>
  </si>
  <si>
    <t>i</t>
  </si>
  <si>
    <t>Schedule G</t>
  </si>
  <si>
    <t>**Only enter beginning, end date, and payment**</t>
  </si>
  <si>
    <t xml:space="preserve">Water &amp; Sewer </t>
  </si>
  <si>
    <t>Est./Actual</t>
  </si>
  <si>
    <t>A/C#70001-37048-001</t>
  </si>
  <si>
    <t># of  days</t>
  </si>
  <si>
    <t>Days in Prior Year</t>
  </si>
  <si>
    <t>Beginning</t>
  </si>
  <si>
    <t>End Date</t>
  </si>
  <si>
    <t>Payment</t>
  </si>
  <si>
    <t>changed average for 2019 est to not include 07/19</t>
  </si>
  <si>
    <t>change back next year</t>
  </si>
  <si>
    <t xml:space="preserve"> Balance</t>
  </si>
  <si>
    <t>Total Water &amp; Sewer</t>
  </si>
  <si>
    <t xml:space="preserve">     2026 Budget Based on Rate Increase of </t>
  </si>
  <si>
    <t>Page 13</t>
  </si>
  <si>
    <t>Usage</t>
  </si>
  <si>
    <t>Schedule H</t>
  </si>
  <si>
    <t>Real Estate Taxes   (Manhattan: Blk 1565, Lot 29)</t>
  </si>
  <si>
    <t>First half</t>
  </si>
  <si>
    <t>TAX RATE - Adjustment 1st &amp; 2nd Qtr 2024/2025</t>
  </si>
  <si>
    <t>2026/2027 ASSESSED VALUATION-ESTIMATED</t>
  </si>
  <si>
    <t>Trans AV</t>
  </si>
  <si>
    <t>Estimated Increase  *</t>
  </si>
  <si>
    <t>Second half</t>
  </si>
  <si>
    <t>TAX RATE</t>
  </si>
  <si>
    <t>Estimated Increase</t>
  </si>
  <si>
    <t>Full Year Tax Liability(Gross)</t>
  </si>
  <si>
    <t>Tax Benefits</t>
  </si>
  <si>
    <t>2024/2025</t>
  </si>
  <si>
    <t>2025/2026</t>
  </si>
  <si>
    <t>2026/2027</t>
  </si>
  <si>
    <t>Veteran</t>
  </si>
  <si>
    <t>Senior Citizen</t>
  </si>
  <si>
    <t>Star</t>
  </si>
  <si>
    <t>Co-op Abatment</t>
  </si>
  <si>
    <t>     Real Estate Tax</t>
  </si>
  <si>
    <t>     Real Estate Tax Abatement</t>
  </si>
  <si>
    <t>To use Oct bill for est months</t>
  </si>
  <si>
    <t>     STAR Exemption</t>
  </si>
  <si>
    <t>     Veteran Exemption</t>
  </si>
  <si>
    <t>     SCHE Credit</t>
  </si>
  <si>
    <t>(A)  2024/2025 final tax rate will be 12.50%. In January and April of 2025, the city will retroactively bill (Q1 &amp; Q2) for the difference between</t>
  </si>
  <si>
    <t xml:space="preserve">new rate of 12509% and old rate of 12.502%. This results in a (0.020%) difference making the second half of the city's fiscal year 2024/2025 </t>
  </si>
  <si>
    <t>effective tax rate of 12.50%</t>
  </si>
  <si>
    <t>tax certorari attorney.</t>
  </si>
  <si>
    <t>The 2023/2024 assessed valuation reflects reduction due to previous tax settlement accepted.</t>
  </si>
  <si>
    <t>Page 14</t>
  </si>
  <si>
    <t>Water Meter Charges:</t>
  </si>
  <si>
    <t>2012 (A)</t>
  </si>
  <si>
    <t>2012 (B)</t>
  </si>
  <si>
    <t>2013 (C)</t>
  </si>
  <si>
    <t>9 MONTH</t>
  </si>
  <si>
    <t>Accrual</t>
  </si>
  <si>
    <t>3 MONTH</t>
  </si>
  <si>
    <t>12 MONTH</t>
  </si>
  <si>
    <t xml:space="preserve">BUDGET </t>
  </si>
  <si>
    <t>A/C # 80009-80127-001</t>
  </si>
  <si>
    <t>ACTUAL</t>
  </si>
  <si>
    <t>@ 9/30/12</t>
  </si>
  <si>
    <t>Adjustment</t>
  </si>
  <si>
    <t>ESTIMATE</t>
  </si>
  <si>
    <t>FORECAST</t>
  </si>
  <si>
    <t>Meter # K13095158</t>
  </si>
  <si>
    <t>Actual vs Est Differential</t>
  </si>
  <si>
    <t>Rounding</t>
  </si>
  <si>
    <t xml:space="preserve"> TOTAL PAYMENT</t>
  </si>
  <si>
    <t xml:space="preserve">(A) THE NINE MONTH ACTUAL INCLUDES PRIOR AND CURRENT STEAM CONDENSATE CHARGES </t>
  </si>
  <si>
    <t xml:space="preserve">      AS FOLLOWS</t>
  </si>
  <si>
    <t>PRIOR</t>
  </si>
  <si>
    <t>CURRENT</t>
  </si>
  <si>
    <t>TOTAL</t>
  </si>
  <si>
    <t>(B) THE THREE MONTH ESTIMATE REPRESENTS ESTIMATED CHARGES FOR BUILDING METER</t>
  </si>
  <si>
    <t xml:space="preserve">  FOR YEAR END OF 12/31/ 2012</t>
  </si>
  <si>
    <t>DAYS REMAINING AT CALCULATED</t>
  </si>
  <si>
    <t xml:space="preserve">  AVERAGE RATE PER DAY AS FOLLOWS:</t>
  </si>
  <si>
    <t>CALCULATION:</t>
  </si>
  <si>
    <t>Work Area</t>
  </si>
  <si>
    <t>Prior</t>
  </si>
  <si>
    <t>Current</t>
  </si>
  <si>
    <t>AVERAGE</t>
  </si>
  <si>
    <t>DAYS</t>
  </si>
  <si>
    <t>AMOUNT</t>
  </si>
  <si>
    <t>$ PER DAY</t>
  </si>
  <si>
    <t>PERIOD COVERED</t>
  </si>
  <si>
    <t>06/08/10-09/07/10</t>
  </si>
  <si>
    <t>09/07/10-12/08/10</t>
  </si>
  <si>
    <t>12/08/10-03/13/11</t>
  </si>
  <si>
    <t>Estimated</t>
  </si>
  <si>
    <t>03/13/11-06/11/11</t>
  </si>
  <si>
    <t>06/11/11-09/10/11</t>
  </si>
  <si>
    <t>(C) THE 2013 BUDGET IS BASED ON AVE $ PER DAY INCREASED @</t>
  </si>
  <si>
    <t>Estimated Adjustment</t>
  </si>
  <si>
    <t xml:space="preserve">     CALCULATD AS FOLLOWS:</t>
  </si>
  <si>
    <t>Last Actual reading</t>
  </si>
  <si>
    <t>Est Reading</t>
  </si>
  <si>
    <t>differential</t>
  </si>
  <si>
    <t>Days</t>
  </si>
  <si>
    <t>Additional Chrg</t>
  </si>
  <si>
    <t>OLD</t>
  </si>
  <si>
    <t>NEW</t>
  </si>
  <si>
    <t>PER DAY</t>
  </si>
  <si>
    <t>Last Actual Reading</t>
  </si>
  <si>
    <t>Schedule I</t>
  </si>
  <si>
    <t>Capital Expense</t>
  </si>
  <si>
    <t>435 East 85th St and Jonathan Stern</t>
  </si>
  <si>
    <t>Page 15</t>
  </si>
  <si>
    <t>Maint Proof</t>
  </si>
  <si>
    <t xml:space="preserve">Property </t>
  </si>
  <si>
    <t xml:space="preserve">Status </t>
  </si>
  <si>
    <t>Charge Code</t>
  </si>
  <si>
    <t xml:space="preserve">maint   </t>
  </si>
  <si>
    <t xml:space="preserve">storage </t>
  </si>
  <si>
    <t xml:space="preserve">bike    </t>
  </si>
  <si>
    <t>Property</t>
  </si>
  <si>
    <t>Unit Code</t>
  </si>
  <si>
    <t>%common/Share</t>
  </si>
  <si>
    <t>Status</t>
  </si>
  <si>
    <t>Unit</t>
  </si>
  <si>
    <t xml:space="preserve">03A     </t>
  </si>
  <si>
    <t xml:space="preserve">03G     </t>
  </si>
  <si>
    <t xml:space="preserve">03B     </t>
  </si>
  <si>
    <t xml:space="preserve">04D     </t>
  </si>
  <si>
    <t xml:space="preserve">04H     </t>
  </si>
  <si>
    <t xml:space="preserve">03C     </t>
  </si>
  <si>
    <t xml:space="preserve">06J     </t>
  </si>
  <si>
    <t xml:space="preserve">03D     </t>
  </si>
  <si>
    <t xml:space="preserve">05G     </t>
  </si>
  <si>
    <t xml:space="preserve">07G     </t>
  </si>
  <si>
    <t xml:space="preserve">03E     </t>
  </si>
  <si>
    <t xml:space="preserve">06C     </t>
  </si>
  <si>
    <t xml:space="preserve">08A     </t>
  </si>
  <si>
    <t xml:space="preserve">03F     </t>
  </si>
  <si>
    <t xml:space="preserve">06F     </t>
  </si>
  <si>
    <t xml:space="preserve">09E     </t>
  </si>
  <si>
    <t xml:space="preserve">07C     </t>
  </si>
  <si>
    <t xml:space="preserve">15D     </t>
  </si>
  <si>
    <t xml:space="preserve">03H     </t>
  </si>
  <si>
    <t xml:space="preserve">07D     </t>
  </si>
  <si>
    <t xml:space="preserve">17A     </t>
  </si>
  <si>
    <t xml:space="preserve">03J     </t>
  </si>
  <si>
    <t xml:space="preserve">19J     </t>
  </si>
  <si>
    <t xml:space="preserve">04A     </t>
  </si>
  <si>
    <t xml:space="preserve">08F     </t>
  </si>
  <si>
    <t xml:space="preserve">21E     </t>
  </si>
  <si>
    <t xml:space="preserve">04B     </t>
  </si>
  <si>
    <t xml:space="preserve">21G     </t>
  </si>
  <si>
    <t xml:space="preserve">04C     </t>
  </si>
  <si>
    <t xml:space="preserve">22E     </t>
  </si>
  <si>
    <t xml:space="preserve">10D     </t>
  </si>
  <si>
    <t xml:space="preserve">23J     </t>
  </si>
  <si>
    <t xml:space="preserve">04E     </t>
  </si>
  <si>
    <t xml:space="preserve">10H     </t>
  </si>
  <si>
    <t xml:space="preserve">24F     </t>
  </si>
  <si>
    <t xml:space="preserve">04F     </t>
  </si>
  <si>
    <t xml:space="preserve">11G     </t>
  </si>
  <si>
    <t xml:space="preserve">25A     </t>
  </si>
  <si>
    <t xml:space="preserve">04G     </t>
  </si>
  <si>
    <t xml:space="preserve">25B     </t>
  </si>
  <si>
    <t xml:space="preserve">16A     </t>
  </si>
  <si>
    <t xml:space="preserve">25H     </t>
  </si>
  <si>
    <t xml:space="preserve">04J     </t>
  </si>
  <si>
    <t xml:space="preserve">27E     </t>
  </si>
  <si>
    <t xml:space="preserve">05A     </t>
  </si>
  <si>
    <t xml:space="preserve">19B     </t>
  </si>
  <si>
    <t xml:space="preserve">28B     </t>
  </si>
  <si>
    <t xml:space="preserve">05B     </t>
  </si>
  <si>
    <t xml:space="preserve">20D     </t>
  </si>
  <si>
    <t xml:space="preserve">31B     </t>
  </si>
  <si>
    <t xml:space="preserve">05C     </t>
  </si>
  <si>
    <t xml:space="preserve">36G     </t>
  </si>
  <si>
    <t xml:space="preserve">05D     </t>
  </si>
  <si>
    <t xml:space="preserve">36H     </t>
  </si>
  <si>
    <t xml:space="preserve">05E     </t>
  </si>
  <si>
    <t xml:space="preserve">21J     </t>
  </si>
  <si>
    <t xml:space="preserve">05F     </t>
  </si>
  <si>
    <t xml:space="preserve">22C     </t>
  </si>
  <si>
    <t xml:space="preserve">05H     </t>
  </si>
  <si>
    <t xml:space="preserve">24D     </t>
  </si>
  <si>
    <t xml:space="preserve">05J     </t>
  </si>
  <si>
    <t xml:space="preserve">26B     </t>
  </si>
  <si>
    <t xml:space="preserve">06A     </t>
  </si>
  <si>
    <t xml:space="preserve">26G     </t>
  </si>
  <si>
    <t xml:space="preserve">06B     </t>
  </si>
  <si>
    <t xml:space="preserve">28A     </t>
  </si>
  <si>
    <t xml:space="preserve">06D     </t>
  </si>
  <si>
    <t xml:space="preserve">28H     </t>
  </si>
  <si>
    <t xml:space="preserve">06E     </t>
  </si>
  <si>
    <t xml:space="preserve">28J     </t>
  </si>
  <si>
    <t xml:space="preserve">29G     </t>
  </si>
  <si>
    <t xml:space="preserve">06G     </t>
  </si>
  <si>
    <t xml:space="preserve">30D     </t>
  </si>
  <si>
    <t xml:space="preserve">06H     </t>
  </si>
  <si>
    <t xml:space="preserve">32D     </t>
  </si>
  <si>
    <t xml:space="preserve">07A     </t>
  </si>
  <si>
    <t xml:space="preserve">32E     </t>
  </si>
  <si>
    <t xml:space="preserve">07B     </t>
  </si>
  <si>
    <t xml:space="preserve">34E     </t>
  </si>
  <si>
    <t xml:space="preserve">34G     </t>
  </si>
  <si>
    <t xml:space="preserve">07E     </t>
  </si>
  <si>
    <t xml:space="preserve">35A     </t>
  </si>
  <si>
    <t xml:space="preserve">07F     </t>
  </si>
  <si>
    <t xml:space="preserve">35H     </t>
  </si>
  <si>
    <t xml:space="preserve">37B     </t>
  </si>
  <si>
    <t xml:space="preserve">07H     </t>
  </si>
  <si>
    <t xml:space="preserve">PHE     </t>
  </si>
  <si>
    <t xml:space="preserve">07J     </t>
  </si>
  <si>
    <t xml:space="preserve">08B     </t>
  </si>
  <si>
    <t xml:space="preserve">08C     </t>
  </si>
  <si>
    <t xml:space="preserve">08D     </t>
  </si>
  <si>
    <t xml:space="preserve">08E     </t>
  </si>
  <si>
    <t xml:space="preserve">08G     </t>
  </si>
  <si>
    <t xml:space="preserve">08H     </t>
  </si>
  <si>
    <t xml:space="preserve">08J     </t>
  </si>
  <si>
    <t xml:space="preserve">09A     </t>
  </si>
  <si>
    <t xml:space="preserve">09B     </t>
  </si>
  <si>
    <t xml:space="preserve">09C     </t>
  </si>
  <si>
    <t xml:space="preserve">09D     </t>
  </si>
  <si>
    <t xml:space="preserve">09F     </t>
  </si>
  <si>
    <t xml:space="preserve">09G     </t>
  </si>
  <si>
    <t xml:space="preserve">09H     </t>
  </si>
  <si>
    <t xml:space="preserve">09J     </t>
  </si>
  <si>
    <t xml:space="preserve">10A     </t>
  </si>
  <si>
    <t xml:space="preserve">10B     </t>
  </si>
  <si>
    <t xml:space="preserve">10C     </t>
  </si>
  <si>
    <t xml:space="preserve">10E     </t>
  </si>
  <si>
    <t xml:space="preserve">10F     </t>
  </si>
  <si>
    <t xml:space="preserve">10G     </t>
  </si>
  <si>
    <t xml:space="preserve">10J     </t>
  </si>
  <si>
    <t xml:space="preserve">11A     </t>
  </si>
  <si>
    <t xml:space="preserve">11B     </t>
  </si>
  <si>
    <t xml:space="preserve">11C     </t>
  </si>
  <si>
    <t xml:space="preserve">11D     </t>
  </si>
  <si>
    <t xml:space="preserve">11E     </t>
  </si>
  <si>
    <t xml:space="preserve">11F     </t>
  </si>
  <si>
    <t xml:space="preserve">11H     </t>
  </si>
  <si>
    <t xml:space="preserve">11J     </t>
  </si>
  <si>
    <t xml:space="preserve">12A     </t>
  </si>
  <si>
    <t xml:space="preserve">12B     </t>
  </si>
  <si>
    <t xml:space="preserve">12C     </t>
  </si>
  <si>
    <t xml:space="preserve">12D     </t>
  </si>
  <si>
    <t xml:space="preserve">12E     </t>
  </si>
  <si>
    <t xml:space="preserve">12F     </t>
  </si>
  <si>
    <t xml:space="preserve">12G     </t>
  </si>
  <si>
    <t xml:space="preserve">12H     </t>
  </si>
  <si>
    <t xml:space="preserve">12J     </t>
  </si>
  <si>
    <t xml:space="preserve">14A     </t>
  </si>
  <si>
    <t xml:space="preserve">14B     </t>
  </si>
  <si>
    <t xml:space="preserve">14C     </t>
  </si>
  <si>
    <t xml:space="preserve">14D     </t>
  </si>
  <si>
    <t xml:space="preserve">14E     </t>
  </si>
  <si>
    <t xml:space="preserve">14F     </t>
  </si>
  <si>
    <t xml:space="preserve">14G     </t>
  </si>
  <si>
    <t xml:space="preserve">14H     </t>
  </si>
  <si>
    <t xml:space="preserve">14J     </t>
  </si>
  <si>
    <t xml:space="preserve">15A     </t>
  </si>
  <si>
    <t xml:space="preserve">15B     </t>
  </si>
  <si>
    <t xml:space="preserve">15C     </t>
  </si>
  <si>
    <t xml:space="preserve">15E     </t>
  </si>
  <si>
    <t xml:space="preserve">15F     </t>
  </si>
  <si>
    <t xml:space="preserve">15G     </t>
  </si>
  <si>
    <t xml:space="preserve">15H     </t>
  </si>
  <si>
    <t xml:space="preserve">15J     </t>
  </si>
  <si>
    <t xml:space="preserve">16B     </t>
  </si>
  <si>
    <t xml:space="preserve">16C     </t>
  </si>
  <si>
    <t xml:space="preserve">16D     </t>
  </si>
  <si>
    <t xml:space="preserve">16E     </t>
  </si>
  <si>
    <t xml:space="preserve">16F     </t>
  </si>
  <si>
    <t xml:space="preserve">16G     </t>
  </si>
  <si>
    <t xml:space="preserve">16H     </t>
  </si>
  <si>
    <t xml:space="preserve">16J     </t>
  </si>
  <si>
    <t xml:space="preserve">17B     </t>
  </si>
  <si>
    <t xml:space="preserve">17C     </t>
  </si>
  <si>
    <t xml:space="preserve">17D     </t>
  </si>
  <si>
    <t xml:space="preserve">17E     </t>
  </si>
  <si>
    <t xml:space="preserve">17F     </t>
  </si>
  <si>
    <t xml:space="preserve">17G     </t>
  </si>
  <si>
    <t xml:space="preserve">17H     </t>
  </si>
  <si>
    <t xml:space="preserve">17J     </t>
  </si>
  <si>
    <t xml:space="preserve">18A     </t>
  </si>
  <si>
    <t xml:space="preserve">18B     </t>
  </si>
  <si>
    <t xml:space="preserve">18C     </t>
  </si>
  <si>
    <t xml:space="preserve">18D     </t>
  </si>
  <si>
    <t xml:space="preserve">18E     </t>
  </si>
  <si>
    <t xml:space="preserve">18F     </t>
  </si>
  <si>
    <t xml:space="preserve">18G     </t>
  </si>
  <si>
    <t xml:space="preserve">18H     </t>
  </si>
  <si>
    <t xml:space="preserve">18J     </t>
  </si>
  <si>
    <t xml:space="preserve">19A     </t>
  </si>
  <si>
    <t xml:space="preserve">19C     </t>
  </si>
  <si>
    <t xml:space="preserve">19D     </t>
  </si>
  <si>
    <t xml:space="preserve">19E     </t>
  </si>
  <si>
    <t xml:space="preserve">19F     </t>
  </si>
  <si>
    <t xml:space="preserve">19G     </t>
  </si>
  <si>
    <t xml:space="preserve">19H     </t>
  </si>
  <si>
    <t xml:space="preserve">20A     </t>
  </si>
  <si>
    <t xml:space="preserve">20B     </t>
  </si>
  <si>
    <t xml:space="preserve">20C     </t>
  </si>
  <si>
    <t xml:space="preserve">20E     </t>
  </si>
  <si>
    <t xml:space="preserve">20F     </t>
  </si>
  <si>
    <t xml:space="preserve">20G     </t>
  </si>
  <si>
    <t xml:space="preserve">20H     </t>
  </si>
  <si>
    <t xml:space="preserve">20J     </t>
  </si>
  <si>
    <t xml:space="preserve">21A     </t>
  </si>
  <si>
    <t xml:space="preserve">21B     </t>
  </si>
  <si>
    <t xml:space="preserve">21C     </t>
  </si>
  <si>
    <t xml:space="preserve">21D     </t>
  </si>
  <si>
    <t xml:space="preserve">21F     </t>
  </si>
  <si>
    <t xml:space="preserve">21H     </t>
  </si>
  <si>
    <t xml:space="preserve">22A     </t>
  </si>
  <si>
    <t xml:space="preserve">22B     </t>
  </si>
  <si>
    <t xml:space="preserve">22D     </t>
  </si>
  <si>
    <t xml:space="preserve">22F     </t>
  </si>
  <si>
    <t xml:space="preserve">22G     </t>
  </si>
  <si>
    <t xml:space="preserve">22H     </t>
  </si>
  <si>
    <t xml:space="preserve">22J     </t>
  </si>
  <si>
    <t xml:space="preserve">23A     </t>
  </si>
  <si>
    <t xml:space="preserve">23B     </t>
  </si>
  <si>
    <t xml:space="preserve">23C     </t>
  </si>
  <si>
    <t xml:space="preserve">23D     </t>
  </si>
  <si>
    <t xml:space="preserve">23E     </t>
  </si>
  <si>
    <t xml:space="preserve">23F     </t>
  </si>
  <si>
    <t xml:space="preserve">23G     </t>
  </si>
  <si>
    <t xml:space="preserve">23H     </t>
  </si>
  <si>
    <t xml:space="preserve">24A     </t>
  </si>
  <si>
    <t xml:space="preserve">24B     </t>
  </si>
  <si>
    <t xml:space="preserve">24C     </t>
  </si>
  <si>
    <t xml:space="preserve">24E     </t>
  </si>
  <si>
    <t xml:space="preserve">24G     </t>
  </si>
  <si>
    <t xml:space="preserve">24H     </t>
  </si>
  <si>
    <t xml:space="preserve">24J     </t>
  </si>
  <si>
    <t xml:space="preserve">25C     </t>
  </si>
  <si>
    <t xml:space="preserve">25D     </t>
  </si>
  <si>
    <t xml:space="preserve">25E     </t>
  </si>
  <si>
    <t xml:space="preserve">25F     </t>
  </si>
  <si>
    <t xml:space="preserve">25G     </t>
  </si>
  <si>
    <t xml:space="preserve">25J     </t>
  </si>
  <si>
    <t xml:space="preserve">26A     </t>
  </si>
  <si>
    <t xml:space="preserve">26C     </t>
  </si>
  <si>
    <t xml:space="preserve">26D     </t>
  </si>
  <si>
    <t xml:space="preserve">26E     </t>
  </si>
  <si>
    <t xml:space="preserve">26F     </t>
  </si>
  <si>
    <t xml:space="preserve">26H     </t>
  </si>
  <si>
    <t xml:space="preserve">26J     </t>
  </si>
  <si>
    <t xml:space="preserve">27A     </t>
  </si>
  <si>
    <t xml:space="preserve">27B     </t>
  </si>
  <si>
    <t xml:space="preserve">27C     </t>
  </si>
  <si>
    <t xml:space="preserve">27D     </t>
  </si>
  <si>
    <t xml:space="preserve">27F     </t>
  </si>
  <si>
    <t xml:space="preserve">27G     </t>
  </si>
  <si>
    <t xml:space="preserve">27H     </t>
  </si>
  <si>
    <t xml:space="preserve">27J     </t>
  </si>
  <si>
    <t xml:space="preserve">28C     </t>
  </si>
  <si>
    <t xml:space="preserve">28D     </t>
  </si>
  <si>
    <t xml:space="preserve">28E     </t>
  </si>
  <si>
    <t xml:space="preserve">28F     </t>
  </si>
  <si>
    <t xml:space="preserve">28G     </t>
  </si>
  <si>
    <t xml:space="preserve">29A     </t>
  </si>
  <si>
    <t xml:space="preserve">29B     </t>
  </si>
  <si>
    <t xml:space="preserve">29C     </t>
  </si>
  <si>
    <t xml:space="preserve">29D     </t>
  </si>
  <si>
    <t xml:space="preserve">29E     </t>
  </si>
  <si>
    <t xml:space="preserve">29F     </t>
  </si>
  <si>
    <t xml:space="preserve">29H     </t>
  </si>
  <si>
    <t xml:space="preserve">29J     </t>
  </si>
  <si>
    <t xml:space="preserve">30A     </t>
  </si>
  <si>
    <t xml:space="preserve">30B     </t>
  </si>
  <si>
    <t xml:space="preserve">30C     </t>
  </si>
  <si>
    <t xml:space="preserve">30E     </t>
  </si>
  <si>
    <t xml:space="preserve">30F     </t>
  </si>
  <si>
    <t xml:space="preserve">30G     </t>
  </si>
  <si>
    <t xml:space="preserve">30H     </t>
  </si>
  <si>
    <t xml:space="preserve">30J     </t>
  </si>
  <si>
    <t xml:space="preserve">31A     </t>
  </si>
  <si>
    <t xml:space="preserve">31C     </t>
  </si>
  <si>
    <t xml:space="preserve">31D     </t>
  </si>
  <si>
    <t xml:space="preserve">31E     </t>
  </si>
  <si>
    <t xml:space="preserve">31F     </t>
  </si>
  <si>
    <t xml:space="preserve">31G     </t>
  </si>
  <si>
    <t xml:space="preserve">31H     </t>
  </si>
  <si>
    <t xml:space="preserve">31J     </t>
  </si>
  <si>
    <t xml:space="preserve">32A     </t>
  </si>
  <si>
    <t xml:space="preserve">32B     </t>
  </si>
  <si>
    <t xml:space="preserve">32C     </t>
  </si>
  <si>
    <t xml:space="preserve">32F     </t>
  </si>
  <si>
    <t xml:space="preserve">32G     </t>
  </si>
  <si>
    <t xml:space="preserve">32H     </t>
  </si>
  <si>
    <t xml:space="preserve">32J     </t>
  </si>
  <si>
    <t xml:space="preserve">33A     </t>
  </si>
  <si>
    <t xml:space="preserve">33B     </t>
  </si>
  <si>
    <t xml:space="preserve">33C     </t>
  </si>
  <si>
    <t xml:space="preserve">33D     </t>
  </si>
  <si>
    <t xml:space="preserve">33E     </t>
  </si>
  <si>
    <t xml:space="preserve">33F     </t>
  </si>
  <si>
    <t xml:space="preserve">33G     </t>
  </si>
  <si>
    <t xml:space="preserve">33H     </t>
  </si>
  <si>
    <t xml:space="preserve">33J     </t>
  </si>
  <si>
    <t xml:space="preserve">34A     </t>
  </si>
  <si>
    <t xml:space="preserve">34B     </t>
  </si>
  <si>
    <t xml:space="preserve">34C     </t>
  </si>
  <si>
    <t xml:space="preserve">34D     </t>
  </si>
  <si>
    <t xml:space="preserve">34F     </t>
  </si>
  <si>
    <t xml:space="preserve">34H     </t>
  </si>
  <si>
    <t xml:space="preserve">34J     </t>
  </si>
  <si>
    <t xml:space="preserve">35B     </t>
  </si>
  <si>
    <t xml:space="preserve">35C     </t>
  </si>
  <si>
    <t xml:space="preserve">35D     </t>
  </si>
  <si>
    <t xml:space="preserve">35E     </t>
  </si>
  <si>
    <t xml:space="preserve">35F     </t>
  </si>
  <si>
    <t xml:space="preserve">35G     </t>
  </si>
  <si>
    <t xml:space="preserve">35J     </t>
  </si>
  <si>
    <t xml:space="preserve">36A     </t>
  </si>
  <si>
    <t xml:space="preserve">36B     </t>
  </si>
  <si>
    <t xml:space="preserve">36C     </t>
  </si>
  <si>
    <t xml:space="preserve">36D     </t>
  </si>
  <si>
    <t xml:space="preserve">36E     </t>
  </si>
  <si>
    <t xml:space="preserve">36F     </t>
  </si>
  <si>
    <t xml:space="preserve">36J     </t>
  </si>
  <si>
    <t xml:space="preserve">37A     </t>
  </si>
  <si>
    <t xml:space="preserve">37C     </t>
  </si>
  <si>
    <t xml:space="preserve">37D     </t>
  </si>
  <si>
    <t xml:space="preserve">37E     </t>
  </si>
  <si>
    <t xml:space="preserve">37F     </t>
  </si>
  <si>
    <t xml:space="preserve">37G     </t>
  </si>
  <si>
    <t xml:space="preserve">37H     </t>
  </si>
  <si>
    <t xml:space="preserve">37J     </t>
  </si>
  <si>
    <t xml:space="preserve">PHA     </t>
  </si>
  <si>
    <t xml:space="preserve">PHB     </t>
  </si>
  <si>
    <t xml:space="preserve">PHC     </t>
  </si>
  <si>
    <t xml:space="preserve">PHD     </t>
  </si>
  <si>
    <t xml:space="preserve">PHF     </t>
  </si>
  <si>
    <t xml:space="preserve">PHG     </t>
  </si>
  <si>
    <t xml:space="preserve">PHH     </t>
  </si>
  <si>
    <t xml:space="preserve">PHJ     </t>
  </si>
  <si>
    <t>2022 Budget</t>
  </si>
  <si>
    <t>Taxes</t>
  </si>
  <si>
    <t>Financial</t>
  </si>
  <si>
    <t>Utilities</t>
  </si>
  <si>
    <t>Professional</t>
  </si>
  <si>
    <t>Repairs &amp; Maint</t>
  </si>
  <si>
    <t>Administrative</t>
  </si>
  <si>
    <t>NON-CONTROLLABLE EXPENSES:</t>
  </si>
  <si>
    <t>CONTROLLABLE EXPENSES:</t>
  </si>
  <si>
    <t>Repairs &amp; Maint.</t>
  </si>
  <si>
    <t>should equal total expenses for new budget on yearly comp</t>
  </si>
  <si>
    <t>2017 Budget</t>
  </si>
  <si>
    <t>Matches to the Yrly Comp - change years</t>
  </si>
  <si>
    <t>Budget Year</t>
  </si>
  <si>
    <t>Utilities include water</t>
  </si>
  <si>
    <t>Prof Fees</t>
  </si>
  <si>
    <t>Put in Figures when you get financials</t>
  </si>
  <si>
    <t>2022 Total Expenses</t>
  </si>
  <si>
    <t>2022 % of Total</t>
  </si>
  <si>
    <t>2023 Total Expenses</t>
  </si>
  <si>
    <t>2023 % of Total</t>
  </si>
  <si>
    <t>2023 Increase over prior Year</t>
  </si>
  <si>
    <t>2024 Total Budgeted Expenses</t>
  </si>
  <si>
    <t>2024 % of Total</t>
  </si>
  <si>
    <t>2024 Increase over prior year</t>
  </si>
  <si>
    <t>Change Years &amp; Increase %</t>
  </si>
  <si>
    <t>Totals</t>
  </si>
  <si>
    <t>Maint. Increase</t>
  </si>
  <si>
    <t>2025 notes</t>
  </si>
  <si>
    <t>2025/2026 ASSESSED VALUATION-ACTUAL - July 2025</t>
  </si>
  <si>
    <t>DO NOT REMOVE FORMULA IN F26</t>
  </si>
  <si>
    <t>on the per share amount credited to tenant-stockholders who use their unit as their primary residence and are eligible to the NYC RE Tax Abatement credit. For Y/E 12/31/24 and</t>
  </si>
  <si>
    <t xml:space="preserve">12/31/23, the BOD allocated $111,371.00 and $238,300.00 of the special assessment to fund operating expenses. 2025 Budget assumed $221,858.00 of operating funding with </t>
  </si>
  <si>
    <t>per accountant Prager Metis 09/2025</t>
  </si>
  <si>
    <t>2025 Payments</t>
  </si>
  <si>
    <t>2025 Estimated Total</t>
  </si>
  <si>
    <t>Nov 2024</t>
  </si>
  <si>
    <t>Dec 2024</t>
  </si>
  <si>
    <t>Jan 2025</t>
  </si>
  <si>
    <t>Feb 2025</t>
  </si>
  <si>
    <t>March 2025</t>
  </si>
  <si>
    <t>April 2025</t>
  </si>
  <si>
    <t>May 2025</t>
  </si>
  <si>
    <t>June 2025</t>
  </si>
  <si>
    <t>July 2025</t>
  </si>
  <si>
    <t>Jan-August Totals</t>
  </si>
  <si>
    <t>Sept-Dec Estimated</t>
  </si>
  <si>
    <t xml:space="preserve"> (A) 2026 budget reflects an increase over 2025@</t>
  </si>
  <si>
    <t>The 2025/2026 final and the estimated 2026/2027 assessed valuations have been confirmed by Tuchman Korngold Weiss Liebman &amp; Gelles, LLP, the cooperatives</t>
  </si>
  <si>
    <t>Con Ed #42-2039-0422-3500-0 new account #70788-12000-7</t>
  </si>
  <si>
    <t xml:space="preserve">                       Con Ed #49-4182-7002-0000-8 new account #50834100005</t>
  </si>
  <si>
    <t>2025 August - December Electric Usage: Prior Period Two Year Average</t>
  </si>
  <si>
    <t>2025 August - December Electric Price is at 2025 YTD Average $/KWH</t>
  </si>
  <si>
    <t>2025 August  - December Electric Usage: Prior Period two year Average</t>
  </si>
  <si>
    <t>2025 August - Decembre Electric Pice is at 2025 YTD Average $/KWH</t>
  </si>
  <si>
    <t>2025 August - December Gas Usage: Prior Period Two Year Average</t>
  </si>
  <si>
    <t>2025 August - December Gas Price is at 2025 YTD Average $/Therm</t>
  </si>
  <si>
    <t>Contract Price for ESCO:   07/01/2025-06/30/2027</t>
  </si>
  <si>
    <t>Contract Proce for ESCO:  07/01/2025-06/30/2027</t>
  </si>
  <si>
    <t>Con Ed #42-2039-0422-3701-4 new #71914-82000-7</t>
  </si>
  <si>
    <t>PS Marcato $3,462.12/mo</t>
  </si>
  <si>
    <t>David Leonick-Jerris Cleaners</t>
  </si>
  <si>
    <t>Gabriel Landscaping - NYC Floral Decorators</t>
  </si>
  <si>
    <t xml:space="preserve">Academy Mailbox </t>
  </si>
  <si>
    <t>Prager Metis</t>
  </si>
  <si>
    <t>Bldg Link &amp; RAB-Rent Stabilization -SmartCon Solutions</t>
  </si>
  <si>
    <t xml:space="preserve">Education &amp; Seminars                   </t>
  </si>
  <si>
    <t xml:space="preserve">1098 Fee's                                     </t>
  </si>
  <si>
    <t>(A) Other Administrative - 2026 Budget includes a 32BJ Strike Prep Fee as the contract ends 04/2026.</t>
  </si>
  <si>
    <t>(B) 1st Mortgage is for $15,700,000.00 at 3.91% maturing 5/01/2028.  The 2nd Mortgage is a line of credit for $500,000.00.</t>
  </si>
  <si>
    <t>(C) Verdant finance payment</t>
  </si>
  <si>
    <t>Vantage 230/qtr</t>
  </si>
  <si>
    <t>315 apts</t>
  </si>
  <si>
    <t>08/2025</t>
  </si>
  <si>
    <t xml:space="preserve">Mortgage Payable 2   </t>
  </si>
  <si>
    <t xml:space="preserve">Interest Expense                           </t>
  </si>
  <si>
    <t xml:space="preserve">Mortgage Amortization            </t>
  </si>
  <si>
    <t>(C) Capital Assessment - Board approved a Capital Assessment at $2.52/share from 01/01/25-12/31/25 to replenish reserves due to HVAC system upgrades and repairs.</t>
  </si>
  <si>
    <t>(Using maximum estimated $183,600 for 2026)</t>
  </si>
  <si>
    <t>Porter/Doorman 85%</t>
  </si>
  <si>
    <t>Pension 03/04/26</t>
  </si>
  <si>
    <t>Annuity 03/04/25</t>
  </si>
  <si>
    <t>David Leoniuk, Nelson Garcia</t>
  </si>
  <si>
    <t>Super - Michael Stones</t>
  </si>
  <si>
    <t xml:space="preserve">Façade / Waterproofing Repairs    </t>
  </si>
  <si>
    <t>2025 note</t>
  </si>
  <si>
    <t>General Liability</t>
  </si>
  <si>
    <t>TAX RATE - Est.</t>
  </si>
  <si>
    <t>as of 9/25 -  budgets assume a 5% increase at time of union increases</t>
  </si>
  <si>
    <t>Dial A Bug</t>
  </si>
  <si>
    <t xml:space="preserve">Parity </t>
  </si>
  <si>
    <t>credit for damage from the roof</t>
  </si>
  <si>
    <t>V. 2025 Forecast</t>
  </si>
  <si>
    <t>change formula</t>
  </si>
  <si>
    <t>(A) Storage Room -  Currently there are 2 vacant units. 2026 Budget is based on average $/Unit.</t>
  </si>
  <si>
    <t>update years column M</t>
  </si>
  <si>
    <t>update notes</t>
  </si>
  <si>
    <t xml:space="preserve"> based on revenue collected less expenses.  2024 new commercial lease with Corrie Horshinski, D.C. at $4,500.00/mo. from 1/13/2023-1/12/2027.</t>
  </si>
  <si>
    <t xml:space="preserve">(B) In June 2024 and 2023, a special assessment was charged to tenant-stockholders in the amount of $836,990.00 and $842,826.00 respectively. The assessments were based </t>
  </si>
  <si>
    <t>(B) Bicycle Storage - 2026 Budgets assumes 2 vacant spots. 2026 Budget is the same as the 2025 Forecast.</t>
  </si>
  <si>
    <t>(D) Other Non-Recurring Income - 2025 Actual consists of Spectrum Marketing Agreement $25,925.00, and 2024 refund from vendor.</t>
  </si>
  <si>
    <t>2026 Budget is for apartment repair charges that are billed back to shareholders and bounced check fees.</t>
  </si>
  <si>
    <t xml:space="preserve">Laundry  </t>
  </si>
  <si>
    <t>Approved</t>
  </si>
  <si>
    <t>$644,433.00 to Special Assessment. See Schedule A - 2026 Budget total is $866,019.00 with $200,448.00 allocated to operating income and $665,571.00 to Special Assessment.</t>
  </si>
  <si>
    <t>2025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</si>
</sst>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mm/dd/yy"/>
    <numFmt numFmtId="166" formatCode="0_);[Red]\(0\)"/>
    <numFmt numFmtId="167" formatCode="0.0000%"/>
    <numFmt numFmtId="168" formatCode="0.0%"/>
    <numFmt numFmtId="169" formatCode="_(* #,##0_);_(* \(#,##0\);_(* &quot;-&quot;??_);_(@_)"/>
    <numFmt numFmtId="170" formatCode="_(&quot;$&quot;* #,##0_);_(&quot;$&quot;* \(#,##0\);_(&quot;$&quot;* &quot;-&quot;??_);_(@_)"/>
    <numFmt numFmtId="171" formatCode="#,##0.0_);\(#,##0.0\)"/>
    <numFmt numFmtId="172" formatCode="0.000"/>
    <numFmt numFmtId="173" formatCode="&quot;$&quot;#,##0.00"/>
    <numFmt numFmtId="174" formatCode="0.000%"/>
    <numFmt numFmtId="175" formatCode="&quot;$&quot;#,##0.000_);\(&quot;$&quot;#,##0.000\)"/>
    <numFmt numFmtId="176" formatCode="_(&quot;$&quot;* #,##0.00000000_);_(&quot;$&quot;* \(#,##0.00000000\);_(&quot;$&quot;* &quot;-&quot;??_);_(@_)"/>
    <numFmt numFmtId="177" formatCode="0.0000000%"/>
    <numFmt numFmtId="178" formatCode="_(* #,##0.00000_);_(* \(#,##0.00000\);_(* &quot;-&quot;??_);_(@_)"/>
    <numFmt numFmtId="179" formatCode="_(&quot;$&quot;* #,##0.00000_);_(&quot;$&quot;* \(#,##0.00000\);_(&quot;$&quot;* &quot;-&quot;??_);_(@_)"/>
    <numFmt numFmtId="180" formatCode="0.00_);\(0.00\)"/>
    <numFmt numFmtId="181" formatCode="0.00000_);\(0.00000\)"/>
    <numFmt numFmtId="182" formatCode="_(&quot;$&quot;* #,##0.0000_);_(&quot;$&quot;* \(#,##0.0000\);_(&quot;$&quot;* &quot;-&quot;??_);_(@_)"/>
    <numFmt numFmtId="183" formatCode="_([$$-409]* #,##0.0000_);_([$$-409]* \(#,##0.0000\);_([$$-409]* &quot;-&quot;??_);_(@_)"/>
    <numFmt numFmtId="184" formatCode="[$$-409]#,##0;[Red][$$-409]#,##0"/>
    <numFmt numFmtId="185" formatCode="#,##0;[Red]#,##0"/>
    <numFmt numFmtId="186" formatCode="&quot;$&quot;#,##0.00000_);\(&quot;$&quot;#,##0.00000\)"/>
    <numFmt numFmtId="187" formatCode="&quot;$&quot;#,##0.0000_);\(&quot;$&quot;#,##0.0000\)"/>
    <numFmt numFmtId="188" formatCode="m/d;@"/>
    <numFmt numFmtId="189" formatCode="_(&quot;$&quot;* #,##0.000_);_(&quot;$&quot;* \(#,##0.000\);_(&quot;$&quot;* &quot;-&quot;??_);_(@_)"/>
    <numFmt numFmtId="190" formatCode="_(&quot;$&quot;* #,##0.000000_);_(&quot;$&quot;* \(#,##0.000000\);_(&quot;$&quot;* &quot;-&quot;??_);_(@_)"/>
  </numFmts>
  <fonts count="122">
    <font>
      <sz val="12"/>
      <name val="Arial"/>
    </font>
    <font>
      <b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i/>
      <sz val="12"/>
      <color indexed="8"/>
      <name val="Arial"/>
      <family val="2"/>
    </font>
    <font>
      <u/>
      <sz val="12"/>
      <color indexed="8"/>
      <name val="Arial"/>
      <family val="2"/>
    </font>
    <font>
      <sz val="11"/>
      <name val="Arial"/>
      <family val="2"/>
    </font>
    <font>
      <u/>
      <sz val="11"/>
      <color indexed="8"/>
      <name val="Arial"/>
      <family val="2"/>
    </font>
    <font>
      <i/>
      <sz val="11"/>
      <color indexed="8"/>
      <name val="Arial"/>
      <family val="2"/>
    </font>
    <font>
      <b/>
      <u/>
      <sz val="12"/>
      <color indexed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i/>
      <sz val="11"/>
      <name val="Arial"/>
      <family val="2"/>
    </font>
    <font>
      <b/>
      <i/>
      <u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i/>
      <sz val="12"/>
      <color indexed="8"/>
      <name val="Arial"/>
      <family val="2"/>
    </font>
    <font>
      <u/>
      <sz val="12"/>
      <name val="Arial MT"/>
    </font>
    <font>
      <sz val="9"/>
      <name val="Arial"/>
      <family val="2"/>
    </font>
    <font>
      <b/>
      <u/>
      <sz val="11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4"/>
      <color indexed="57"/>
      <name val="Arial"/>
      <family val="2"/>
    </font>
    <font>
      <b/>
      <i/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9"/>
      <name val="Tahoma"/>
      <family val="2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u/>
      <sz val="9"/>
      <name val="Arial"/>
      <family val="2"/>
    </font>
    <font>
      <i/>
      <sz val="9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i/>
      <u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22"/>
      <color rgb="FF00B0F0"/>
      <name val="Arial"/>
      <family val="2"/>
    </font>
    <font>
      <b/>
      <sz val="20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8"/>
      <color theme="1"/>
      <name val="Verdana"/>
      <family val="2"/>
    </font>
    <font>
      <b/>
      <sz val="10"/>
      <color indexed="8"/>
      <name val="Arial MT"/>
    </font>
    <font>
      <sz val="10"/>
      <color theme="1"/>
      <name val="Arial"/>
      <family val="2"/>
    </font>
    <font>
      <b/>
      <u val="singleAccounting"/>
      <sz val="12"/>
      <name val="Arial"/>
      <family val="2"/>
    </font>
    <font>
      <b/>
      <sz val="20"/>
      <color theme="0" tint="-0.499984740745262"/>
      <name val="Arial"/>
      <family val="2"/>
    </font>
    <font>
      <b/>
      <u/>
      <sz val="11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 MT"/>
    </font>
    <font>
      <b/>
      <u/>
      <sz val="12"/>
      <color theme="1"/>
      <name val="Arial"/>
      <family val="2"/>
    </font>
    <font>
      <b/>
      <i/>
      <sz val="14"/>
      <name val="Arial"/>
      <family val="2"/>
    </font>
    <font>
      <sz val="8"/>
      <name val="Tahoma"/>
      <family val="2"/>
    </font>
    <font>
      <sz val="10"/>
      <name val="Tahoma"/>
      <family val="2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b/>
      <sz val="10"/>
      <color indexed="17"/>
      <name val="Arial MT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indexed="17"/>
      <name val="Arial MT"/>
    </font>
    <font>
      <b/>
      <u/>
      <sz val="16"/>
      <color indexed="17"/>
      <name val="Arial MT"/>
    </font>
    <font>
      <b/>
      <sz val="10"/>
      <color indexed="10"/>
      <name val="Arial MT"/>
    </font>
    <font>
      <b/>
      <sz val="12"/>
      <color indexed="10"/>
      <name val="Arial MT"/>
    </font>
    <font>
      <sz val="12"/>
      <color indexed="10"/>
      <name val="Arial MT"/>
    </font>
    <font>
      <sz val="12"/>
      <name val="Arial MT"/>
    </font>
    <font>
      <b/>
      <sz val="12"/>
      <color indexed="17"/>
      <name val="Arial MT"/>
    </font>
    <font>
      <sz val="12"/>
      <color indexed="17"/>
      <name val="Arial MT"/>
    </font>
    <font>
      <b/>
      <sz val="12"/>
      <color rgb="FFFF0000"/>
      <name val="Arial MT"/>
    </font>
    <font>
      <sz val="12"/>
      <name val="Arial"/>
      <family val="2"/>
    </font>
    <font>
      <b/>
      <sz val="8"/>
      <color indexed="8"/>
      <name val="Arial MT"/>
    </font>
    <font>
      <b/>
      <sz val="9"/>
      <color indexed="18"/>
      <name val="Arial"/>
      <family val="2"/>
    </font>
    <font>
      <b/>
      <sz val="10"/>
      <color indexed="12"/>
      <name val="Arial"/>
      <family val="2"/>
    </font>
    <font>
      <b/>
      <sz val="9"/>
      <name val="Tahoma"/>
      <family val="2"/>
    </font>
    <font>
      <sz val="12"/>
      <color theme="1"/>
      <name val="Arial MT"/>
    </font>
    <font>
      <b/>
      <sz val="9"/>
      <color rgb="FF000000"/>
      <name val="Arial"/>
      <family val="2"/>
    </font>
    <font>
      <b/>
      <sz val="18"/>
      <color rgb="FF000000"/>
      <name val="Arial"/>
      <family val="2"/>
    </font>
    <font>
      <sz val="12"/>
      <color rgb="FFFF0000"/>
      <name val="Arial"/>
      <family val="2"/>
    </font>
    <font>
      <sz val="12"/>
      <color rgb="FF7030A0"/>
      <name val="Arial"/>
      <family val="2"/>
    </font>
    <font>
      <b/>
      <sz val="12"/>
      <color rgb="FF0070C0"/>
      <name val="Arial"/>
      <family val="2"/>
    </font>
    <font>
      <b/>
      <u/>
      <sz val="12"/>
      <color rgb="FF7030A0"/>
      <name val="Arial"/>
      <family val="2"/>
    </font>
    <font>
      <b/>
      <sz val="20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Arial"/>
      <family val="2"/>
    </font>
    <font>
      <b/>
      <sz val="12"/>
      <color theme="9" tint="-0.499984740745262"/>
      <name val="Arial"/>
      <family val="2"/>
    </font>
    <font>
      <b/>
      <u val="singleAccounting"/>
      <sz val="12"/>
      <color theme="1"/>
      <name val="Arial"/>
      <family val="2"/>
    </font>
    <font>
      <b/>
      <sz val="12"/>
      <color rgb="FFC00000"/>
      <name val="Arial"/>
      <family val="2"/>
    </font>
    <font>
      <u val="singleAccounting"/>
      <sz val="12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Tahoma"/>
      <family val="2"/>
    </font>
    <font>
      <u/>
      <sz val="12"/>
      <color theme="1"/>
      <name val="Arial"/>
      <family val="2"/>
    </font>
    <font>
      <b/>
      <sz val="14"/>
      <color rgb="FF7030A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8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43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64"/>
      </right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thick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861">
    <xf numFmtId="5" fontId="0" fillId="2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1" borderId="0" applyNumberFormat="0" applyBorder="0" applyAlignment="0" applyProtection="0"/>
    <xf numFmtId="14" fontId="37" fillId="0" borderId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51" fillId="28" borderId="0" applyNumberFormat="0" applyBorder="0" applyAlignment="0" applyProtection="0"/>
    <xf numFmtId="0" fontId="52" fillId="29" borderId="42" applyNumberFormat="0" applyAlignment="0" applyProtection="0"/>
    <xf numFmtId="0" fontId="53" fillId="30" borderId="43" applyNumberFormat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38" fillId="0" borderId="1" applyNumberFormat="0" applyFont="0" applyFill="0" applyAlignment="0" applyProtection="0"/>
    <xf numFmtId="0" fontId="54" fillId="0" borderId="0" applyNumberFormat="0" applyFill="0" applyBorder="0" applyAlignment="0" applyProtection="0"/>
    <xf numFmtId="0" fontId="55" fillId="31" borderId="0" applyNumberFormat="0" applyBorder="0" applyAlignment="0" applyProtection="0"/>
    <xf numFmtId="0" fontId="56" fillId="0" borderId="44" applyNumberFormat="0" applyFill="0" applyAlignment="0" applyProtection="0"/>
    <xf numFmtId="0" fontId="57" fillId="0" borderId="45" applyNumberFormat="0" applyFill="0" applyAlignment="0" applyProtection="0"/>
    <xf numFmtId="0" fontId="58" fillId="0" borderId="46" applyNumberFormat="0" applyFill="0" applyAlignment="0" applyProtection="0"/>
    <xf numFmtId="0" fontId="58" fillId="0" borderId="0" applyNumberFormat="0" applyFill="0" applyBorder="0" applyAlignment="0" applyProtection="0"/>
    <xf numFmtId="0" fontId="38" fillId="3" borderId="2" applyNumberFormat="0" applyFont="0" applyBorder="0" applyAlignment="0" applyProtection="0"/>
    <xf numFmtId="37" fontId="37" fillId="0" borderId="0" applyBorder="0"/>
    <xf numFmtId="0" fontId="59" fillId="32" borderId="42" applyNumberFormat="0" applyAlignment="0" applyProtection="0"/>
    <xf numFmtId="0" fontId="60" fillId="0" borderId="47" applyNumberFormat="0" applyFill="0" applyAlignment="0" applyProtection="0"/>
    <xf numFmtId="0" fontId="61" fillId="33" borderId="0" applyNumberFormat="0" applyBorder="0" applyAlignment="0" applyProtection="0"/>
    <xf numFmtId="5" fontId="5" fillId="2" borderId="0"/>
    <xf numFmtId="0" fontId="19" fillId="0" borderId="0"/>
    <xf numFmtId="5" fontId="3" fillId="2" borderId="0"/>
    <xf numFmtId="0" fontId="2" fillId="0" borderId="0"/>
    <xf numFmtId="0" fontId="49" fillId="0" borderId="0"/>
    <xf numFmtId="0" fontId="9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37" fontId="3" fillId="2" borderId="0"/>
    <xf numFmtId="0" fontId="3" fillId="2" borderId="0"/>
    <xf numFmtId="0" fontId="49" fillId="34" borderId="48" applyNumberFormat="0" applyFont="0" applyAlignment="0" applyProtection="0"/>
    <xf numFmtId="0" fontId="38" fillId="0" borderId="1" applyNumberFormat="0" applyFont="0" applyFill="0" applyAlignment="0" applyProtection="0"/>
    <xf numFmtId="0" fontId="62" fillId="29" borderId="49" applyNumberFormat="0" applyAlignment="0" applyProtection="0"/>
    <xf numFmtId="0" fontId="38" fillId="0" borderId="3" applyNumberFormat="0" applyFont="0" applyFill="0" applyAlignment="0" applyProtection="0"/>
    <xf numFmtId="9" fontId="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37" fillId="0" borderId="0"/>
    <xf numFmtId="0" fontId="63" fillId="0" borderId="0" applyNumberFormat="0" applyFill="0" applyBorder="0" applyAlignment="0" applyProtection="0"/>
    <xf numFmtId="0" fontId="39" fillId="0" borderId="0">
      <alignment horizontal="center"/>
    </xf>
    <xf numFmtId="0" fontId="40" fillId="0" borderId="0">
      <alignment horizontal="center"/>
    </xf>
    <xf numFmtId="0" fontId="64" fillId="0" borderId="50" applyNumberFormat="0" applyFill="0" applyAlignment="0" applyProtection="0"/>
    <xf numFmtId="0" fontId="38" fillId="3" borderId="0" applyNumberFormat="0" applyFont="0" applyBorder="0" applyAlignment="0" applyProtection="0"/>
    <xf numFmtId="0" fontId="38" fillId="0" borderId="4" applyNumberFormat="0" applyFont="0" applyFill="0" applyAlignment="0" applyProtection="0"/>
    <xf numFmtId="0" fontId="65" fillId="0" borderId="0" applyNumberFormat="0" applyFill="0" applyBorder="0" applyAlignment="0" applyProtection="0"/>
    <xf numFmtId="5" fontId="3" fillId="2" borderId="0"/>
    <xf numFmtId="5" fontId="3" fillId="2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66" fillId="0" borderId="0"/>
    <xf numFmtId="0" fontId="9" fillId="2" borderId="0"/>
    <xf numFmtId="0" fontId="49" fillId="0" borderId="0"/>
    <xf numFmtId="44" fontId="3" fillId="0" borderId="0" applyFont="0" applyFill="0" applyBorder="0" applyAlignment="0" applyProtection="0"/>
    <xf numFmtId="0" fontId="9" fillId="2" borderId="0"/>
    <xf numFmtId="0" fontId="49" fillId="0" borderId="0"/>
    <xf numFmtId="5" fontId="3" fillId="2" borderId="0"/>
    <xf numFmtId="43" fontId="2" fillId="0" borderId="0" applyFont="0" applyFill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2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9" fillId="2" borderId="0"/>
    <xf numFmtId="44" fontId="3" fillId="0" borderId="0" applyFont="0" applyFill="0" applyBorder="0" applyAlignment="0" applyProtection="0"/>
    <xf numFmtId="0" fontId="9" fillId="2" borderId="0"/>
    <xf numFmtId="5" fontId="3" fillId="2" borderId="0"/>
    <xf numFmtId="0" fontId="49" fillId="0" borderId="0"/>
    <xf numFmtId="0" fontId="2" fillId="0" borderId="1" applyNumberFormat="0" applyFont="0" applyFill="0" applyAlignment="0" applyProtection="0"/>
    <xf numFmtId="0" fontId="2" fillId="3" borderId="2" applyNumberFormat="0" applyFon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2" fillId="0" borderId="1" applyNumberFormat="0" applyFont="0" applyFill="0" applyAlignment="0" applyProtection="0"/>
    <xf numFmtId="0" fontId="2" fillId="0" borderId="3" applyNumberFormat="0" applyFont="0" applyFill="0" applyAlignment="0" applyProtection="0"/>
    <xf numFmtId="0" fontId="2" fillId="3" borderId="0" applyNumberFormat="0" applyFont="0" applyBorder="0" applyAlignment="0" applyProtection="0"/>
    <xf numFmtId="0" fontId="2" fillId="0" borderId="4" applyNumberFormat="0" applyFont="0" applyFill="0" applyAlignment="0" applyProtection="0"/>
    <xf numFmtId="0" fontId="49" fillId="0" borderId="0"/>
    <xf numFmtId="0" fontId="49" fillId="0" borderId="0"/>
    <xf numFmtId="0" fontId="2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5" fontId="3" fillId="2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5" fontId="3" fillId="2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44" fontId="3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2" fillId="0" borderId="0" applyFont="0" applyFill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44" fontId="3" fillId="0" borderId="0" applyFont="0" applyFill="0" applyBorder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44" fontId="3" fillId="0" borderId="0" applyFont="0" applyFill="0" applyBorder="0" applyAlignment="0" applyProtection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34" borderId="48" applyNumberFormat="0" applyFont="0" applyAlignment="0" applyProtection="0"/>
    <xf numFmtId="0" fontId="9" fillId="2" borderId="0"/>
    <xf numFmtId="0" fontId="9" fillId="2" borderId="0"/>
    <xf numFmtId="0" fontId="49" fillId="0" borderId="0"/>
    <xf numFmtId="43" fontId="49" fillId="0" borderId="0" applyFont="0" applyFill="0" applyBorder="0" applyAlignment="0" applyProtection="0"/>
    <xf numFmtId="5" fontId="3" fillId="2" borderId="0"/>
    <xf numFmtId="5" fontId="3" fillId="2" borderId="0"/>
    <xf numFmtId="0" fontId="49" fillId="0" borderId="0"/>
    <xf numFmtId="43" fontId="49" fillId="0" borderId="0" applyFont="0" applyFill="0" applyBorder="0" applyAlignment="0" applyProtection="0"/>
    <xf numFmtId="5" fontId="3" fillId="2" borderId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43" fontId="2" fillId="0" borderId="0" applyFont="0" applyFill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5" fontId="3" fillId="2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5" fontId="3" fillId="2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0" borderId="0"/>
    <xf numFmtId="0" fontId="9" fillId="2" borderId="0"/>
    <xf numFmtId="0" fontId="9" fillId="2" borderId="0"/>
    <xf numFmtId="0" fontId="49" fillId="0" borderId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2" fillId="0" borderId="0" applyFont="0" applyFill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43" fontId="2" fillId="0" borderId="0" applyFont="0" applyFill="0" applyBorder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5" borderId="0" applyNumberFormat="0" applyBorder="0" applyAlignment="0" applyProtection="0"/>
    <xf numFmtId="0" fontId="49" fillId="0" borderId="0"/>
    <xf numFmtId="0" fontId="49" fillId="11" borderId="0" applyNumberFormat="0" applyBorder="0" applyAlignment="0" applyProtection="0"/>
    <xf numFmtId="0" fontId="49" fillId="5" borderId="0" applyNumberFormat="0" applyBorder="0" applyAlignment="0" applyProtection="0"/>
    <xf numFmtId="0" fontId="49" fillId="14" borderId="0" applyNumberFormat="0" applyBorder="0" applyAlignment="0" applyProtection="0"/>
    <xf numFmtId="0" fontId="49" fillId="4" borderId="0" applyNumberFormat="0" applyBorder="0" applyAlignment="0" applyProtection="0"/>
    <xf numFmtId="0" fontId="49" fillId="9" borderId="0" applyNumberFormat="0" applyBorder="0" applyAlignment="0" applyProtection="0"/>
    <xf numFmtId="0" fontId="49" fillId="14" borderId="0" applyNumberFormat="0" applyBorder="0" applyAlignment="0" applyProtection="0"/>
    <xf numFmtId="0" fontId="49" fillId="8" borderId="0" applyNumberFormat="0" applyBorder="0" applyAlignment="0" applyProtection="0"/>
    <xf numFmtId="0" fontId="49" fillId="6" borderId="0" applyNumberFormat="0" applyBorder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7" borderId="0" applyNumberFormat="0" applyBorder="0" applyAlignment="0" applyProtection="0"/>
    <xf numFmtId="43" fontId="2" fillId="0" borderId="0" applyFont="0" applyFill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5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5" borderId="0" applyNumberFormat="0" applyBorder="0" applyAlignment="0" applyProtection="0"/>
    <xf numFmtId="0" fontId="49" fillId="15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4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5" fontId="3" fillId="2" borderId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34" borderId="48" applyNumberFormat="0" applyFont="0" applyAlignment="0" applyProtection="0"/>
    <xf numFmtId="43" fontId="2" fillId="0" borderId="0" applyFont="0" applyFill="0" applyBorder="0" applyAlignment="0" applyProtection="0"/>
    <xf numFmtId="0" fontId="49" fillId="0" borderId="0"/>
    <xf numFmtId="5" fontId="3" fillId="2" borderId="0"/>
    <xf numFmtId="43" fontId="67" fillId="0" borderId="0" applyFont="0" applyFill="0" applyBorder="0" applyAlignment="0" applyProtection="0"/>
    <xf numFmtId="5" fontId="3" fillId="2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7" borderId="0" applyNumberFormat="0" applyBorder="0" applyAlignment="0" applyProtection="0"/>
    <xf numFmtId="0" fontId="9" fillId="2" borderId="0"/>
    <xf numFmtId="0" fontId="49" fillId="0" borderId="0"/>
    <xf numFmtId="0" fontId="49" fillId="12" borderId="0" applyNumberFormat="0" applyBorder="0" applyAlignment="0" applyProtection="0"/>
    <xf numFmtId="0" fontId="49" fillId="34" borderId="48" applyNumberFormat="0" applyFont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8" borderId="0" applyNumberFormat="0" applyBorder="0" applyAlignment="0" applyProtection="0"/>
    <xf numFmtId="0" fontId="49" fillId="6" borderId="0" applyNumberFormat="0" applyBorder="0" applyAlignment="0" applyProtection="0"/>
    <xf numFmtId="5" fontId="3" fillId="2" borderId="0"/>
    <xf numFmtId="0" fontId="49" fillId="12" borderId="0" applyNumberFormat="0" applyBorder="0" applyAlignment="0" applyProtection="0"/>
    <xf numFmtId="44" fontId="49" fillId="0" borderId="0" applyFont="0" applyFill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34" borderId="48" applyNumberFormat="0" applyFont="0" applyAlignment="0" applyProtection="0"/>
    <xf numFmtId="0" fontId="49" fillId="13" borderId="0" applyNumberFormat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5" fontId="3" fillId="2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9" fillId="2" borderId="0"/>
    <xf numFmtId="0" fontId="9" fillId="2" borderId="0"/>
    <xf numFmtId="0" fontId="49" fillId="9" borderId="0" applyNumberFormat="0" applyBorder="0" applyAlignment="0" applyProtection="0"/>
    <xf numFmtId="0" fontId="49" fillId="0" borderId="0"/>
    <xf numFmtId="0" fontId="49" fillId="5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14" borderId="0" applyNumberFormat="0" applyBorder="0" applyAlignment="0" applyProtection="0"/>
    <xf numFmtId="0" fontId="49" fillId="6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2" fillId="0" borderId="0" applyFont="0" applyFill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11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5" fontId="3" fillId="2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5" fontId="3" fillId="2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9" fillId="2" borderId="0"/>
    <xf numFmtId="0" fontId="49" fillId="0" borderId="0"/>
    <xf numFmtId="0" fontId="9" fillId="2" borderId="0"/>
    <xf numFmtId="0" fontId="49" fillId="0" borderId="0"/>
    <xf numFmtId="5" fontId="3" fillId="2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43" fontId="67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10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4" borderId="0" applyNumberFormat="0" applyBorder="0" applyAlignment="0" applyProtection="0"/>
    <xf numFmtId="43" fontId="2" fillId="0" borderId="0" applyFont="0" applyFill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2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2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9" fillId="2" borderId="0"/>
    <xf numFmtId="44" fontId="3" fillId="0" borderId="0" applyFont="0" applyFill="0" applyBorder="0" applyAlignment="0" applyProtection="0"/>
    <xf numFmtId="0" fontId="9" fillId="2" borderId="0"/>
    <xf numFmtId="0" fontId="49" fillId="0" borderId="0"/>
    <xf numFmtId="5" fontId="3" fillId="2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5" fontId="3" fillId="2" borderId="0"/>
    <xf numFmtId="43" fontId="2" fillId="0" borderId="0" applyFont="0" applyFill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9" fillId="2" borderId="0"/>
    <xf numFmtId="44" fontId="3" fillId="0" borderId="0" applyFont="0" applyFill="0" applyBorder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44" fontId="3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44" fontId="3" fillId="0" borderId="0" applyFont="0" applyFill="0" applyBorder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34" borderId="48" applyNumberFormat="0" applyFont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0" borderId="0"/>
    <xf numFmtId="0" fontId="9" fillId="2" borderId="0"/>
    <xf numFmtId="0" fontId="49" fillId="0" borderId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5" borderId="0" applyNumberFormat="0" applyBorder="0" applyAlignment="0" applyProtection="0"/>
    <xf numFmtId="0" fontId="49" fillId="0" borderId="0"/>
    <xf numFmtId="0" fontId="49" fillId="11" borderId="0" applyNumberFormat="0" applyBorder="0" applyAlignment="0" applyProtection="0"/>
    <xf numFmtId="0" fontId="49" fillId="5" borderId="0" applyNumberFormat="0" applyBorder="0" applyAlignment="0" applyProtection="0"/>
    <xf numFmtId="0" fontId="49" fillId="14" borderId="0" applyNumberFormat="0" applyBorder="0" applyAlignment="0" applyProtection="0"/>
    <xf numFmtId="0" fontId="49" fillId="4" borderId="0" applyNumberFormat="0" applyBorder="0" applyAlignment="0" applyProtection="0"/>
    <xf numFmtId="0" fontId="49" fillId="9" borderId="0" applyNumberFormat="0" applyBorder="0" applyAlignment="0" applyProtection="0"/>
    <xf numFmtId="0" fontId="49" fillId="14" borderId="0" applyNumberFormat="0" applyBorder="0" applyAlignment="0" applyProtection="0"/>
    <xf numFmtId="0" fontId="49" fillId="8" borderId="0" applyNumberFormat="0" applyBorder="0" applyAlignment="0" applyProtection="0"/>
    <xf numFmtId="0" fontId="49" fillId="6" borderId="0" applyNumberFormat="0" applyBorder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7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5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5" borderId="0" applyNumberFormat="0" applyBorder="0" applyAlignment="0" applyProtection="0"/>
    <xf numFmtId="0" fontId="49" fillId="15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4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7" borderId="0" applyNumberFormat="0" applyBorder="0" applyAlignment="0" applyProtection="0"/>
    <xf numFmtId="0" fontId="49" fillId="0" borderId="0"/>
    <xf numFmtId="0" fontId="49" fillId="12" borderId="0" applyNumberFormat="0" applyBorder="0" applyAlignment="0" applyProtection="0"/>
    <xf numFmtId="0" fontId="49" fillId="34" borderId="48" applyNumberFormat="0" applyFont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8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44" fontId="49" fillId="0" borderId="0" applyFont="0" applyFill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34" borderId="48" applyNumberFormat="0" applyFont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9" borderId="0" applyNumberFormat="0" applyBorder="0" applyAlignment="0" applyProtection="0"/>
    <xf numFmtId="0" fontId="49" fillId="0" borderId="0"/>
    <xf numFmtId="0" fontId="49" fillId="5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14" borderId="0" applyNumberFormat="0" applyBorder="0" applyAlignment="0" applyProtection="0"/>
    <xf numFmtId="0" fontId="49" fillId="0" borderId="0"/>
    <xf numFmtId="0" fontId="49" fillId="6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11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10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15" borderId="0" applyNumberFormat="0" applyBorder="0" applyAlignment="0" applyProtection="0"/>
    <xf numFmtId="0" fontId="49" fillId="14" borderId="0" applyNumberFormat="0" applyBorder="0" applyAlignment="0" applyProtection="0"/>
    <xf numFmtId="0" fontId="49" fillId="13" borderId="0" applyNumberFormat="0" applyBorder="0" applyAlignment="0" applyProtection="0"/>
    <xf numFmtId="0" fontId="49" fillId="12" borderId="0" applyNumberFormat="0" applyBorder="0" applyAlignment="0" applyProtection="0"/>
    <xf numFmtId="0" fontId="49" fillId="11" borderId="0" applyNumberFormat="0" applyBorder="0" applyAlignment="0" applyProtection="0"/>
    <xf numFmtId="0" fontId="49" fillId="10" borderId="0" applyNumberFormat="0" applyBorder="0" applyAlignment="0" applyProtection="0"/>
    <xf numFmtId="0" fontId="49" fillId="9" borderId="0" applyNumberFormat="0" applyBorder="0" applyAlignment="0" applyProtection="0"/>
    <xf numFmtId="0" fontId="49" fillId="8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7" borderId="0" applyNumberFormat="0" applyBorder="0" applyAlignment="0" applyProtection="0"/>
    <xf numFmtId="0" fontId="49" fillId="6" borderId="0" applyNumberFormat="0" applyBorder="0" applyAlignment="0" applyProtection="0"/>
    <xf numFmtId="0" fontId="49" fillId="5" borderId="0" applyNumberFormat="0" applyBorder="0" applyAlignment="0" applyProtection="0"/>
    <xf numFmtId="0" fontId="49" fillId="4" borderId="0" applyNumberFormat="0" applyBorder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10" borderId="0" applyNumberFormat="0" applyBorder="0" applyAlignment="0" applyProtection="0"/>
    <xf numFmtId="0" fontId="49" fillId="5" borderId="0" applyNumberFormat="0" applyBorder="0" applyAlignment="0" applyProtection="0"/>
    <xf numFmtId="0" fontId="49" fillId="11" borderId="0" applyNumberFormat="0" applyBorder="0" applyAlignment="0" applyProtection="0"/>
    <xf numFmtId="0" fontId="49" fillId="6" borderId="0" applyNumberFormat="0" applyBorder="0" applyAlignment="0" applyProtection="0"/>
    <xf numFmtId="0" fontId="49" fillId="12" borderId="0" applyNumberFormat="0" applyBorder="0" applyAlignment="0" applyProtection="0"/>
    <xf numFmtId="0" fontId="49" fillId="7" borderId="0" applyNumberFormat="0" applyBorder="0" applyAlignment="0" applyProtection="0"/>
    <xf numFmtId="0" fontId="49" fillId="13" borderId="0" applyNumberFormat="0" applyBorder="0" applyAlignment="0" applyProtection="0"/>
    <xf numFmtId="0" fontId="49" fillId="8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15" borderId="0" applyNumberFormat="0" applyBorder="0" applyAlignment="0" applyProtection="0"/>
    <xf numFmtId="43" fontId="2" fillId="0" borderId="0" applyFont="0" applyFill="0" applyBorder="0" applyAlignment="0" applyProtection="0"/>
    <xf numFmtId="0" fontId="49" fillId="0" borderId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2" fillId="0" borderId="0"/>
    <xf numFmtId="0" fontId="2" fillId="0" borderId="0"/>
    <xf numFmtId="0" fontId="49" fillId="0" borderId="0"/>
    <xf numFmtId="0" fontId="9" fillId="2" borderId="0"/>
    <xf numFmtId="44" fontId="3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9" fillId="2" borderId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2" fillId="0" borderId="0"/>
    <xf numFmtId="44" fontId="49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9" fillId="2" borderId="0"/>
    <xf numFmtId="0" fontId="2" fillId="0" borderId="0"/>
    <xf numFmtId="5" fontId="3" fillId="2" borderId="0"/>
    <xf numFmtId="5" fontId="3" fillId="2" borderId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2" fillId="0" borderId="0"/>
    <xf numFmtId="0" fontId="49" fillId="0" borderId="0"/>
    <xf numFmtId="44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9" fontId="2" fillId="0" borderId="0" applyFont="0" applyFill="0" applyBorder="0" applyAlignment="0" applyProtection="0"/>
    <xf numFmtId="5" fontId="3" fillId="2" borderId="0"/>
    <xf numFmtId="0" fontId="49" fillId="0" borderId="0"/>
    <xf numFmtId="0" fontId="49" fillId="0" borderId="0"/>
    <xf numFmtId="0" fontId="49" fillId="0" borderId="0"/>
    <xf numFmtId="0" fontId="2" fillId="0" borderId="0"/>
    <xf numFmtId="5" fontId="3" fillId="2" borderId="0"/>
    <xf numFmtId="43" fontId="67" fillId="0" borderId="0" applyFont="0" applyFill="0" applyBorder="0" applyAlignment="0" applyProtection="0"/>
    <xf numFmtId="0" fontId="2" fillId="0" borderId="0"/>
    <xf numFmtId="0" fontId="49" fillId="0" borderId="0"/>
    <xf numFmtId="0" fontId="49" fillId="0" borderId="0"/>
    <xf numFmtId="0" fontId="49" fillId="0" borderId="0"/>
    <xf numFmtId="0" fontId="9" fillId="2" borderId="0"/>
    <xf numFmtId="0" fontId="9" fillId="2" borderId="0"/>
    <xf numFmtId="0" fontId="2" fillId="0" borderId="1" applyNumberFormat="0" applyFont="0" applyFill="0" applyAlignment="0" applyProtection="0"/>
    <xf numFmtId="0" fontId="2" fillId="3" borderId="2" applyNumberFormat="0" applyFont="0" applyBorder="0" applyAlignment="0" applyProtection="0"/>
    <xf numFmtId="0" fontId="2" fillId="0" borderId="1" applyNumberFormat="0" applyFont="0" applyFill="0" applyAlignment="0" applyProtection="0"/>
    <xf numFmtId="0" fontId="2" fillId="0" borderId="3" applyNumberFormat="0" applyFont="0" applyFill="0" applyAlignment="0" applyProtection="0"/>
    <xf numFmtId="0" fontId="2" fillId="3" borderId="0" applyNumberFormat="0" applyFont="0" applyBorder="0" applyAlignment="0" applyProtection="0"/>
    <xf numFmtId="0" fontId="2" fillId="0" borderId="4" applyNumberFormat="0" applyFont="0" applyFill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43" fontId="2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9" fillId="2" borderId="0"/>
    <xf numFmtId="44" fontId="49" fillId="0" borderId="0" applyFont="0" applyFill="0" applyBorder="0" applyAlignment="0" applyProtection="0"/>
    <xf numFmtId="0" fontId="49" fillId="0" borderId="0"/>
    <xf numFmtId="44" fontId="3" fillId="0" borderId="0" applyFont="0" applyFill="0" applyBorder="0" applyAlignment="0" applyProtection="0"/>
    <xf numFmtId="0" fontId="2" fillId="0" borderId="0"/>
    <xf numFmtId="0" fontId="49" fillId="0" borderId="0"/>
    <xf numFmtId="0" fontId="9" fillId="2" borderId="0"/>
    <xf numFmtId="0" fontId="9" fillId="2" borderId="0"/>
    <xf numFmtId="5" fontId="3" fillId="2" borderId="0"/>
    <xf numFmtId="43" fontId="49" fillId="0" borderId="0" applyFont="0" applyFill="0" applyBorder="0" applyAlignment="0" applyProtection="0"/>
    <xf numFmtId="0" fontId="2" fillId="0" borderId="1" applyNumberFormat="0" applyFont="0" applyFill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9" fillId="2" borderId="0"/>
    <xf numFmtId="43" fontId="67" fillId="0" borderId="0" applyFont="0" applyFill="0" applyBorder="0" applyAlignment="0" applyProtection="0"/>
    <xf numFmtId="0" fontId="49" fillId="0" borderId="0"/>
    <xf numFmtId="0" fontId="2" fillId="0" borderId="3" applyNumberFormat="0" applyFont="0" applyFill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67" fillId="0" borderId="0" applyFont="0" applyFill="0" applyBorder="0" applyAlignment="0" applyProtection="0"/>
    <xf numFmtId="5" fontId="3" fillId="2" borderId="0"/>
    <xf numFmtId="43" fontId="2" fillId="0" borderId="0" applyFont="0" applyFill="0" applyBorder="0" applyAlignment="0" applyProtection="0"/>
    <xf numFmtId="0" fontId="9" fillId="2" borderId="0"/>
    <xf numFmtId="0" fontId="49" fillId="0" borderId="0"/>
    <xf numFmtId="0" fontId="9" fillId="2" borderId="0"/>
    <xf numFmtId="0" fontId="49" fillId="0" borderId="0"/>
    <xf numFmtId="0" fontId="2" fillId="0" borderId="4" applyNumberFormat="0" applyFont="0" applyFill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9" fillId="2" borderId="0"/>
    <xf numFmtId="0" fontId="49" fillId="0" borderId="0"/>
    <xf numFmtId="0" fontId="66" fillId="0" borderId="0"/>
    <xf numFmtId="5" fontId="3" fillId="2" borderId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9" fillId="2" borderId="0"/>
    <xf numFmtId="43" fontId="67" fillId="0" borderId="0" applyFont="0" applyFill="0" applyBorder="0" applyAlignment="0" applyProtection="0"/>
    <xf numFmtId="0" fontId="49" fillId="0" borderId="0"/>
    <xf numFmtId="43" fontId="67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9" fillId="2" borderId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9" fillId="0" borderId="0"/>
    <xf numFmtId="44" fontId="3" fillId="0" borderId="0" applyFont="0" applyFill="0" applyBorder="0" applyAlignment="0" applyProtection="0"/>
    <xf numFmtId="5" fontId="3" fillId="2" borderId="0"/>
    <xf numFmtId="0" fontId="66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5" fontId="3" fillId="2" borderId="0"/>
    <xf numFmtId="0" fontId="49" fillId="0" borderId="0"/>
    <xf numFmtId="44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2" fillId="0" borderId="0"/>
    <xf numFmtId="0" fontId="66" fillId="0" borderId="0"/>
    <xf numFmtId="0" fontId="2" fillId="3" borderId="2" applyNumberFormat="0" applyFont="0" applyBorder="0" applyAlignment="0" applyProtection="0"/>
    <xf numFmtId="0" fontId="2" fillId="0" borderId="0"/>
    <xf numFmtId="0" fontId="9" fillId="2" borderId="0"/>
    <xf numFmtId="44" fontId="3" fillId="0" borderId="0" applyFont="0" applyFill="0" applyBorder="0" applyAlignment="0" applyProtection="0"/>
    <xf numFmtId="0" fontId="66" fillId="0" borderId="0"/>
    <xf numFmtId="0" fontId="2" fillId="0" borderId="0"/>
    <xf numFmtId="0" fontId="2" fillId="0" borderId="1" applyNumberFormat="0" applyFont="0" applyFill="0" applyAlignment="0" applyProtection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9" fillId="0" borderId="0"/>
    <xf numFmtId="0" fontId="49" fillId="0" borderId="0"/>
    <xf numFmtId="0" fontId="2" fillId="3" borderId="0" applyNumberFormat="0" applyFont="0" applyBorder="0" applyAlignment="0" applyProtection="0"/>
    <xf numFmtId="0" fontId="2" fillId="0" borderId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2" borderId="0"/>
    <xf numFmtId="5" fontId="3" fillId="2" borderId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5" fontId="3" fillId="2" borderId="0"/>
    <xf numFmtId="0" fontId="49" fillId="0" borderId="0"/>
    <xf numFmtId="44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4" borderId="0" applyNumberFormat="0" applyBorder="0" applyAlignment="0" applyProtection="0"/>
    <xf numFmtId="0" fontId="49" fillId="5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9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0" fontId="49" fillId="34" borderId="48" applyNumberFormat="0" applyFont="0" applyAlignment="0" applyProtection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6" fillId="0" borderId="0"/>
    <xf numFmtId="44" fontId="3" fillId="0" borderId="0" applyFont="0" applyFill="0" applyBorder="0" applyAlignment="0" applyProtection="0"/>
    <xf numFmtId="0" fontId="74" fillId="0" borderId="0"/>
    <xf numFmtId="9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3" fillId="2" borderId="0"/>
    <xf numFmtId="0" fontId="2" fillId="0" borderId="0">
      <alignment vertical="center"/>
    </xf>
    <xf numFmtId="0" fontId="74" fillId="0" borderId="0"/>
    <xf numFmtId="183" fontId="99" fillId="0" borderId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17">
    <xf numFmtId="5" fontId="0" fillId="2" borderId="0" xfId="0"/>
    <xf numFmtId="0" fontId="3" fillId="0" borderId="0" xfId="55" applyFill="1"/>
    <xf numFmtId="0" fontId="3" fillId="0" borderId="0" xfId="60" applyFill="1"/>
    <xf numFmtId="5" fontId="4" fillId="0" borderId="0" xfId="0" applyFont="1" applyFill="1"/>
    <xf numFmtId="0" fontId="4" fillId="0" borderId="0" xfId="62" applyFont="1" applyFill="1" applyAlignment="1">
      <alignment horizontal="left"/>
    </xf>
    <xf numFmtId="0" fontId="9" fillId="0" borderId="0" xfId="62" applyFont="1" applyFill="1"/>
    <xf numFmtId="0" fontId="9" fillId="0" borderId="0" xfId="62" applyFont="1" applyFill="1" applyAlignment="1">
      <alignment horizontal="left"/>
    </xf>
    <xf numFmtId="0" fontId="10" fillId="0" borderId="0" xfId="62" applyFont="1" applyFill="1"/>
    <xf numFmtId="1" fontId="9" fillId="0" borderId="0" xfId="62" applyNumberFormat="1" applyFont="1" applyFill="1"/>
    <xf numFmtId="37" fontId="9" fillId="0" borderId="0" xfId="62" applyNumberFormat="1" applyFont="1" applyFill="1"/>
    <xf numFmtId="37" fontId="9" fillId="0" borderId="7" xfId="62" applyNumberFormat="1" applyFont="1" applyFill="1" applyBorder="1"/>
    <xf numFmtId="10" fontId="9" fillId="0" borderId="0" xfId="62" applyNumberFormat="1" applyFont="1" applyFill="1"/>
    <xf numFmtId="0" fontId="11" fillId="0" borderId="0" xfId="62" applyFont="1" applyFill="1"/>
    <xf numFmtId="0" fontId="9" fillId="0" borderId="0" xfId="63" applyFont="1" applyFill="1" applyAlignment="1">
      <alignment horizontal="center"/>
    </xf>
    <xf numFmtId="0" fontId="9" fillId="0" borderId="7" xfId="63" applyFont="1" applyFill="1" applyBorder="1" applyAlignment="1">
      <alignment horizontal="center"/>
    </xf>
    <xf numFmtId="0" fontId="8" fillId="0" borderId="0" xfId="55" applyFont="1" applyFill="1"/>
    <xf numFmtId="0" fontId="6" fillId="0" borderId="0" xfId="55" applyFont="1" applyFill="1"/>
    <xf numFmtId="0" fontId="8" fillId="0" borderId="0" xfId="55" applyFont="1" applyFill="1" applyAlignment="1">
      <alignment horizontal="center"/>
    </xf>
    <xf numFmtId="0" fontId="6" fillId="0" borderId="0" xfId="55" applyFont="1" applyFill="1" applyAlignment="1">
      <alignment horizontal="center"/>
    </xf>
    <xf numFmtId="6" fontId="9" fillId="0" borderId="0" xfId="62" applyNumberFormat="1" applyFont="1" applyFill="1"/>
    <xf numFmtId="38" fontId="9" fillId="0" borderId="0" xfId="62" applyNumberFormat="1" applyFont="1" applyFill="1"/>
    <xf numFmtId="8" fontId="9" fillId="0" borderId="0" xfId="62" applyNumberFormat="1" applyFont="1" applyFill="1"/>
    <xf numFmtId="0" fontId="23" fillId="0" borderId="0" xfId="62" applyFont="1" applyFill="1"/>
    <xf numFmtId="17" fontId="3" fillId="0" borderId="0" xfId="60" applyNumberFormat="1" applyFill="1" applyAlignment="1">
      <alignment horizontal="left"/>
    </xf>
    <xf numFmtId="0" fontId="3" fillId="0" borderId="0" xfId="55" applyFill="1" applyAlignment="1">
      <alignment horizontal="center"/>
    </xf>
    <xf numFmtId="38" fontId="0" fillId="2" borderId="0" xfId="0" applyNumberFormat="1"/>
    <xf numFmtId="5" fontId="4" fillId="2" borderId="0" xfId="0" applyFont="1"/>
    <xf numFmtId="1" fontId="9" fillId="0" borderId="20" xfId="62" applyNumberFormat="1" applyFont="1" applyFill="1" applyBorder="1" applyAlignment="1">
      <alignment horizontal="center"/>
    </xf>
    <xf numFmtId="38" fontId="4" fillId="2" borderId="0" xfId="0" applyNumberFormat="1" applyFont="1"/>
    <xf numFmtId="38" fontId="9" fillId="0" borderId="7" xfId="62" applyNumberFormat="1" applyFont="1" applyFill="1" applyBorder="1"/>
    <xf numFmtId="0" fontId="32" fillId="0" borderId="0" xfId="62" applyFont="1" applyFill="1"/>
    <xf numFmtId="41" fontId="9" fillId="0" borderId="0" xfId="62" applyNumberFormat="1" applyFont="1" applyFill="1"/>
    <xf numFmtId="0" fontId="8" fillId="0" borderId="0" xfId="55" applyFont="1" applyFill="1" applyAlignment="1">
      <alignment horizontal="left"/>
    </xf>
    <xf numFmtId="6" fontId="32" fillId="0" borderId="0" xfId="62" applyNumberFormat="1" applyFont="1" applyFill="1"/>
    <xf numFmtId="10" fontId="32" fillId="0" borderId="0" xfId="62" applyNumberFormat="1" applyFont="1" applyFill="1"/>
    <xf numFmtId="5" fontId="32" fillId="0" borderId="0" xfId="62" applyNumberFormat="1" applyFont="1" applyFill="1"/>
    <xf numFmtId="0" fontId="31" fillId="0" borderId="0" xfId="62" applyFont="1" applyFill="1"/>
    <xf numFmtId="0" fontId="17" fillId="0" borderId="0" xfId="63" applyFont="1" applyFill="1" applyAlignment="1">
      <alignment horizontal="center"/>
    </xf>
    <xf numFmtId="0" fontId="17" fillId="0" borderId="7" xfId="63" quotePrefix="1" applyFont="1" applyFill="1" applyBorder="1" applyAlignment="1">
      <alignment horizontal="center"/>
    </xf>
    <xf numFmtId="0" fontId="17" fillId="0" borderId="7" xfId="63" applyFont="1" applyFill="1" applyBorder="1" applyAlignment="1">
      <alignment horizontal="center"/>
    </xf>
    <xf numFmtId="167" fontId="9" fillId="0" borderId="0" xfId="62" applyNumberFormat="1" applyFont="1" applyFill="1"/>
    <xf numFmtId="5" fontId="9" fillId="0" borderId="0" xfId="62" applyNumberFormat="1" applyFont="1" applyFill="1"/>
    <xf numFmtId="7" fontId="9" fillId="0" borderId="0" xfId="62" applyNumberFormat="1" applyFont="1" applyFill="1"/>
    <xf numFmtId="0" fontId="31" fillId="0" borderId="0" xfId="65" applyFont="1" applyFill="1" applyAlignment="1">
      <alignment horizontal="center"/>
    </xf>
    <xf numFmtId="0" fontId="29" fillId="0" borderId="0" xfId="62" applyFont="1" applyFill="1"/>
    <xf numFmtId="0" fontId="9" fillId="0" borderId="0" xfId="62" applyFont="1" applyFill="1" applyAlignment="1">
      <alignment horizontal="center"/>
    </xf>
    <xf numFmtId="0" fontId="9" fillId="0" borderId="0" xfId="65" applyFont="1" applyFill="1" applyAlignment="1">
      <alignment horizontal="center"/>
    </xf>
    <xf numFmtId="5" fontId="3" fillId="0" borderId="0" xfId="49" applyFill="1"/>
    <xf numFmtId="9" fontId="3" fillId="0" borderId="0" xfId="49" applyNumberFormat="1" applyFill="1" applyAlignment="1">
      <alignment horizontal="center"/>
    </xf>
    <xf numFmtId="0" fontId="2" fillId="0" borderId="0" xfId="62" applyFont="1" applyFill="1" applyAlignment="1">
      <alignment horizontal="center"/>
    </xf>
    <xf numFmtId="5" fontId="2" fillId="0" borderId="0" xfId="49" applyFont="1" applyFill="1" applyAlignment="1">
      <alignment horizontal="center"/>
    </xf>
    <xf numFmtId="5" fontId="22" fillId="0" borderId="0" xfId="49" applyFont="1" applyFill="1"/>
    <xf numFmtId="171" fontId="3" fillId="0" borderId="0" xfId="49" applyNumberFormat="1" applyFill="1"/>
    <xf numFmtId="5" fontId="30" fillId="0" borderId="0" xfId="49" applyFont="1" applyFill="1"/>
    <xf numFmtId="0" fontId="31" fillId="0" borderId="0" xfId="62" applyFont="1" applyFill="1" applyAlignment="1">
      <alignment horizontal="center"/>
    </xf>
    <xf numFmtId="0" fontId="2" fillId="0" borderId="0" xfId="62" applyFont="1" applyFill="1"/>
    <xf numFmtId="0" fontId="35" fillId="0" borderId="0" xfId="62" applyFont="1" applyFill="1"/>
    <xf numFmtId="5" fontId="2" fillId="0" borderId="0" xfId="49" applyFont="1" applyFill="1"/>
    <xf numFmtId="0" fontId="17" fillId="0" borderId="0" xfId="62" applyFont="1" applyFill="1" applyAlignment="1">
      <alignment horizontal="center"/>
    </xf>
    <xf numFmtId="0" fontId="29" fillId="0" borderId="0" xfId="62" applyFont="1" applyFill="1" applyAlignment="1">
      <alignment horizontal="left"/>
    </xf>
    <xf numFmtId="0" fontId="29" fillId="0" borderId="12" xfId="62" applyFont="1" applyFill="1" applyBorder="1"/>
    <xf numFmtId="5" fontId="29" fillId="0" borderId="0" xfId="49" applyFont="1" applyFill="1"/>
    <xf numFmtId="0" fontId="32" fillId="0" borderId="13" xfId="62" applyFont="1" applyFill="1" applyBorder="1" applyAlignment="1">
      <alignment horizontal="center"/>
    </xf>
    <xf numFmtId="6" fontId="29" fillId="0" borderId="0" xfId="62" applyNumberFormat="1" applyFont="1" applyFill="1"/>
    <xf numFmtId="0" fontId="9" fillId="0" borderId="7" xfId="62" applyFont="1" applyFill="1" applyBorder="1" applyAlignment="1">
      <alignment horizontal="center"/>
    </xf>
    <xf numFmtId="0" fontId="32" fillId="0" borderId="25" xfId="62" applyFont="1" applyFill="1" applyBorder="1" applyAlignment="1">
      <alignment horizontal="center"/>
    </xf>
    <xf numFmtId="0" fontId="29" fillId="0" borderId="14" xfId="62" applyFont="1" applyFill="1" applyBorder="1"/>
    <xf numFmtId="0" fontId="29" fillId="0" borderId="15" xfId="62" applyFont="1" applyFill="1" applyBorder="1"/>
    <xf numFmtId="6" fontId="9" fillId="0" borderId="15" xfId="63" applyNumberFormat="1" applyFont="1" applyFill="1" applyBorder="1" applyAlignment="1">
      <alignment horizontal="center"/>
    </xf>
    <xf numFmtId="6" fontId="9" fillId="0" borderId="15" xfId="62" applyNumberFormat="1" applyFont="1" applyFill="1" applyBorder="1" applyAlignment="1">
      <alignment horizontal="center"/>
    </xf>
    <xf numFmtId="6" fontId="32" fillId="0" borderId="16" xfId="62" applyNumberFormat="1" applyFont="1" applyFill="1" applyBorder="1"/>
    <xf numFmtId="10" fontId="29" fillId="0" borderId="0" xfId="62" applyNumberFormat="1" applyFont="1" applyFill="1"/>
    <xf numFmtId="5" fontId="15" fillId="0" borderId="0" xfId="49" applyFont="1" applyFill="1"/>
    <xf numFmtId="5" fontId="28" fillId="0" borderId="0" xfId="49" applyFont="1" applyFill="1"/>
    <xf numFmtId="38" fontId="2" fillId="0" borderId="0" xfId="49" applyNumberFormat="1" applyFont="1" applyFill="1" applyAlignment="1">
      <alignment horizontal="right"/>
    </xf>
    <xf numFmtId="5" fontId="28" fillId="0" borderId="0" xfId="49" applyFont="1" applyFill="1" applyAlignment="1">
      <alignment horizontal="right"/>
    </xf>
    <xf numFmtId="5" fontId="30" fillId="0" borderId="0" xfId="49" applyFont="1" applyFill="1" applyAlignment="1">
      <alignment horizontal="right"/>
    </xf>
    <xf numFmtId="5" fontId="3" fillId="0" borderId="0" xfId="49" applyFill="1" applyAlignment="1">
      <alignment horizontal="right"/>
    </xf>
    <xf numFmtId="6" fontId="30" fillId="0" borderId="0" xfId="49" applyNumberFormat="1" applyFont="1" applyFill="1" applyAlignment="1">
      <alignment horizontal="right"/>
    </xf>
    <xf numFmtId="5" fontId="27" fillId="0" borderId="0" xfId="49" applyFont="1" applyFill="1"/>
    <xf numFmtId="5" fontId="36" fillId="0" borderId="0" xfId="49" applyFont="1" applyFill="1"/>
    <xf numFmtId="0" fontId="25" fillId="0" borderId="0" xfId="49" applyNumberFormat="1" applyFont="1" applyFill="1" applyProtection="1">
      <protection locked="0"/>
    </xf>
    <xf numFmtId="0" fontId="27" fillId="0" borderId="0" xfId="49" applyNumberFormat="1" applyFont="1" applyFill="1" applyAlignment="1" applyProtection="1">
      <alignment horizontal="right"/>
      <protection locked="0"/>
    </xf>
    <xf numFmtId="10" fontId="27" fillId="0" borderId="0" xfId="49" applyNumberFormat="1" applyFont="1" applyFill="1" applyAlignment="1" applyProtection="1">
      <alignment horizontal="center"/>
      <protection locked="0"/>
    </xf>
    <xf numFmtId="5" fontId="30" fillId="0" borderId="0" xfId="49" applyFont="1" applyFill="1" applyAlignment="1" applyProtection="1">
      <alignment horizontal="right"/>
      <protection locked="0"/>
    </xf>
    <xf numFmtId="5" fontId="2" fillId="0" borderId="0" xfId="49" applyFont="1" applyFill="1" applyProtection="1">
      <protection locked="0"/>
    </xf>
    <xf numFmtId="5" fontId="36" fillId="0" borderId="0" xfId="49" applyFont="1" applyFill="1" applyAlignment="1" applyProtection="1">
      <alignment horizontal="right"/>
      <protection locked="0"/>
    </xf>
    <xf numFmtId="166" fontId="30" fillId="0" borderId="0" xfId="49" applyNumberFormat="1" applyFont="1" applyFill="1" applyAlignment="1">
      <alignment horizontal="right"/>
    </xf>
    <xf numFmtId="5" fontId="27" fillId="0" borderId="0" xfId="49" applyFont="1" applyFill="1" applyProtection="1">
      <protection locked="0"/>
    </xf>
    <xf numFmtId="5" fontId="36" fillId="0" borderId="0" xfId="49" applyFont="1" applyFill="1" applyAlignment="1">
      <alignment horizontal="right"/>
    </xf>
    <xf numFmtId="0" fontId="2" fillId="0" borderId="0" xfId="49" applyNumberFormat="1" applyFont="1" applyFill="1" applyProtection="1">
      <protection locked="0"/>
    </xf>
    <xf numFmtId="6" fontId="3" fillId="0" borderId="0" xfId="49" applyNumberFormat="1" applyFill="1"/>
    <xf numFmtId="164" fontId="27" fillId="0" borderId="0" xfId="49" applyNumberFormat="1" applyFont="1" applyFill="1" applyProtection="1">
      <protection locked="0"/>
    </xf>
    <xf numFmtId="6" fontId="36" fillId="0" borderId="0" xfId="49" applyNumberFormat="1" applyFont="1" applyFill="1"/>
    <xf numFmtId="0" fontId="27" fillId="0" borderId="0" xfId="49" applyNumberFormat="1" applyFont="1" applyFill="1" applyProtection="1">
      <protection locked="0"/>
    </xf>
    <xf numFmtId="6" fontId="36" fillId="0" borderId="0" xfId="49" applyNumberFormat="1" applyFont="1" applyFill="1" applyProtection="1">
      <protection locked="0"/>
    </xf>
    <xf numFmtId="6" fontId="30" fillId="0" borderId="0" xfId="49" applyNumberFormat="1" applyFont="1" applyFill="1"/>
    <xf numFmtId="5" fontId="4" fillId="0" borderId="0" xfId="49" applyFont="1" applyFill="1"/>
    <xf numFmtId="0" fontId="3" fillId="0" borderId="0" xfId="56" applyFill="1"/>
    <xf numFmtId="37" fontId="4" fillId="0" borderId="0" xfId="56" applyNumberFormat="1" applyFont="1" applyFill="1"/>
    <xf numFmtId="0" fontId="4" fillId="0" borderId="0" xfId="56" applyFont="1" applyFill="1"/>
    <xf numFmtId="5" fontId="4" fillId="0" borderId="0" xfId="56" applyNumberFormat="1" applyFont="1" applyFill="1"/>
    <xf numFmtId="0" fontId="2" fillId="0" borderId="0" xfId="56" applyFont="1" applyFill="1" applyAlignment="1">
      <alignment horizontal="center"/>
    </xf>
    <xf numFmtId="0" fontId="3" fillId="0" borderId="15" xfId="56" applyFill="1" applyBorder="1"/>
    <xf numFmtId="0" fontId="27" fillId="0" borderId="15" xfId="56" applyFont="1" applyFill="1" applyBorder="1" applyAlignment="1">
      <alignment horizontal="center"/>
    </xf>
    <xf numFmtId="0" fontId="3" fillId="0" borderId="0" xfId="56" applyFill="1" applyAlignment="1">
      <alignment horizontal="center"/>
    </xf>
    <xf numFmtId="0" fontId="3" fillId="0" borderId="7" xfId="56" applyFill="1" applyBorder="1" applyAlignment="1">
      <alignment horizontal="left"/>
    </xf>
    <xf numFmtId="0" fontId="3" fillId="0" borderId="0" xfId="56" applyFill="1" applyAlignment="1">
      <alignment horizontal="left"/>
    </xf>
    <xf numFmtId="0" fontId="41" fillId="0" borderId="0" xfId="56" applyFont="1" applyFill="1" applyAlignment="1">
      <alignment horizontal="right"/>
    </xf>
    <xf numFmtId="0" fontId="41" fillId="0" borderId="0" xfId="56" applyFont="1" applyFill="1" applyAlignment="1">
      <alignment horizontal="center"/>
    </xf>
    <xf numFmtId="0" fontId="41" fillId="0" borderId="0" xfId="56" applyFont="1" applyFill="1"/>
    <xf numFmtId="0" fontId="16" fillId="0" borderId="0" xfId="56" applyFont="1" applyFill="1" applyAlignment="1">
      <alignment horizontal="center"/>
    </xf>
    <xf numFmtId="5" fontId="3" fillId="0" borderId="0" xfId="56" applyNumberFormat="1" applyFill="1"/>
    <xf numFmtId="38" fontId="3" fillId="0" borderId="0" xfId="56" applyNumberFormat="1" applyFill="1"/>
    <xf numFmtId="7" fontId="3" fillId="0" borderId="0" xfId="56" applyNumberFormat="1" applyFill="1"/>
    <xf numFmtId="5" fontId="3" fillId="2" borderId="0" xfId="0" applyFont="1"/>
    <xf numFmtId="37" fontId="3" fillId="0" borderId="0" xfId="56" applyNumberFormat="1" applyFill="1"/>
    <xf numFmtId="39" fontId="3" fillId="0" borderId="0" xfId="56" applyNumberFormat="1" applyFill="1"/>
    <xf numFmtId="0" fontId="4" fillId="0" borderId="15" xfId="56" applyFont="1" applyFill="1" applyBorder="1"/>
    <xf numFmtId="0" fontId="23" fillId="0" borderId="0" xfId="60" applyFont="1" applyFill="1"/>
    <xf numFmtId="0" fontId="20" fillId="0" borderId="0" xfId="60" applyFont="1" applyFill="1"/>
    <xf numFmtId="0" fontId="42" fillId="0" borderId="0" xfId="60" applyFont="1" applyFill="1"/>
    <xf numFmtId="0" fontId="4" fillId="0" borderId="0" xfId="56" applyFont="1" applyFill="1" applyAlignment="1">
      <alignment horizontal="center"/>
    </xf>
    <xf numFmtId="6" fontId="3" fillId="0" borderId="0" xfId="56" applyNumberFormat="1" applyFill="1"/>
    <xf numFmtId="3" fontId="3" fillId="0" borderId="0" xfId="56" applyNumberFormat="1" applyFill="1"/>
    <xf numFmtId="40" fontId="0" fillId="2" borderId="0" xfId="0" applyNumberFormat="1"/>
    <xf numFmtId="0" fontId="15" fillId="0" borderId="0" xfId="56" applyFont="1" applyFill="1"/>
    <xf numFmtId="10" fontId="3" fillId="0" borderId="0" xfId="56" applyNumberFormat="1" applyFill="1"/>
    <xf numFmtId="168" fontId="4" fillId="2" borderId="0" xfId="0" applyNumberFormat="1" applyFont="1" applyAlignment="1">
      <alignment horizontal="left"/>
    </xf>
    <xf numFmtId="168" fontId="0" fillId="2" borderId="0" xfId="0" applyNumberFormat="1"/>
    <xf numFmtId="5" fontId="29" fillId="2" borderId="0" xfId="0" applyFont="1"/>
    <xf numFmtId="7" fontId="29" fillId="2" borderId="0" xfId="0" applyNumberFormat="1" applyFont="1" applyAlignment="1">
      <alignment horizontal="left"/>
    </xf>
    <xf numFmtId="0" fontId="15" fillId="0" borderId="0" xfId="56" applyFont="1" applyFill="1" applyAlignment="1">
      <alignment horizontal="center"/>
    </xf>
    <xf numFmtId="0" fontId="9" fillId="0" borderId="0" xfId="65" applyFont="1" applyFill="1"/>
    <xf numFmtId="37" fontId="32" fillId="0" borderId="0" xfId="65" applyNumberFormat="1" applyFont="1" applyFill="1"/>
    <xf numFmtId="0" fontId="32" fillId="0" borderId="0" xfId="65" applyFont="1" applyFill="1"/>
    <xf numFmtId="5" fontId="32" fillId="0" borderId="0" xfId="65" applyNumberFormat="1" applyFont="1" applyFill="1"/>
    <xf numFmtId="0" fontId="24" fillId="0" borderId="0" xfId="65" applyFont="1" applyFill="1"/>
    <xf numFmtId="0" fontId="9" fillId="0" borderId="15" xfId="65" applyFont="1" applyFill="1" applyBorder="1" applyAlignment="1">
      <alignment horizontal="center"/>
    </xf>
    <xf numFmtId="6" fontId="9" fillId="0" borderId="0" xfId="65" applyNumberFormat="1" applyFont="1" applyFill="1"/>
    <xf numFmtId="170" fontId="9" fillId="0" borderId="0" xfId="65" applyNumberFormat="1" applyFont="1" applyFill="1"/>
    <xf numFmtId="38" fontId="9" fillId="0" borderId="0" xfId="65" applyNumberFormat="1" applyFont="1" applyFill="1"/>
    <xf numFmtId="38" fontId="32" fillId="0" borderId="0" xfId="65" applyNumberFormat="1" applyFont="1" applyFill="1"/>
    <xf numFmtId="0" fontId="9" fillId="0" borderId="0" xfId="65" applyFont="1" applyFill="1" applyAlignment="1">
      <alignment horizontal="left"/>
    </xf>
    <xf numFmtId="39" fontId="9" fillId="0" borderId="0" xfId="65" applyNumberFormat="1" applyFont="1" applyFill="1"/>
    <xf numFmtId="0" fontId="9" fillId="0" borderId="15" xfId="65" applyFont="1" applyFill="1" applyBorder="1"/>
    <xf numFmtId="39" fontId="9" fillId="0" borderId="15" xfId="65" applyNumberFormat="1" applyFont="1" applyFill="1" applyBorder="1"/>
    <xf numFmtId="0" fontId="31" fillId="0" borderId="0" xfId="65" applyFont="1" applyFill="1"/>
    <xf numFmtId="0" fontId="31" fillId="0" borderId="0" xfId="65" applyFont="1" applyFill="1" applyAlignment="1">
      <alignment horizontal="right"/>
    </xf>
    <xf numFmtId="8" fontId="9" fillId="0" borderId="0" xfId="65" applyNumberFormat="1" applyFont="1" applyFill="1"/>
    <xf numFmtId="17" fontId="17" fillId="0" borderId="0" xfId="65" applyNumberFormat="1" applyFont="1" applyFill="1" applyAlignment="1">
      <alignment horizontal="left"/>
    </xf>
    <xf numFmtId="0" fontId="17" fillId="0" borderId="0" xfId="65" applyFont="1" applyFill="1"/>
    <xf numFmtId="0" fontId="9" fillId="0" borderId="0" xfId="65" applyFont="1" applyFill="1" applyAlignment="1">
      <alignment horizontal="right"/>
    </xf>
    <xf numFmtId="0" fontId="32" fillId="0" borderId="0" xfId="65" applyFont="1" applyFill="1" applyAlignment="1">
      <alignment horizontal="center"/>
    </xf>
    <xf numFmtId="5" fontId="43" fillId="2" borderId="0" xfId="0" applyFont="1" applyAlignment="1">
      <alignment horizontal="center"/>
    </xf>
    <xf numFmtId="7" fontId="0" fillId="2" borderId="0" xfId="0" applyNumberFormat="1"/>
    <xf numFmtId="5" fontId="31" fillId="0" borderId="0" xfId="49" applyFont="1" applyFill="1" applyAlignment="1">
      <alignment horizontal="center"/>
    </xf>
    <xf numFmtId="0" fontId="9" fillId="0" borderId="12" xfId="65" applyFont="1" applyFill="1" applyBorder="1"/>
    <xf numFmtId="0" fontId="9" fillId="0" borderId="13" xfId="65" applyFont="1" applyFill="1" applyBorder="1"/>
    <xf numFmtId="0" fontId="9" fillId="0" borderId="14" xfId="65" applyFont="1" applyFill="1" applyBorder="1"/>
    <xf numFmtId="169" fontId="9" fillId="0" borderId="0" xfId="29" applyNumberFormat="1" applyFont="1"/>
    <xf numFmtId="6" fontId="9" fillId="0" borderId="13" xfId="65" applyNumberFormat="1" applyFont="1" applyFill="1" applyBorder="1"/>
    <xf numFmtId="0" fontId="30" fillId="0" borderId="0" xfId="65" applyFont="1" applyFill="1" applyAlignment="1">
      <alignment horizontal="right"/>
    </xf>
    <xf numFmtId="169" fontId="9" fillId="0" borderId="0" xfId="65" applyNumberFormat="1" applyFont="1" applyFill="1"/>
    <xf numFmtId="168" fontId="3" fillId="2" borderId="0" xfId="0" applyNumberFormat="1" applyFont="1" applyAlignment="1">
      <alignment horizontal="left"/>
    </xf>
    <xf numFmtId="5" fontId="0" fillId="35" borderId="0" xfId="0" applyFill="1"/>
    <xf numFmtId="5" fontId="3" fillId="35" borderId="0" xfId="0" applyFont="1" applyFill="1"/>
    <xf numFmtId="6" fontId="9" fillId="35" borderId="0" xfId="65" applyNumberFormat="1" applyFont="1" applyFill="1"/>
    <xf numFmtId="38" fontId="9" fillId="35" borderId="0" xfId="65" applyNumberFormat="1" applyFont="1" applyFill="1"/>
    <xf numFmtId="38" fontId="32" fillId="35" borderId="0" xfId="65" applyNumberFormat="1" applyFont="1" applyFill="1"/>
    <xf numFmtId="6" fontId="32" fillId="35" borderId="0" xfId="65" applyNumberFormat="1" applyFont="1" applyFill="1"/>
    <xf numFmtId="0" fontId="9" fillId="35" borderId="0" xfId="65" applyFont="1" applyFill="1" applyAlignment="1">
      <alignment horizontal="center"/>
    </xf>
    <xf numFmtId="0" fontId="9" fillId="35" borderId="0" xfId="65" applyFont="1" applyFill="1"/>
    <xf numFmtId="8" fontId="9" fillId="35" borderId="0" xfId="65" applyNumberFormat="1" applyFont="1" applyFill="1"/>
    <xf numFmtId="10" fontId="9" fillId="35" borderId="0" xfId="65" applyNumberFormat="1" applyFont="1" applyFill="1" applyAlignment="1">
      <alignment horizontal="left"/>
    </xf>
    <xf numFmtId="0" fontId="20" fillId="35" borderId="0" xfId="60" applyFont="1" applyFill="1"/>
    <xf numFmtId="0" fontId="42" fillId="35" borderId="0" xfId="60" applyFont="1" applyFill="1"/>
    <xf numFmtId="37" fontId="3" fillId="35" borderId="0" xfId="56" applyNumberFormat="1" applyFill="1"/>
    <xf numFmtId="38" fontId="3" fillId="35" borderId="0" xfId="56" applyNumberFormat="1" applyFill="1"/>
    <xf numFmtId="39" fontId="3" fillId="35" borderId="0" xfId="56" applyNumberFormat="1" applyFill="1"/>
    <xf numFmtId="38" fontId="0" fillId="35" borderId="0" xfId="0" applyNumberFormat="1" applyFill="1"/>
    <xf numFmtId="49" fontId="37" fillId="0" borderId="1" xfId="67" applyNumberFormat="1" applyFont="1"/>
    <xf numFmtId="49" fontId="37" fillId="0" borderId="1" xfId="35" applyNumberFormat="1" applyFont="1"/>
    <xf numFmtId="49" fontId="37" fillId="35" borderId="1" xfId="67" applyNumberFormat="1" applyFont="1" applyFill="1"/>
    <xf numFmtId="0" fontId="83" fillId="0" borderId="0" xfId="3852" applyFont="1" applyAlignment="1"/>
    <xf numFmtId="0" fontId="2" fillId="0" borderId="0" xfId="3852">
      <alignment vertical="center"/>
    </xf>
    <xf numFmtId="0" fontId="2" fillId="0" borderId="0" xfId="3852" applyAlignment="1"/>
    <xf numFmtId="0" fontId="27" fillId="0" borderId="0" xfId="3852" applyFont="1" applyAlignment="1"/>
    <xf numFmtId="0" fontId="39" fillId="0" borderId="0" xfId="3852" applyFont="1" applyAlignment="1">
      <alignment horizontal="center"/>
    </xf>
    <xf numFmtId="0" fontId="84" fillId="36" borderId="0" xfId="3852" applyFont="1" applyFill="1" applyAlignment="1">
      <alignment horizontal="center"/>
    </xf>
    <xf numFmtId="0" fontId="9" fillId="0" borderId="0" xfId="3852" applyFont="1" applyAlignment="1"/>
    <xf numFmtId="0" fontId="84" fillId="37" borderId="0" xfId="3852" applyFont="1" applyFill="1" applyAlignment="1">
      <alignment horizontal="center"/>
    </xf>
    <xf numFmtId="0" fontId="84" fillId="0" borderId="0" xfId="3852" applyFont="1" applyAlignment="1"/>
    <xf numFmtId="0" fontId="2" fillId="38" borderId="0" xfId="3852" applyFill="1" applyAlignment="1"/>
    <xf numFmtId="180" fontId="2" fillId="38" borderId="0" xfId="3852" applyNumberFormat="1" applyFill="1" applyAlignment="1"/>
    <xf numFmtId="180" fontId="23" fillId="38" borderId="0" xfId="3852" applyNumberFormat="1" applyFont="1" applyFill="1" applyAlignment="1"/>
    <xf numFmtId="180" fontId="23" fillId="38" borderId="57" xfId="3852" applyNumberFormat="1" applyFont="1" applyFill="1" applyBorder="1" applyAlignment="1">
      <alignment horizontal="left"/>
    </xf>
    <xf numFmtId="180" fontId="23" fillId="38" borderId="0" xfId="3852" applyNumberFormat="1" applyFont="1" applyFill="1" applyAlignment="1">
      <alignment horizontal="center"/>
    </xf>
    <xf numFmtId="49" fontId="2" fillId="38" borderId="0" xfId="3852" applyNumberFormat="1" applyFill="1" applyAlignment="1"/>
    <xf numFmtId="0" fontId="83" fillId="39" borderId="0" xfId="3852" applyFont="1" applyFill="1" applyAlignment="1"/>
    <xf numFmtId="0" fontId="83" fillId="38" borderId="0" xfId="3852" applyFont="1" applyFill="1" applyAlignment="1"/>
    <xf numFmtId="5" fontId="84" fillId="0" borderId="0" xfId="0" applyFont="1" applyFill="1"/>
    <xf numFmtId="0" fontId="39" fillId="0" borderId="0" xfId="0" applyNumberFormat="1" applyFont="1" applyFill="1" applyAlignment="1">
      <alignment horizontal="center"/>
    </xf>
    <xf numFmtId="2" fontId="6" fillId="0" borderId="0" xfId="55" applyNumberFormat="1" applyFont="1" applyFill="1" applyAlignment="1">
      <alignment horizontal="center"/>
    </xf>
    <xf numFmtId="0" fontId="74" fillId="0" borderId="0" xfId="3853"/>
    <xf numFmtId="183" fontId="73" fillId="0" borderId="0" xfId="3853" applyNumberFormat="1" applyFont="1"/>
    <xf numFmtId="183" fontId="87" fillId="0" borderId="0" xfId="3853" applyNumberFormat="1" applyFont="1"/>
    <xf numFmtId="168" fontId="87" fillId="0" borderId="0" xfId="3853" applyNumberFormat="1" applyFont="1"/>
    <xf numFmtId="37" fontId="88" fillId="0" borderId="0" xfId="3853" applyNumberFormat="1" applyFont="1" applyAlignment="1">
      <alignment horizontal="centerContinuous"/>
    </xf>
    <xf numFmtId="0" fontId="88" fillId="0" borderId="0" xfId="3853" applyFont="1" applyAlignment="1">
      <alignment horizontal="centerContinuous"/>
    </xf>
    <xf numFmtId="0" fontId="89" fillId="0" borderId="0" xfId="3853" applyFont="1"/>
    <xf numFmtId="183" fontId="90" fillId="0" borderId="0" xfId="3853" applyNumberFormat="1" applyFont="1"/>
    <xf numFmtId="168" fontId="91" fillId="0" borderId="0" xfId="3853" applyNumberFormat="1" applyFont="1"/>
    <xf numFmtId="0" fontId="90" fillId="0" borderId="0" xfId="3853" applyFont="1"/>
    <xf numFmtId="0" fontId="91" fillId="0" borderId="0" xfId="3853" applyFont="1"/>
    <xf numFmtId="183" fontId="92" fillId="0" borderId="0" xfId="3853" applyNumberFormat="1" applyFont="1"/>
    <xf numFmtId="170" fontId="92" fillId="0" borderId="0" xfId="33" applyNumberFormat="1" applyFont="1"/>
    <xf numFmtId="170" fontId="87" fillId="0" borderId="0" xfId="33" applyNumberFormat="1" applyFont="1"/>
    <xf numFmtId="170" fontId="74" fillId="0" borderId="0" xfId="3853" applyNumberFormat="1"/>
    <xf numFmtId="183" fontId="93" fillId="0" borderId="0" xfId="3853" applyNumberFormat="1" applyFont="1"/>
    <xf numFmtId="183" fontId="94" fillId="0" borderId="0" xfId="3853" applyNumberFormat="1" applyFont="1"/>
    <xf numFmtId="183" fontId="95" fillId="0" borderId="0" xfId="3853" applyNumberFormat="1" applyFont="1"/>
    <xf numFmtId="183" fontId="96" fillId="0" borderId="0" xfId="3853" applyNumberFormat="1" applyFont="1"/>
    <xf numFmtId="183" fontId="97" fillId="0" borderId="0" xfId="3853" applyNumberFormat="1" applyFont="1"/>
    <xf numFmtId="168" fontId="93" fillId="0" borderId="0" xfId="3853" applyNumberFormat="1" applyFont="1"/>
    <xf numFmtId="184" fontId="98" fillId="0" borderId="0" xfId="3853" applyNumberFormat="1" applyFont="1"/>
    <xf numFmtId="168" fontId="96" fillId="0" borderId="0" xfId="3853" applyNumberFormat="1" applyFont="1"/>
    <xf numFmtId="164" fontId="96" fillId="0" borderId="0" xfId="3853" applyNumberFormat="1" applyFont="1"/>
    <xf numFmtId="185" fontId="98" fillId="0" borderId="0" xfId="3853" applyNumberFormat="1" applyFont="1"/>
    <xf numFmtId="3" fontId="96" fillId="0" borderId="0" xfId="3853" applyNumberFormat="1" applyFont="1"/>
    <xf numFmtId="168" fontId="93" fillId="0" borderId="15" xfId="3853" applyNumberFormat="1" applyFont="1" applyBorder="1"/>
    <xf numFmtId="185" fontId="98" fillId="0" borderId="15" xfId="3853" applyNumberFormat="1" applyFont="1" applyBorder="1"/>
    <xf numFmtId="168" fontId="96" fillId="0" borderId="15" xfId="3853" applyNumberFormat="1" applyFont="1" applyBorder="1"/>
    <xf numFmtId="3" fontId="96" fillId="0" borderId="15" xfId="3853" applyNumberFormat="1" applyFont="1" applyBorder="1"/>
    <xf numFmtId="5" fontId="88" fillId="0" borderId="0" xfId="3853" applyNumberFormat="1" applyFont="1" applyAlignment="1">
      <alignment horizontal="centerContinuous"/>
    </xf>
    <xf numFmtId="168" fontId="74" fillId="0" borderId="0" xfId="3853" applyNumberFormat="1"/>
    <xf numFmtId="183" fontId="99" fillId="0" borderId="0" xfId="3854"/>
    <xf numFmtId="183" fontId="95" fillId="0" borderId="0" xfId="3854" applyFont="1"/>
    <xf numFmtId="183" fontId="73" fillId="0" borderId="0" xfId="3854" applyFont="1"/>
    <xf numFmtId="183" fontId="95" fillId="0" borderId="24" xfId="3854" applyFont="1" applyBorder="1" applyAlignment="1">
      <alignment horizontal="center"/>
    </xf>
    <xf numFmtId="38" fontId="95" fillId="0" borderId="0" xfId="3854" applyNumberFormat="1" applyFont="1"/>
    <xf numFmtId="9" fontId="95" fillId="0" borderId="0" xfId="3854" applyNumberFormat="1" applyFont="1"/>
    <xf numFmtId="183" fontId="95" fillId="0" borderId="0" xfId="3854" applyFont="1" applyAlignment="1">
      <alignment horizontal="center"/>
    </xf>
    <xf numFmtId="183" fontId="100" fillId="0" borderId="0" xfId="3854" applyFont="1"/>
    <xf numFmtId="183" fontId="95" fillId="44" borderId="60" xfId="3854" applyFont="1" applyFill="1" applyBorder="1"/>
    <xf numFmtId="183" fontId="47" fillId="44" borderId="61" xfId="3854" applyFont="1" applyFill="1" applyBorder="1"/>
    <xf numFmtId="183" fontId="95" fillId="44" borderId="62" xfId="3854" applyFont="1" applyFill="1" applyBorder="1"/>
    <xf numFmtId="0" fontId="99" fillId="0" borderId="0" xfId="3854" applyNumberFormat="1"/>
    <xf numFmtId="0" fontId="95" fillId="0" borderId="0" xfId="3854" applyNumberFormat="1" applyFont="1"/>
    <xf numFmtId="0" fontId="95" fillId="44" borderId="63" xfId="3854" applyNumberFormat="1" applyFont="1" applyFill="1" applyBorder="1"/>
    <xf numFmtId="0" fontId="47" fillId="45" borderId="0" xfId="3854" applyNumberFormat="1" applyFont="1" applyFill="1" applyAlignment="1">
      <alignment horizontal="centerContinuous" vertical="center"/>
    </xf>
    <xf numFmtId="0" fontId="95" fillId="45" borderId="0" xfId="3854" applyNumberFormat="1" applyFont="1" applyFill="1" applyAlignment="1">
      <alignment horizontal="centerContinuous"/>
    </xf>
    <xf numFmtId="0" fontId="95" fillId="45" borderId="0" xfId="3854" applyNumberFormat="1" applyFont="1" applyFill="1" applyAlignment="1">
      <alignment horizontal="centerContinuous" vertical="center"/>
    </xf>
    <xf numFmtId="183" fontId="95" fillId="44" borderId="63" xfId="3854" applyFont="1" applyFill="1" applyBorder="1"/>
    <xf numFmtId="183" fontId="47" fillId="45" borderId="0" xfId="3854" applyFont="1" applyFill="1" applyAlignment="1">
      <alignment horizontal="centerContinuous" vertical="center"/>
    </xf>
    <xf numFmtId="183" fontId="95" fillId="45" borderId="0" xfId="3854" applyFont="1" applyFill="1" applyAlignment="1">
      <alignment horizontal="centerContinuous"/>
    </xf>
    <xf numFmtId="37" fontId="95" fillId="45" borderId="0" xfId="3854" applyNumberFormat="1" applyFont="1" applyFill="1" applyAlignment="1">
      <alignment horizontal="centerContinuous"/>
    </xf>
    <xf numFmtId="183" fontId="95" fillId="45" borderId="0" xfId="3854" applyFont="1" applyFill="1" applyAlignment="1">
      <alignment horizontal="centerContinuous" vertical="center"/>
    </xf>
    <xf numFmtId="37" fontId="102" fillId="45" borderId="0" xfId="3854" applyNumberFormat="1" applyFont="1" applyFill="1" applyAlignment="1">
      <alignment horizontal="centerContinuous" vertical="center"/>
    </xf>
    <xf numFmtId="183" fontId="95" fillId="44" borderId="64" xfId="3854" applyFont="1" applyFill="1" applyBorder="1"/>
    <xf numFmtId="183" fontId="95" fillId="44" borderId="65" xfId="3854" applyFont="1" applyFill="1" applyBorder="1"/>
    <xf numFmtId="173" fontId="74" fillId="0" borderId="0" xfId="3853" applyNumberFormat="1"/>
    <xf numFmtId="5" fontId="101" fillId="45" borderId="0" xfId="3854" quotePrefix="1" applyNumberFormat="1" applyFont="1" applyFill="1" applyAlignment="1">
      <alignment horizontal="centerContinuous" vertical="center"/>
    </xf>
    <xf numFmtId="38" fontId="105" fillId="46" borderId="66" xfId="0" applyNumberFormat="1" applyFont="1" applyFill="1" applyBorder="1"/>
    <xf numFmtId="38" fontId="105" fillId="46" borderId="66" xfId="0" applyNumberFormat="1" applyFont="1" applyFill="1" applyBorder="1" applyAlignment="1">
      <alignment horizontal="center"/>
    </xf>
    <xf numFmtId="166" fontId="105" fillId="46" borderId="67" xfId="0" applyNumberFormat="1" applyFont="1" applyFill="1" applyBorder="1" applyAlignment="1">
      <alignment horizontal="center"/>
    </xf>
    <xf numFmtId="38" fontId="105" fillId="46" borderId="68" xfId="0" applyNumberFormat="1" applyFont="1" applyFill="1" applyBorder="1" applyAlignment="1">
      <alignment horizontal="center"/>
    </xf>
    <xf numFmtId="38" fontId="106" fillId="46" borderId="68" xfId="0" applyNumberFormat="1" applyFont="1" applyFill="1" applyBorder="1" applyAlignment="1">
      <alignment horizontal="center" vertical="center"/>
    </xf>
    <xf numFmtId="38" fontId="105" fillId="47" borderId="69" xfId="0" applyNumberFormat="1" applyFont="1" applyFill="1" applyBorder="1" applyAlignment="1">
      <alignment horizontal="center"/>
    </xf>
    <xf numFmtId="5" fontId="103" fillId="48" borderId="0" xfId="0" applyFont="1" applyFill="1" applyAlignment="1">
      <alignment horizontal="left"/>
    </xf>
    <xf numFmtId="164" fontId="103" fillId="48" borderId="0" xfId="0" applyNumberFormat="1" applyFont="1" applyFill="1" applyAlignment="1">
      <alignment horizontal="right"/>
    </xf>
    <xf numFmtId="183" fontId="3" fillId="0" borderId="0" xfId="3854" applyFont="1"/>
    <xf numFmtId="183" fontId="95" fillId="35" borderId="0" xfId="3854" applyFont="1" applyFill="1"/>
    <xf numFmtId="0" fontId="95" fillId="35" borderId="0" xfId="3854" applyNumberFormat="1" applyFont="1" applyFill="1" applyAlignment="1">
      <alignment horizontal="center"/>
    </xf>
    <xf numFmtId="38" fontId="104" fillId="35" borderId="0" xfId="3854" applyNumberFormat="1" applyFont="1" applyFill="1"/>
    <xf numFmtId="38" fontId="95" fillId="35" borderId="0" xfId="3854" applyNumberFormat="1" applyFont="1" applyFill="1"/>
    <xf numFmtId="5" fontId="0" fillId="2" borderId="0" xfId="0" applyAlignment="1">
      <alignment horizontal="center"/>
    </xf>
    <xf numFmtId="5" fontId="111" fillId="2" borderId="0" xfId="0" applyFont="1"/>
    <xf numFmtId="5" fontId="85" fillId="2" borderId="16" xfId="0" applyFont="1" applyBorder="1"/>
    <xf numFmtId="5" fontId="4" fillId="2" borderId="15" xfId="0" applyFont="1" applyBorder="1" applyAlignment="1">
      <alignment horizontal="center" vertical="center" wrapText="1"/>
    </xf>
    <xf numFmtId="5" fontId="4" fillId="2" borderId="16" xfId="0" applyFont="1" applyBorder="1" applyAlignment="1">
      <alignment horizontal="center"/>
    </xf>
    <xf numFmtId="5" fontId="4" fillId="2" borderId="16" xfId="0" applyFont="1" applyBorder="1" applyAlignment="1">
      <alignment horizontal="center" wrapText="1"/>
    </xf>
    <xf numFmtId="5" fontId="0" fillId="2" borderId="13" xfId="0" applyBorder="1"/>
    <xf numFmtId="168" fontId="0" fillId="2" borderId="13" xfId="70" applyNumberFormat="1" applyFont="1" applyFill="1" applyBorder="1" applyAlignment="1">
      <alignment horizontal="center"/>
    </xf>
    <xf numFmtId="168" fontId="0" fillId="2" borderId="0" xfId="70" applyNumberFormat="1" applyFont="1" applyFill="1" applyAlignment="1">
      <alignment horizontal="center"/>
    </xf>
    <xf numFmtId="5" fontId="0" fillId="2" borderId="16" xfId="0" applyBorder="1"/>
    <xf numFmtId="5" fontId="0" fillId="2" borderId="15" xfId="0" applyBorder="1" applyAlignment="1">
      <alignment horizontal="center"/>
    </xf>
    <xf numFmtId="168" fontId="0" fillId="2" borderId="16" xfId="70" applyNumberFormat="1" applyFont="1" applyFill="1" applyBorder="1" applyAlignment="1">
      <alignment horizontal="center"/>
    </xf>
    <xf numFmtId="168" fontId="0" fillId="2" borderId="15" xfId="70" applyNumberFormat="1" applyFont="1" applyFill="1" applyBorder="1" applyAlignment="1">
      <alignment horizontal="center"/>
    </xf>
    <xf numFmtId="9" fontId="0" fillId="2" borderId="0" xfId="70" applyFont="1" applyFill="1" applyAlignment="1">
      <alignment horizontal="center"/>
    </xf>
    <xf numFmtId="9" fontId="0" fillId="2" borderId="13" xfId="70" applyFont="1" applyFill="1" applyBorder="1" applyAlignment="1">
      <alignment horizontal="center"/>
    </xf>
    <xf numFmtId="9" fontId="0" fillId="2" borderId="0" xfId="0" applyNumberFormat="1" applyAlignment="1">
      <alignment horizontal="center"/>
    </xf>
    <xf numFmtId="10" fontId="0" fillId="2" borderId="13" xfId="70" applyNumberFormat="1" applyFont="1" applyFill="1" applyBorder="1" applyAlignment="1">
      <alignment horizontal="center"/>
    </xf>
    <xf numFmtId="10" fontId="0" fillId="2" borderId="0" xfId="0" applyNumberFormat="1" applyAlignment="1">
      <alignment horizontal="center"/>
    </xf>
    <xf numFmtId="0" fontId="3" fillId="0" borderId="0" xfId="58" applyFill="1"/>
    <xf numFmtId="38" fontId="105" fillId="2" borderId="0" xfId="0" applyNumberFormat="1" applyFont="1" applyAlignment="1">
      <alignment horizontal="center"/>
    </xf>
    <xf numFmtId="37" fontId="3" fillId="0" borderId="0" xfId="64" applyFill="1"/>
    <xf numFmtId="5" fontId="0" fillId="0" borderId="0" xfId="0" applyFill="1"/>
    <xf numFmtId="37" fontId="3" fillId="0" borderId="8" xfId="64" applyFill="1" applyBorder="1"/>
    <xf numFmtId="37" fontId="3" fillId="0" borderId="9" xfId="64" applyFill="1" applyBorder="1"/>
    <xf numFmtId="37" fontId="3" fillId="0" borderId="10" xfId="64" applyFill="1" applyBorder="1"/>
    <xf numFmtId="37" fontId="3" fillId="0" borderId="11" xfId="64" applyFill="1" applyBorder="1"/>
    <xf numFmtId="37" fontId="3" fillId="0" borderId="2" xfId="64" applyFill="1" applyBorder="1"/>
    <xf numFmtId="37" fontId="3" fillId="0" borderId="12" xfId="64" applyFill="1" applyBorder="1"/>
    <xf numFmtId="37" fontId="3" fillId="0" borderId="13" xfId="64" applyFill="1" applyBorder="1"/>
    <xf numFmtId="37" fontId="3" fillId="0" borderId="14" xfId="64" applyFill="1" applyBorder="1"/>
    <xf numFmtId="37" fontId="3" fillId="0" borderId="15" xfId="64" applyFill="1" applyBorder="1"/>
    <xf numFmtId="37" fontId="3" fillId="0" borderId="16" xfId="64" applyFill="1" applyBorder="1"/>
    <xf numFmtId="37" fontId="70" fillId="0" borderId="0" xfId="64" applyFont="1" applyFill="1" applyAlignment="1">
      <alignment horizontal="right"/>
    </xf>
    <xf numFmtId="37" fontId="70" fillId="0" borderId="0" xfId="64" applyFont="1" applyFill="1" applyAlignment="1">
      <alignment horizontal="left"/>
    </xf>
    <xf numFmtId="37" fontId="4" fillId="0" borderId="0" xfId="64" applyFont="1" applyFill="1"/>
    <xf numFmtId="37" fontId="3" fillId="0" borderId="17" xfId="64" applyFill="1" applyBorder="1"/>
    <xf numFmtId="37" fontId="15" fillId="0" borderId="12" xfId="64" applyFont="1" applyFill="1" applyBorder="1"/>
    <xf numFmtId="10" fontId="4" fillId="0" borderId="54" xfId="70" applyNumberFormat="1" applyFont="1" applyFill="1" applyBorder="1"/>
    <xf numFmtId="37" fontId="4" fillId="0" borderId="12" xfId="64" applyFont="1" applyFill="1" applyBorder="1"/>
    <xf numFmtId="174" fontId="4" fillId="0" borderId="0" xfId="70" applyNumberFormat="1" applyFont="1" applyFill="1"/>
    <xf numFmtId="37" fontId="3" fillId="0" borderId="18" xfId="64" applyFill="1" applyBorder="1"/>
    <xf numFmtId="37" fontId="3" fillId="0" borderId="4" xfId="64" applyFill="1" applyBorder="1"/>
    <xf numFmtId="37" fontId="3" fillId="0" borderId="19" xfId="64" applyFill="1" applyBorder="1"/>
    <xf numFmtId="0" fontId="5" fillId="0" borderId="0" xfId="53" applyFont="1" applyFill="1"/>
    <xf numFmtId="0" fontId="5" fillId="0" borderId="0" xfId="53" applyFont="1" applyFill="1" applyAlignment="1">
      <alignment horizontal="center"/>
    </xf>
    <xf numFmtId="0" fontId="1" fillId="0" borderId="0" xfId="53" applyFont="1" applyFill="1"/>
    <xf numFmtId="0" fontId="6" fillId="0" borderId="0" xfId="53" applyFont="1" applyFill="1"/>
    <xf numFmtId="0" fontId="3" fillId="0" borderId="0" xfId="53" applyFill="1"/>
    <xf numFmtId="0" fontId="12" fillId="0" borderId="0" xfId="53" applyFont="1" applyFill="1"/>
    <xf numFmtId="0" fontId="8" fillId="0" borderId="0" xfId="53" applyFont="1" applyFill="1"/>
    <xf numFmtId="0" fontId="6" fillId="0" borderId="0" xfId="53" applyFont="1" applyFill="1" applyAlignment="1">
      <alignment horizontal="center"/>
    </xf>
    <xf numFmtId="170" fontId="6" fillId="0" borderId="0" xfId="32" applyNumberFormat="1" applyFont="1" applyFill="1"/>
    <xf numFmtId="5" fontId="6" fillId="0" borderId="0" xfId="53" applyNumberFormat="1" applyFont="1" applyFill="1"/>
    <xf numFmtId="0" fontId="4" fillId="0" borderId="0" xfId="53" applyFont="1" applyFill="1"/>
    <xf numFmtId="169" fontId="6" fillId="0" borderId="0" xfId="29" applyNumberFormat="1" applyFont="1" applyFill="1"/>
    <xf numFmtId="37" fontId="6" fillId="0" borderId="0" xfId="53" applyNumberFormat="1" applyFont="1" applyFill="1"/>
    <xf numFmtId="6" fontId="6" fillId="0" borderId="0" xfId="53" applyNumberFormat="1" applyFont="1" applyFill="1"/>
    <xf numFmtId="9" fontId="6" fillId="0" borderId="0" xfId="53" applyNumberFormat="1" applyFont="1" applyFill="1"/>
    <xf numFmtId="37" fontId="8" fillId="0" borderId="0" xfId="53" applyNumberFormat="1" applyFont="1" applyFill="1"/>
    <xf numFmtId="10" fontId="6" fillId="0" borderId="0" xfId="53" applyNumberFormat="1" applyFont="1" applyFill="1" applyAlignment="1">
      <alignment horizontal="center"/>
    </xf>
    <xf numFmtId="170" fontId="1" fillId="0" borderId="0" xfId="53" applyNumberFormat="1" applyFont="1" applyFill="1"/>
    <xf numFmtId="10" fontId="1" fillId="0" borderId="54" xfId="70" applyNumberFormat="1" applyFont="1" applyFill="1" applyBorder="1"/>
    <xf numFmtId="0" fontId="21" fillId="0" borderId="0" xfId="53" applyFont="1" applyFill="1"/>
    <xf numFmtId="0" fontId="15" fillId="0" borderId="12" xfId="53" applyFont="1" applyFill="1" applyBorder="1"/>
    <xf numFmtId="0" fontId="4" fillId="0" borderId="15" xfId="53" applyFont="1" applyFill="1" applyBorder="1" applyAlignment="1">
      <alignment horizontal="center"/>
    </xf>
    <xf numFmtId="0" fontId="3" fillId="0" borderId="13" xfId="53" applyFill="1" applyBorder="1" applyAlignment="1">
      <alignment horizontal="center"/>
    </xf>
    <xf numFmtId="0" fontId="18" fillId="0" borderId="12" xfId="53" applyFont="1" applyFill="1" applyBorder="1"/>
    <xf numFmtId="5" fontId="3" fillId="0" borderId="0" xfId="0" applyFont="1" applyFill="1"/>
    <xf numFmtId="0" fontId="3" fillId="0" borderId="0" xfId="53" applyFill="1" applyAlignment="1">
      <alignment horizontal="center"/>
    </xf>
    <xf numFmtId="5" fontId="9" fillId="0" borderId="0" xfId="0" applyFont="1" applyFill="1"/>
    <xf numFmtId="0" fontId="3" fillId="0" borderId="12" xfId="53" applyFill="1" applyBorder="1"/>
    <xf numFmtId="5" fontId="3" fillId="0" borderId="13" xfId="0" applyFont="1" applyFill="1" applyBorder="1"/>
    <xf numFmtId="170" fontId="4" fillId="0" borderId="31" xfId="0" applyNumberFormat="1" applyFont="1" applyFill="1" applyBorder="1"/>
    <xf numFmtId="0" fontId="4" fillId="0" borderId="14" xfId="53" applyFont="1" applyFill="1" applyBorder="1"/>
    <xf numFmtId="0" fontId="3" fillId="0" borderId="15" xfId="53" applyFill="1" applyBorder="1"/>
    <xf numFmtId="5" fontId="3" fillId="0" borderId="16" xfId="0" applyFont="1" applyFill="1" applyBorder="1"/>
    <xf numFmtId="5" fontId="5" fillId="0" borderId="0" xfId="0" applyFont="1" applyFill="1"/>
    <xf numFmtId="5" fontId="85" fillId="0" borderId="0" xfId="0" applyFont="1" applyFill="1"/>
    <xf numFmtId="5" fontId="108" fillId="0" borderId="0" xfId="0" applyFont="1" applyFill="1"/>
    <xf numFmtId="1" fontId="0" fillId="0" borderId="0" xfId="0" applyNumberFormat="1" applyFill="1"/>
    <xf numFmtId="37" fontId="0" fillId="0" borderId="12" xfId="0" applyNumberFormat="1" applyFill="1" applyBorder="1"/>
    <xf numFmtId="37" fontId="0" fillId="0" borderId="5" xfId="0" applyNumberFormat="1" applyFill="1" applyBorder="1"/>
    <xf numFmtId="37" fontId="12" fillId="0" borderId="12" xfId="0" applyNumberFormat="1" applyFont="1" applyFill="1" applyBorder="1"/>
    <xf numFmtId="5" fontId="0" fillId="0" borderId="24" xfId="0" applyFill="1" applyBorder="1"/>
    <xf numFmtId="5" fontId="0" fillId="0" borderId="29" xfId="0" applyFill="1" applyBorder="1"/>
    <xf numFmtId="37" fontId="0" fillId="0" borderId="22" xfId="0" applyNumberFormat="1" applyFill="1" applyBorder="1"/>
    <xf numFmtId="37" fontId="0" fillId="0" borderId="6" xfId="0" applyNumberFormat="1" applyFill="1" applyBorder="1"/>
    <xf numFmtId="37" fontId="3" fillId="0" borderId="12" xfId="0" applyNumberFormat="1" applyFont="1" applyFill="1" applyBorder="1"/>
    <xf numFmtId="170" fontId="3" fillId="0" borderId="22" xfId="32" applyNumberFormat="1" applyFill="1" applyBorder="1"/>
    <xf numFmtId="170" fontId="0" fillId="0" borderId="5" xfId="32" applyNumberFormat="1" applyFont="1" applyFill="1" applyBorder="1"/>
    <xf numFmtId="168" fontId="4" fillId="0" borderId="24" xfId="70" applyNumberFormat="1" applyFont="1" applyFill="1" applyBorder="1"/>
    <xf numFmtId="37" fontId="3" fillId="0" borderId="5" xfId="0" applyNumberFormat="1" applyFont="1" applyFill="1" applyBorder="1"/>
    <xf numFmtId="169" fontId="0" fillId="0" borderId="24" xfId="29" applyNumberFormat="1" applyFont="1" applyFill="1" applyBorder="1"/>
    <xf numFmtId="169" fontId="0" fillId="0" borderId="6" xfId="29" applyNumberFormat="1" applyFont="1" applyFill="1" applyBorder="1"/>
    <xf numFmtId="169" fontId="0" fillId="0" borderId="5" xfId="29" applyNumberFormat="1" applyFont="1" applyFill="1" applyBorder="1"/>
    <xf numFmtId="44" fontId="0" fillId="0" borderId="0" xfId="32" applyFont="1" applyFill="1"/>
    <xf numFmtId="169" fontId="3" fillId="0" borderId="24" xfId="29" applyNumberFormat="1" applyFill="1" applyBorder="1"/>
    <xf numFmtId="169" fontId="0" fillId="0" borderId="0" xfId="0" applyNumberFormat="1" applyFill="1"/>
    <xf numFmtId="168" fontId="0" fillId="0" borderId="0" xfId="70" applyNumberFormat="1" applyFont="1" applyFill="1"/>
    <xf numFmtId="170" fontId="0" fillId="0" borderId="0" xfId="0" applyNumberFormat="1" applyFill="1"/>
    <xf numFmtId="37" fontId="34" fillId="0" borderId="27" xfId="0" applyNumberFormat="1" applyFont="1" applyFill="1" applyBorder="1"/>
    <xf numFmtId="6" fontId="0" fillId="0" borderId="6" xfId="0" applyNumberFormat="1" applyFill="1" applyBorder="1"/>
    <xf numFmtId="8" fontId="0" fillId="0" borderId="6" xfId="0" applyNumberFormat="1" applyFill="1" applyBorder="1"/>
    <xf numFmtId="6" fontId="0" fillId="0" borderId="5" xfId="0" applyNumberFormat="1" applyFill="1" applyBorder="1"/>
    <xf numFmtId="1" fontId="4" fillId="0" borderId="0" xfId="0" applyNumberFormat="1" applyFont="1" applyFill="1" applyAlignment="1">
      <alignment horizontal="left"/>
    </xf>
    <xf numFmtId="37" fontId="3" fillId="0" borderId="5" xfId="0" quotePrefix="1" applyNumberFormat="1" applyFont="1" applyFill="1" applyBorder="1"/>
    <xf numFmtId="170" fontId="0" fillId="0" borderId="6" xfId="32" applyNumberFormat="1" applyFont="1" applyFill="1" applyBorder="1"/>
    <xf numFmtId="10" fontId="4" fillId="0" borderId="0" xfId="70" applyNumberFormat="1" applyFont="1" applyFill="1"/>
    <xf numFmtId="41" fontId="0" fillId="0" borderId="0" xfId="0" applyNumberFormat="1" applyFill="1"/>
    <xf numFmtId="169" fontId="3" fillId="0" borderId="6" xfId="29" applyNumberFormat="1" applyFill="1" applyBorder="1"/>
    <xf numFmtId="169" fontId="3" fillId="0" borderId="5" xfId="29" applyNumberFormat="1" applyFill="1" applyBorder="1"/>
    <xf numFmtId="175" fontId="0" fillId="0" borderId="0" xfId="0" applyNumberFormat="1" applyFill="1"/>
    <xf numFmtId="10" fontId="0" fillId="0" borderId="0" xfId="70" applyNumberFormat="1" applyFont="1" applyFill="1"/>
    <xf numFmtId="169" fontId="0" fillId="0" borderId="0" xfId="29" applyNumberFormat="1" applyFont="1" applyFill="1"/>
    <xf numFmtId="37" fontId="0" fillId="0" borderId="0" xfId="0" applyNumberFormat="1" applyFill="1"/>
    <xf numFmtId="1" fontId="4" fillId="0" borderId="0" xfId="0" applyNumberFormat="1" applyFont="1" applyFill="1"/>
    <xf numFmtId="37" fontId="4" fillId="0" borderId="12" xfId="0" applyNumberFormat="1" applyFont="1" applyFill="1" applyBorder="1"/>
    <xf numFmtId="170" fontId="4" fillId="0" borderId="6" xfId="32" applyNumberFormat="1" applyFont="1" applyFill="1" applyBorder="1"/>
    <xf numFmtId="170" fontId="4" fillId="0" borderId="5" xfId="32" applyNumberFormat="1" applyFont="1" applyFill="1" applyBorder="1"/>
    <xf numFmtId="37" fontId="15" fillId="0" borderId="12" xfId="0" applyNumberFormat="1" applyFont="1" applyFill="1" applyBorder="1"/>
    <xf numFmtId="169" fontId="0" fillId="0" borderId="6" xfId="0" applyNumberFormat="1" applyFill="1" applyBorder="1"/>
    <xf numFmtId="170" fontId="3" fillId="0" borderId="6" xfId="32" applyNumberFormat="1" applyFill="1" applyBorder="1"/>
    <xf numFmtId="5" fontId="112" fillId="0" borderId="0" xfId="0" applyFont="1" applyFill="1"/>
    <xf numFmtId="5" fontId="107" fillId="0" borderId="0" xfId="0" applyFont="1" applyFill="1"/>
    <xf numFmtId="37" fontId="34" fillId="0" borderId="12" xfId="0" applyNumberFormat="1" applyFont="1" applyFill="1" applyBorder="1"/>
    <xf numFmtId="37" fontId="3" fillId="0" borderId="27" xfId="0" applyNumberFormat="1" applyFont="1" applyFill="1" applyBorder="1"/>
    <xf numFmtId="5" fontId="0" fillId="0" borderId="27" xfId="0" applyFill="1" applyBorder="1"/>
    <xf numFmtId="5" fontId="0" fillId="0" borderId="12" xfId="0" applyFill="1" applyBorder="1"/>
    <xf numFmtId="170" fontId="3" fillId="0" borderId="5" xfId="32" applyNumberFormat="1" applyFill="1" applyBorder="1"/>
    <xf numFmtId="37" fontId="3" fillId="0" borderId="6" xfId="0" applyNumberFormat="1" applyFont="1" applyFill="1" applyBorder="1"/>
    <xf numFmtId="37" fontId="4" fillId="0" borderId="14" xfId="0" applyNumberFormat="1" applyFont="1" applyFill="1" applyBorder="1"/>
    <xf numFmtId="37" fontId="0" fillId="0" borderId="28" xfId="0" applyNumberFormat="1" applyFill="1" applyBorder="1"/>
    <xf numFmtId="170" fontId="4" fillId="0" borderId="55" xfId="32" applyNumberFormat="1" applyFont="1" applyFill="1" applyBorder="1"/>
    <xf numFmtId="170" fontId="4" fillId="0" borderId="58" xfId="32" applyNumberFormat="1" applyFont="1" applyFill="1" applyBorder="1"/>
    <xf numFmtId="168" fontId="4" fillId="0" borderId="59" xfId="70" applyNumberFormat="1" applyFont="1" applyFill="1" applyBorder="1"/>
    <xf numFmtId="6" fontId="0" fillId="0" borderId="0" xfId="0" applyNumberFormat="1" applyFill="1"/>
    <xf numFmtId="5" fontId="0" fillId="0" borderId="0" xfId="0" applyFill="1" applyAlignment="1">
      <alignment horizontal="right"/>
    </xf>
    <xf numFmtId="37" fontId="9" fillId="0" borderId="0" xfId="0" applyNumberFormat="1" applyFont="1" applyFill="1"/>
    <xf numFmtId="37" fontId="4" fillId="0" borderId="0" xfId="0" applyNumberFormat="1" applyFont="1" applyFill="1"/>
    <xf numFmtId="0" fontId="3" fillId="0" borderId="0" xfId="57" applyFill="1"/>
    <xf numFmtId="5" fontId="4" fillId="0" borderId="0" xfId="57" applyNumberFormat="1" applyFont="1" applyFill="1"/>
    <xf numFmtId="0" fontId="4" fillId="0" borderId="0" xfId="57" applyFont="1" applyFill="1"/>
    <xf numFmtId="0" fontId="4" fillId="0" borderId="0" xfId="57" applyFont="1" applyFill="1" applyAlignment="1">
      <alignment horizontal="center"/>
    </xf>
    <xf numFmtId="37" fontId="3" fillId="0" borderId="0" xfId="57" applyNumberFormat="1" applyFill="1"/>
    <xf numFmtId="37" fontId="15" fillId="0" borderId="0" xfId="57" applyNumberFormat="1" applyFont="1" applyFill="1" applyAlignment="1">
      <alignment horizontal="center"/>
    </xf>
    <xf numFmtId="0" fontId="4" fillId="0" borderId="0" xfId="57" applyFont="1" applyFill="1" applyAlignment="1">
      <alignment horizontal="left"/>
    </xf>
    <xf numFmtId="0" fontId="16" fillId="0" borderId="0" xfId="57" applyFont="1" applyFill="1"/>
    <xf numFmtId="0" fontId="112" fillId="0" borderId="0" xfId="57" applyFont="1" applyFill="1"/>
    <xf numFmtId="169" fontId="3" fillId="0" borderId="0" xfId="29" applyNumberFormat="1" applyFill="1"/>
    <xf numFmtId="176" fontId="3" fillId="0" borderId="0" xfId="32" applyNumberFormat="1" applyFill="1"/>
    <xf numFmtId="170" fontId="3" fillId="0" borderId="0" xfId="32" applyNumberFormat="1" applyFill="1"/>
    <xf numFmtId="10" fontId="3" fillId="0" borderId="0" xfId="57" applyNumberFormat="1" applyFill="1"/>
    <xf numFmtId="170" fontId="3" fillId="0" borderId="0" xfId="57" applyNumberFormat="1" applyFill="1"/>
    <xf numFmtId="0" fontId="3" fillId="0" borderId="0" xfId="57" applyFill="1" applyAlignment="1">
      <alignment horizontal="center"/>
    </xf>
    <xf numFmtId="37" fontId="4" fillId="0" borderId="0" xfId="57" applyNumberFormat="1" applyFont="1" applyFill="1"/>
    <xf numFmtId="176" fontId="4" fillId="0" borderId="0" xfId="32" applyNumberFormat="1" applyFont="1" applyFill="1"/>
    <xf numFmtId="170" fontId="4" fillId="0" borderId="0" xfId="32" applyNumberFormat="1" applyFont="1" applyFill="1"/>
    <xf numFmtId="0" fontId="2" fillId="0" borderId="0" xfId="59" applyFont="1" applyFill="1" applyAlignment="1">
      <alignment horizontal="center"/>
    </xf>
    <xf numFmtId="169" fontId="3" fillId="0" borderId="0" xfId="31" applyNumberFormat="1" applyFont="1" applyFill="1"/>
    <xf numFmtId="169" fontId="3" fillId="0" borderId="0" xfId="31" applyNumberFormat="1" applyFont="1" applyFill="1" applyAlignment="1">
      <alignment horizontal="center"/>
    </xf>
    <xf numFmtId="169" fontId="75" fillId="0" borderId="0" xfId="31" applyNumberFormat="1" applyFont="1" applyFill="1" applyAlignment="1">
      <alignment horizontal="center"/>
    </xf>
    <xf numFmtId="0" fontId="75" fillId="0" borderId="0" xfId="57" applyFont="1" applyFill="1" applyAlignment="1">
      <alignment horizontal="center"/>
    </xf>
    <xf numFmtId="0" fontId="2" fillId="0" borderId="0" xfId="59" applyFont="1" applyFill="1" applyAlignment="1">
      <alignment horizontal="left"/>
    </xf>
    <xf numFmtId="170" fontId="3" fillId="0" borderId="0" xfId="32" applyNumberFormat="1" applyFill="1" applyAlignment="1">
      <alignment horizontal="center"/>
    </xf>
    <xf numFmtId="169" fontId="4" fillId="0" borderId="0" xfId="29" applyNumberFormat="1" applyFont="1" applyFill="1"/>
    <xf numFmtId="170" fontId="4" fillId="0" borderId="0" xfId="32" applyNumberFormat="1" applyFont="1" applyFill="1" applyAlignment="1">
      <alignment horizontal="center"/>
    </xf>
    <xf numFmtId="5" fontId="3" fillId="0" borderId="0" xfId="57" applyNumberFormat="1" applyFill="1"/>
    <xf numFmtId="0" fontId="15" fillId="0" borderId="0" xfId="57" applyFont="1" applyFill="1" applyAlignment="1">
      <alignment horizontal="center"/>
    </xf>
    <xf numFmtId="169" fontId="4" fillId="0" borderId="0" xfId="31" applyNumberFormat="1" applyFont="1" applyFill="1"/>
    <xf numFmtId="0" fontId="32" fillId="0" borderId="0" xfId="63" applyFont="1" applyFill="1"/>
    <xf numFmtId="0" fontId="9" fillId="0" borderId="0" xfId="63" applyFont="1" applyFill="1"/>
    <xf numFmtId="0" fontId="18" fillId="0" borderId="0" xfId="61" applyFont="1" applyFill="1"/>
    <xf numFmtId="0" fontId="9" fillId="0" borderId="0" xfId="63" applyFont="1" applyFill="1" applyAlignment="1">
      <alignment horizontal="left"/>
    </xf>
    <xf numFmtId="0" fontId="9" fillId="0" borderId="0" xfId="63" applyFont="1" applyFill="1" applyAlignment="1">
      <alignment horizontal="right"/>
    </xf>
    <xf numFmtId="0" fontId="32" fillId="0" borderId="0" xfId="63" applyFont="1" applyFill="1" applyAlignment="1">
      <alignment horizontal="right"/>
    </xf>
    <xf numFmtId="6" fontId="3" fillId="0" borderId="0" xfId="57" applyNumberFormat="1" applyFill="1"/>
    <xf numFmtId="0" fontId="3" fillId="0" borderId="0" xfId="57" applyFill="1" applyAlignment="1">
      <alignment horizontal="centerContinuous"/>
    </xf>
    <xf numFmtId="43" fontId="81" fillId="0" borderId="0" xfId="30" applyFont="1" applyFill="1"/>
    <xf numFmtId="43" fontId="81" fillId="0" borderId="0" xfId="30" applyFont="1" applyFill="1" applyAlignment="1">
      <alignment horizontal="center"/>
    </xf>
    <xf numFmtId="170" fontId="78" fillId="0" borderId="0" xfId="32" applyNumberFormat="1" applyFont="1" applyFill="1"/>
    <xf numFmtId="5" fontId="70" fillId="0" borderId="0" xfId="0" applyFont="1" applyFill="1"/>
    <xf numFmtId="170" fontId="3" fillId="0" borderId="0" xfId="32" applyNumberFormat="1" applyFont="1" applyFill="1"/>
    <xf numFmtId="170" fontId="3" fillId="0" borderId="0" xfId="0" applyNumberFormat="1" applyFont="1" applyFill="1"/>
    <xf numFmtId="0" fontId="3" fillId="0" borderId="0" xfId="63" applyFill="1"/>
    <xf numFmtId="1" fontId="3" fillId="0" borderId="0" xfId="63" applyNumberFormat="1" applyFill="1" applyAlignment="1">
      <alignment horizontal="center"/>
    </xf>
    <xf numFmtId="0" fontId="3" fillId="0" borderId="0" xfId="63" applyFill="1" applyAlignment="1">
      <alignment horizontal="center"/>
    </xf>
    <xf numFmtId="0" fontId="4" fillId="0" borderId="0" xfId="63" applyFont="1" applyFill="1" applyAlignment="1">
      <alignment horizontal="center"/>
    </xf>
    <xf numFmtId="0" fontId="3" fillId="0" borderId="0" xfId="63" applyFill="1" applyAlignment="1">
      <alignment horizontal="left"/>
    </xf>
    <xf numFmtId="169" fontId="3" fillId="0" borderId="0" xfId="29" applyNumberFormat="1" applyFont="1" applyFill="1"/>
    <xf numFmtId="5" fontId="0" fillId="0" borderId="0" xfId="0" applyFill="1" applyAlignment="1">
      <alignment horizontal="centerContinuous"/>
    </xf>
    <xf numFmtId="5" fontId="3" fillId="0" borderId="0" xfId="0" applyFont="1" applyFill="1" applyAlignment="1">
      <alignment horizontal="left"/>
    </xf>
    <xf numFmtId="5" fontId="15" fillId="0" borderId="0" xfId="0" applyFont="1" applyFill="1"/>
    <xf numFmtId="17" fontId="4" fillId="0" borderId="0" xfId="60" applyNumberFormat="1" applyFont="1" applyFill="1" applyAlignment="1">
      <alignment horizontal="left"/>
    </xf>
    <xf numFmtId="0" fontId="4" fillId="0" borderId="15" xfId="56" applyFont="1" applyFill="1" applyBorder="1" applyAlignment="1">
      <alignment horizontal="centerContinuous"/>
    </xf>
    <xf numFmtId="0" fontId="27" fillId="0" borderId="15" xfId="56" applyFont="1" applyFill="1" applyBorder="1" applyAlignment="1">
      <alignment horizontal="centerContinuous"/>
    </xf>
    <xf numFmtId="0" fontId="45" fillId="0" borderId="15" xfId="56" applyFont="1" applyFill="1" applyBorder="1" applyAlignment="1">
      <alignment horizontal="right"/>
    </xf>
    <xf numFmtId="0" fontId="45" fillId="0" borderId="15" xfId="56" applyFont="1" applyFill="1" applyBorder="1" applyAlignment="1">
      <alignment horizontal="right" wrapText="1"/>
    </xf>
    <xf numFmtId="164" fontId="3" fillId="0" borderId="0" xfId="56" applyNumberFormat="1" applyFill="1"/>
    <xf numFmtId="179" fontId="3" fillId="0" borderId="0" xfId="32" applyNumberFormat="1" applyFill="1"/>
    <xf numFmtId="0" fontId="3" fillId="0" borderId="0" xfId="60" applyFill="1" applyAlignment="1">
      <alignment horizontal="left"/>
    </xf>
    <xf numFmtId="178" fontId="3" fillId="0" borderId="0" xfId="29" applyNumberFormat="1" applyFill="1"/>
    <xf numFmtId="0" fontId="4" fillId="0" borderId="0" xfId="56" applyFont="1" applyFill="1" applyAlignment="1">
      <alignment horizontal="right"/>
    </xf>
    <xf numFmtId="0" fontId="3" fillId="0" borderId="0" xfId="56" applyFill="1" applyAlignment="1">
      <alignment horizontal="right"/>
    </xf>
    <xf numFmtId="0" fontId="3" fillId="0" borderId="15" xfId="56" applyFill="1" applyBorder="1" applyAlignment="1">
      <alignment horizontal="centerContinuous"/>
    </xf>
    <xf numFmtId="7" fontId="0" fillId="0" borderId="0" xfId="0" applyNumberFormat="1" applyFill="1"/>
    <xf numFmtId="0" fontId="2" fillId="0" borderId="0" xfId="60" applyFont="1" applyFill="1"/>
    <xf numFmtId="0" fontId="4" fillId="0" borderId="0" xfId="56" applyFont="1" applyFill="1" applyAlignment="1">
      <alignment horizontal="left"/>
    </xf>
    <xf numFmtId="168" fontId="4" fillId="0" borderId="0" xfId="0" applyNumberFormat="1" applyFont="1" applyFill="1" applyAlignment="1">
      <alignment horizontal="left"/>
    </xf>
    <xf numFmtId="5" fontId="0" fillId="0" borderId="0" xfId="0" applyFill="1" applyAlignment="1">
      <alignment horizontal="center"/>
    </xf>
    <xf numFmtId="5" fontId="3" fillId="0" borderId="0" xfId="0" applyFont="1" applyFill="1" applyAlignment="1">
      <alignment horizontal="center"/>
    </xf>
    <xf numFmtId="5" fontId="29" fillId="0" borderId="0" xfId="0" applyFont="1" applyFill="1"/>
    <xf numFmtId="0" fontId="4" fillId="0" borderId="0" xfId="56" applyFont="1" applyFill="1" applyAlignment="1">
      <alignment horizontal="centerContinuous"/>
    </xf>
    <xf numFmtId="0" fontId="27" fillId="0" borderId="0" xfId="56" applyFont="1" applyFill="1" applyAlignment="1">
      <alignment horizontal="centerContinuous"/>
    </xf>
    <xf numFmtId="0" fontId="45" fillId="0" borderId="0" xfId="56" applyFont="1" applyFill="1" applyAlignment="1">
      <alignment horizontal="right"/>
    </xf>
    <xf numFmtId="0" fontId="45" fillId="0" borderId="0" xfId="56" applyFont="1" applyFill="1" applyAlignment="1">
      <alignment horizontal="right" wrapText="1"/>
    </xf>
    <xf numFmtId="175" fontId="3" fillId="0" borderId="0" xfId="56" applyNumberFormat="1" applyFill="1"/>
    <xf numFmtId="38" fontId="4" fillId="0" borderId="0" xfId="56" applyNumberFormat="1" applyFont="1" applyFill="1"/>
    <xf numFmtId="175" fontId="4" fillId="0" borderId="0" xfId="56" applyNumberFormat="1" applyFont="1" applyFill="1"/>
    <xf numFmtId="179" fontId="4" fillId="0" borderId="0" xfId="32" applyNumberFormat="1" applyFont="1" applyFill="1"/>
    <xf numFmtId="0" fontId="3" fillId="0" borderId="0" xfId="56" applyFill="1" applyAlignment="1">
      <alignment horizontal="centerContinuous"/>
    </xf>
    <xf numFmtId="170" fontId="3" fillId="0" borderId="0" xfId="60" applyNumberFormat="1" applyFill="1" applyAlignment="1">
      <alignment horizontal="left"/>
    </xf>
    <xf numFmtId="170" fontId="3" fillId="0" borderId="0" xfId="56" applyNumberFormat="1" applyFill="1" applyAlignment="1">
      <alignment horizontal="center"/>
    </xf>
    <xf numFmtId="0" fontId="4" fillId="0" borderId="0" xfId="60" applyFont="1" applyFill="1" applyAlignment="1">
      <alignment horizontal="left"/>
    </xf>
    <xf numFmtId="0" fontId="45" fillId="0" borderId="15" xfId="56" applyFont="1" applyFill="1" applyBorder="1" applyAlignment="1">
      <alignment horizontal="center" wrapText="1"/>
    </xf>
    <xf numFmtId="0" fontId="45" fillId="0" borderId="15" xfId="56" applyFont="1" applyFill="1" applyBorder="1" applyAlignment="1">
      <alignment horizontal="center"/>
    </xf>
    <xf numFmtId="3" fontId="3" fillId="0" borderId="0" xfId="56" applyNumberFormat="1" applyFill="1" applyAlignment="1">
      <alignment horizontal="center"/>
    </xf>
    <xf numFmtId="181" fontId="3" fillId="0" borderId="0" xfId="56" applyNumberFormat="1" applyFill="1"/>
    <xf numFmtId="182" fontId="4" fillId="0" borderId="0" xfId="32" applyNumberFormat="1" applyFont="1" applyFill="1"/>
    <xf numFmtId="5" fontId="0" fillId="0" borderId="0" xfId="0" applyFill="1" applyAlignment="1">
      <alignment horizontal="left"/>
    </xf>
    <xf numFmtId="186" fontId="0" fillId="0" borderId="0" xfId="0" applyNumberFormat="1" applyFill="1"/>
    <xf numFmtId="44" fontId="4" fillId="0" borderId="0" xfId="32" applyFont="1" applyFill="1"/>
    <xf numFmtId="0" fontId="2" fillId="0" borderId="0" xfId="63" applyFont="1" applyFill="1"/>
    <xf numFmtId="0" fontId="4" fillId="0" borderId="0" xfId="63" applyFont="1" applyFill="1"/>
    <xf numFmtId="37" fontId="4" fillId="0" borderId="0" xfId="63" applyNumberFormat="1" applyFont="1" applyFill="1"/>
    <xf numFmtId="37" fontId="27" fillId="0" borderId="0" xfId="63" applyNumberFormat="1" applyFont="1" applyFill="1"/>
    <xf numFmtId="0" fontId="27" fillId="0" borderId="0" xfId="63" applyFont="1" applyFill="1"/>
    <xf numFmtId="5" fontId="4" fillId="0" borderId="0" xfId="63" applyNumberFormat="1" applyFont="1" applyFill="1"/>
    <xf numFmtId="5" fontId="27" fillId="0" borderId="0" xfId="63" applyNumberFormat="1" applyFont="1" applyFill="1"/>
    <xf numFmtId="1" fontId="4" fillId="0" borderId="0" xfId="63" applyNumberFormat="1" applyFont="1" applyFill="1" applyAlignment="1">
      <alignment horizontal="center"/>
    </xf>
    <xf numFmtId="0" fontId="48" fillId="0" borderId="0" xfId="61" applyFont="1" applyFill="1"/>
    <xf numFmtId="0" fontId="28" fillId="0" borderId="0" xfId="63" applyFont="1" applyFill="1"/>
    <xf numFmtId="0" fontId="27" fillId="0" borderId="0" xfId="61" applyFont="1" applyFill="1"/>
    <xf numFmtId="169" fontId="9" fillId="0" borderId="0" xfId="63" applyNumberFormat="1" applyFont="1" applyFill="1"/>
    <xf numFmtId="0" fontId="29" fillId="0" borderId="0" xfId="63" applyFont="1" applyFill="1" applyAlignment="1">
      <alignment horizontal="left"/>
    </xf>
    <xf numFmtId="0" fontId="2" fillId="0" borderId="0" xfId="63" applyFont="1" applyFill="1" applyAlignment="1">
      <alignment horizontal="right"/>
    </xf>
    <xf numFmtId="170" fontId="9" fillId="0" borderId="0" xfId="63" applyNumberFormat="1" applyFont="1" applyFill="1"/>
    <xf numFmtId="0" fontId="27" fillId="0" borderId="0" xfId="54" applyFont="1" applyFill="1"/>
    <xf numFmtId="0" fontId="29" fillId="0" borderId="0" xfId="54" applyFont="1" applyFill="1" applyAlignment="1">
      <alignment horizontal="left"/>
    </xf>
    <xf numFmtId="170" fontId="3" fillId="0" borderId="0" xfId="61" applyNumberFormat="1" applyFill="1"/>
    <xf numFmtId="0" fontId="3" fillId="0" borderId="0" xfId="61" applyFill="1"/>
    <xf numFmtId="5" fontId="72" fillId="0" borderId="0" xfId="0" applyFont="1" applyFill="1" applyAlignment="1">
      <alignment horizontal="center"/>
    </xf>
    <xf numFmtId="0" fontId="24" fillId="0" borderId="0" xfId="63" applyFont="1" applyFill="1"/>
    <xf numFmtId="44" fontId="3" fillId="0" borderId="0" xfId="32" applyFill="1"/>
    <xf numFmtId="170" fontId="0" fillId="0" borderId="0" xfId="32" applyNumberFormat="1" applyFont="1" applyFill="1"/>
    <xf numFmtId="5" fontId="86" fillId="0" borderId="0" xfId="280" applyNumberFormat="1" applyFont="1" applyFill="1"/>
    <xf numFmtId="0" fontId="0" fillId="0" borderId="0" xfId="0" applyNumberFormat="1" applyFill="1"/>
    <xf numFmtId="37" fontId="4" fillId="0" borderId="0" xfId="65" applyNumberFormat="1" applyFont="1" applyFill="1"/>
    <xf numFmtId="0" fontId="4" fillId="0" borderId="0" xfId="65" applyFont="1" applyFill="1"/>
    <xf numFmtId="5" fontId="4" fillId="0" borderId="0" xfId="65" applyNumberFormat="1" applyFont="1" applyFill="1"/>
    <xf numFmtId="0" fontId="4" fillId="0" borderId="0" xfId="65" applyFont="1" applyFill="1" applyAlignment="1">
      <alignment horizontal="center"/>
    </xf>
    <xf numFmtId="0" fontId="28" fillId="0" borderId="0" xfId="65" applyFont="1" applyFill="1"/>
    <xf numFmtId="44" fontId="9" fillId="0" borderId="0" xfId="32" applyFont="1" applyFill="1"/>
    <xf numFmtId="0" fontId="70" fillId="0" borderId="0" xfId="0" applyNumberFormat="1" applyFont="1" applyFill="1"/>
    <xf numFmtId="0" fontId="109" fillId="0" borderId="0" xfId="0" applyNumberFormat="1" applyFont="1" applyFill="1"/>
    <xf numFmtId="37" fontId="9" fillId="0" borderId="0" xfId="52" applyNumberFormat="1" applyFill="1"/>
    <xf numFmtId="170" fontId="1" fillId="0" borderId="30" xfId="33" applyNumberFormat="1" applyFont="1" applyFill="1" applyBorder="1"/>
    <xf numFmtId="9" fontId="0" fillId="0" borderId="0" xfId="70" applyFont="1" applyFill="1"/>
    <xf numFmtId="0" fontId="4" fillId="0" borderId="0" xfId="0" applyNumberFormat="1" applyFont="1" applyFill="1" applyAlignment="1">
      <alignment horizontal="center"/>
    </xf>
    <xf numFmtId="170" fontId="4" fillId="0" borderId="0" xfId="0" applyNumberFormat="1" applyFont="1" applyFill="1"/>
    <xf numFmtId="0" fontId="3" fillId="0" borderId="0" xfId="0" applyNumberFormat="1" applyFont="1" applyFill="1"/>
    <xf numFmtId="0" fontId="4" fillId="0" borderId="0" xfId="63" applyFont="1" applyFill="1" applyAlignment="1">
      <alignment horizontal="left"/>
    </xf>
    <xf numFmtId="0" fontId="15" fillId="0" borderId="8" xfId="57" applyFont="1" applyFill="1" applyBorder="1"/>
    <xf numFmtId="0" fontId="4" fillId="0" borderId="9" xfId="57" applyFont="1" applyFill="1" applyBorder="1"/>
    <xf numFmtId="0" fontId="3" fillId="0" borderId="9" xfId="57" applyFill="1" applyBorder="1"/>
    <xf numFmtId="0" fontId="3" fillId="0" borderId="10" xfId="57" applyFill="1" applyBorder="1"/>
    <xf numFmtId="0" fontId="3" fillId="0" borderId="11" xfId="3851" applyFill="1" applyBorder="1"/>
    <xf numFmtId="174" fontId="3" fillId="0" borderId="0" xfId="3851" applyNumberFormat="1" applyFill="1"/>
    <xf numFmtId="8" fontId="3" fillId="0" borderId="0" xfId="3851" applyNumberFormat="1" applyFill="1"/>
    <xf numFmtId="0" fontId="3" fillId="0" borderId="0" xfId="3851" applyFill="1"/>
    <xf numFmtId="6" fontId="3" fillId="0" borderId="0" xfId="3851" applyNumberFormat="1" applyFill="1" applyAlignment="1">
      <alignment horizontal="right"/>
    </xf>
    <xf numFmtId="170" fontId="4" fillId="0" borderId="2" xfId="32" applyNumberFormat="1" applyFont="1" applyFill="1" applyBorder="1"/>
    <xf numFmtId="0" fontId="3" fillId="0" borderId="11" xfId="57" applyFill="1" applyBorder="1"/>
    <xf numFmtId="0" fontId="4" fillId="0" borderId="2" xfId="3851" applyFont="1" applyFill="1" applyBorder="1"/>
    <xf numFmtId="0" fontId="20" fillId="0" borderId="0" xfId="57" applyFont="1" applyFill="1"/>
    <xf numFmtId="0" fontId="3" fillId="0" borderId="0" xfId="57" applyFill="1" applyAlignment="1">
      <alignment horizontal="right"/>
    </xf>
    <xf numFmtId="177" fontId="3" fillId="0" borderId="0" xfId="57" applyNumberFormat="1" applyFill="1"/>
    <xf numFmtId="170" fontId="4" fillId="0" borderId="56" xfId="32" applyNumberFormat="1" applyFont="1" applyFill="1" applyBorder="1"/>
    <xf numFmtId="5" fontId="0" fillId="0" borderId="18" xfId="0" applyFill="1" applyBorder="1"/>
    <xf numFmtId="0" fontId="3" fillId="0" borderId="4" xfId="57" applyFill="1" applyBorder="1"/>
    <xf numFmtId="0" fontId="3" fillId="0" borderId="4" xfId="3851" applyFill="1" applyBorder="1"/>
    <xf numFmtId="177" fontId="3" fillId="0" borderId="4" xfId="57" applyNumberFormat="1" applyFill="1" applyBorder="1"/>
    <xf numFmtId="0" fontId="20" fillId="0" borderId="4" xfId="57" applyFont="1" applyFill="1" applyBorder="1"/>
    <xf numFmtId="10" fontId="3" fillId="0" borderId="4" xfId="57" applyNumberFormat="1" applyFill="1" applyBorder="1"/>
    <xf numFmtId="0" fontId="3" fillId="0" borderId="19" xfId="57" applyFill="1" applyBorder="1"/>
    <xf numFmtId="170" fontId="0" fillId="0" borderId="0" xfId="32" applyNumberFormat="1" applyFont="1" applyFill="1" applyAlignment="1">
      <alignment horizontal="right"/>
    </xf>
    <xf numFmtId="169" fontId="0" fillId="0" borderId="0" xfId="29" applyNumberFormat="1" applyFont="1" applyFill="1" applyAlignment="1">
      <alignment horizontal="right"/>
    </xf>
    <xf numFmtId="0" fontId="3" fillId="0" borderId="0" xfId="54" applyFill="1" applyAlignment="1">
      <alignment horizontal="center"/>
    </xf>
    <xf numFmtId="0" fontId="4" fillId="0" borderId="0" xfId="54" applyFont="1" applyFill="1" applyAlignment="1">
      <alignment horizontal="center"/>
    </xf>
    <xf numFmtId="0" fontId="3" fillId="0" borderId="0" xfId="54" applyFill="1"/>
    <xf numFmtId="5" fontId="15" fillId="0" borderId="0" xfId="0" applyFont="1" applyFill="1" applyAlignment="1">
      <alignment horizontal="center"/>
    </xf>
    <xf numFmtId="0" fontId="15" fillId="0" borderId="0" xfId="63" applyFont="1" applyFill="1"/>
    <xf numFmtId="37" fontId="9" fillId="0" borderId="0" xfId="63" applyNumberFormat="1" applyFont="1" applyFill="1"/>
    <xf numFmtId="37" fontId="32" fillId="0" borderId="0" xfId="63" applyNumberFormat="1" applyFont="1" applyFill="1"/>
    <xf numFmtId="5" fontId="34" fillId="0" borderId="0" xfId="0" applyFont="1" applyFill="1"/>
    <xf numFmtId="37" fontId="4" fillId="0" borderId="0" xfId="62" applyNumberFormat="1" applyFont="1" applyFill="1" applyAlignment="1">
      <alignment horizontal="left"/>
    </xf>
    <xf numFmtId="5" fontId="4" fillId="0" borderId="0" xfId="62" applyNumberFormat="1" applyFont="1" applyFill="1" applyAlignment="1">
      <alignment horizontal="left"/>
    </xf>
    <xf numFmtId="0" fontId="24" fillId="0" borderId="0" xfId="62" applyFont="1" applyFill="1"/>
    <xf numFmtId="0" fontId="77" fillId="0" borderId="0" xfId="62" applyFont="1" applyFill="1"/>
    <xf numFmtId="1" fontId="32" fillId="0" borderId="20" xfId="62" applyNumberFormat="1" applyFont="1" applyFill="1" applyBorder="1" applyAlignment="1">
      <alignment horizontal="center"/>
    </xf>
    <xf numFmtId="170" fontId="9" fillId="0" borderId="0" xfId="32" applyNumberFormat="1" applyFont="1" applyFill="1"/>
    <xf numFmtId="169" fontId="9" fillId="0" borderId="0" xfId="29" applyNumberFormat="1" applyFont="1" applyFill="1"/>
    <xf numFmtId="5" fontId="109" fillId="0" borderId="0" xfId="0" applyFont="1" applyFill="1"/>
    <xf numFmtId="5" fontId="114" fillId="0" borderId="0" xfId="0" applyFont="1" applyFill="1"/>
    <xf numFmtId="0" fontId="32" fillId="0" borderId="0" xfId="62" applyFont="1" applyFill="1" applyAlignment="1">
      <alignment horizontal="right"/>
    </xf>
    <xf numFmtId="5" fontId="110" fillId="0" borderId="0" xfId="0" applyFont="1" applyFill="1"/>
    <xf numFmtId="5" fontId="14" fillId="0" borderId="0" xfId="163" applyFont="1" applyFill="1"/>
    <xf numFmtId="37" fontId="14" fillId="0" borderId="0" xfId="62" applyNumberFormat="1" applyFont="1" applyFill="1"/>
    <xf numFmtId="172" fontId="82" fillId="0" borderId="0" xfId="62" applyNumberFormat="1" applyFont="1" applyFill="1" applyAlignment="1">
      <alignment horizontal="center"/>
    </xf>
    <xf numFmtId="170" fontId="32" fillId="0" borderId="0" xfId="32" applyNumberFormat="1" applyFont="1" applyFill="1"/>
    <xf numFmtId="0" fontId="17" fillId="0" borderId="0" xfId="62" applyFont="1" applyFill="1"/>
    <xf numFmtId="167" fontId="31" fillId="0" borderId="0" xfId="62" applyNumberFormat="1" applyFont="1" applyFill="1" applyAlignment="1">
      <alignment horizontal="center"/>
    </xf>
    <xf numFmtId="43" fontId="9" fillId="0" borderId="0" xfId="29" applyFont="1" applyFill="1"/>
    <xf numFmtId="43" fontId="9" fillId="0" borderId="0" xfId="62" quotePrefix="1" applyNumberFormat="1" applyFont="1" applyFill="1"/>
    <xf numFmtId="43" fontId="9" fillId="0" borderId="0" xfId="62" applyNumberFormat="1" applyFont="1" applyFill="1"/>
    <xf numFmtId="0" fontId="9" fillId="0" borderId="0" xfId="62" applyFont="1" applyFill="1" applyAlignment="1">
      <alignment horizontal="left" indent="11"/>
    </xf>
    <xf numFmtId="0" fontId="24" fillId="0" borderId="0" xfId="62" applyFont="1" applyFill="1" applyAlignment="1">
      <alignment horizontal="left"/>
    </xf>
    <xf numFmtId="1" fontId="9" fillId="0" borderId="0" xfId="62" applyNumberFormat="1" applyFont="1" applyFill="1" applyAlignment="1">
      <alignment horizontal="center"/>
    </xf>
    <xf numFmtId="0" fontId="4" fillId="0" borderId="14" xfId="57" applyFont="1" applyFill="1" applyBorder="1" applyAlignment="1">
      <alignment horizontal="center"/>
    </xf>
    <xf numFmtId="10" fontId="29" fillId="0" borderId="15" xfId="62" applyNumberFormat="1" applyFont="1" applyFill="1" applyBorder="1"/>
    <xf numFmtId="5" fontId="0" fillId="0" borderId="15" xfId="0" applyFill="1" applyBorder="1"/>
    <xf numFmtId="0" fontId="4" fillId="0" borderId="12" xfId="57" applyFont="1" applyFill="1" applyBorder="1" applyAlignment="1">
      <alignment horizontal="center"/>
    </xf>
    <xf numFmtId="170" fontId="4" fillId="0" borderId="0" xfId="32" applyNumberFormat="1" applyFont="1" applyFill="1" applyBorder="1"/>
    <xf numFmtId="169" fontId="4" fillId="0" borderId="0" xfId="29" applyNumberFormat="1" applyFont="1" applyFill="1" applyBorder="1"/>
    <xf numFmtId="170" fontId="3" fillId="0" borderId="12" xfId="32" applyNumberFormat="1" applyFill="1" applyBorder="1"/>
    <xf numFmtId="169" fontId="3" fillId="0" borderId="12" xfId="29" applyNumberFormat="1" applyFill="1" applyBorder="1"/>
    <xf numFmtId="174" fontId="0" fillId="0" borderId="0" xfId="70" applyNumberFormat="1" applyFont="1" applyFill="1"/>
    <xf numFmtId="5" fontId="0" fillId="0" borderId="14" xfId="0" applyFill="1" applyBorder="1"/>
    <xf numFmtId="49" fontId="37" fillId="0" borderId="15" xfId="35" applyNumberFormat="1" applyFont="1" applyFill="1" applyBorder="1"/>
    <xf numFmtId="5" fontId="28" fillId="0" borderId="0" xfId="0" applyFont="1" applyFill="1"/>
    <xf numFmtId="38" fontId="2" fillId="0" borderId="0" xfId="0" applyNumberFormat="1" applyFont="1" applyFill="1" applyAlignment="1">
      <alignment horizontal="right"/>
    </xf>
    <xf numFmtId="5" fontId="28" fillId="0" borderId="0" xfId="0" applyFont="1" applyFill="1" applyAlignment="1">
      <alignment horizontal="right"/>
    </xf>
    <xf numFmtId="5" fontId="2" fillId="0" borderId="0" xfId="81" applyFont="1" applyFill="1"/>
    <xf numFmtId="5" fontId="2" fillId="0" borderId="0" xfId="0" applyFont="1" applyFill="1"/>
    <xf numFmtId="6" fontId="30" fillId="0" borderId="0" xfId="0" applyNumberFormat="1" applyFont="1" applyFill="1" applyAlignment="1">
      <alignment horizontal="right"/>
    </xf>
    <xf numFmtId="5" fontId="27" fillId="0" borderId="0" xfId="0" applyFont="1" applyFill="1"/>
    <xf numFmtId="0" fontId="25" fillId="0" borderId="0" xfId="0" applyNumberFormat="1" applyFont="1" applyFill="1" applyProtection="1">
      <protection locked="0"/>
    </xf>
    <xf numFmtId="0" fontId="27" fillId="0" borderId="0" xfId="0" applyNumberFormat="1" applyFont="1" applyFill="1" applyAlignment="1" applyProtection="1">
      <alignment horizontal="right"/>
      <protection locked="0"/>
    </xf>
    <xf numFmtId="5" fontId="30" fillId="0" borderId="0" xfId="0" applyFont="1" applyFill="1" applyAlignment="1">
      <alignment horizontal="right"/>
    </xf>
    <xf numFmtId="10" fontId="27" fillId="0" borderId="0" xfId="0" applyNumberFormat="1" applyFont="1" applyFill="1" applyAlignment="1" applyProtection="1">
      <alignment horizontal="center"/>
      <protection locked="0"/>
    </xf>
    <xf numFmtId="5" fontId="30" fillId="0" borderId="0" xfId="0" applyFont="1" applyFill="1" applyAlignment="1" applyProtection="1">
      <alignment horizontal="right"/>
      <protection locked="0"/>
    </xf>
    <xf numFmtId="5" fontId="2" fillId="0" borderId="0" xfId="0" applyFont="1" applyFill="1" applyProtection="1">
      <protection locked="0"/>
    </xf>
    <xf numFmtId="166" fontId="30" fillId="0" borderId="0" xfId="0" applyNumberFormat="1" applyFont="1" applyFill="1" applyAlignment="1">
      <alignment horizontal="right"/>
    </xf>
    <xf numFmtId="5" fontId="36" fillId="0" borderId="0" xfId="0" applyFont="1" applyFill="1"/>
    <xf numFmtId="5" fontId="27" fillId="0" borderId="0" xfId="0" applyFont="1" applyFill="1" applyProtection="1">
      <protection locked="0"/>
    </xf>
    <xf numFmtId="0" fontId="2" fillId="0" borderId="0" xfId="0" applyNumberFormat="1" applyFont="1" applyFill="1" applyProtection="1">
      <protection locked="0"/>
    </xf>
    <xf numFmtId="164" fontId="27" fillId="0" borderId="0" xfId="0" applyNumberFormat="1" applyFont="1" applyFill="1" applyProtection="1">
      <protection locked="0"/>
    </xf>
    <xf numFmtId="6" fontId="30" fillId="0" borderId="0" xfId="0" applyNumberFormat="1" applyFont="1" applyFill="1"/>
    <xf numFmtId="5" fontId="36" fillId="0" borderId="0" xfId="0" applyFont="1" applyFill="1" applyAlignment="1" applyProtection="1">
      <alignment horizontal="right"/>
      <protection locked="0"/>
    </xf>
    <xf numFmtId="0" fontId="27" fillId="0" borderId="0" xfId="0" applyNumberFormat="1" applyFont="1" applyFill="1" applyProtection="1">
      <protection locked="0"/>
    </xf>
    <xf numFmtId="6" fontId="30" fillId="0" borderId="0" xfId="0" applyNumberFormat="1" applyFont="1" applyFill="1" applyProtection="1">
      <protection locked="0"/>
    </xf>
    <xf numFmtId="6" fontId="36" fillId="0" borderId="0" xfId="0" applyNumberFormat="1" applyFont="1" applyFill="1"/>
    <xf numFmtId="5" fontId="36" fillId="0" borderId="0" xfId="0" applyFont="1" applyFill="1" applyAlignment="1">
      <alignment horizontal="right"/>
    </xf>
    <xf numFmtId="5" fontId="116" fillId="0" borderId="0" xfId="0" applyFont="1" applyFill="1"/>
    <xf numFmtId="0" fontId="109" fillId="0" borderId="0" xfId="57" applyFont="1" applyFill="1"/>
    <xf numFmtId="0" fontId="37" fillId="38" borderId="0" xfId="3852" applyFont="1" applyFill="1" applyAlignment="1"/>
    <xf numFmtId="0" fontId="37" fillId="38" borderId="0" xfId="3852" applyFont="1" applyFill="1" applyAlignment="1">
      <alignment horizontal="center"/>
    </xf>
    <xf numFmtId="0" fontId="37" fillId="43" borderId="0" xfId="3852" applyFont="1" applyFill="1" applyAlignment="1"/>
    <xf numFmtId="0" fontId="37" fillId="42" borderId="0" xfId="3852" applyFont="1" applyFill="1" applyAlignment="1"/>
    <xf numFmtId="0" fontId="37" fillId="41" borderId="0" xfId="3852" applyFont="1" applyFill="1" applyAlignment="1"/>
    <xf numFmtId="0" fontId="37" fillId="40" borderId="15" xfId="3852" applyFont="1" applyFill="1" applyBorder="1" applyAlignment="1"/>
    <xf numFmtId="0" fontId="37" fillId="39" borderId="0" xfId="3852" applyFont="1" applyFill="1" applyAlignment="1"/>
    <xf numFmtId="0" fontId="37" fillId="36" borderId="0" xfId="3852" applyFont="1" applyFill="1" applyAlignment="1">
      <alignment horizontal="center"/>
    </xf>
    <xf numFmtId="37" fontId="1" fillId="0" borderId="0" xfId="53" applyNumberFormat="1" applyFont="1" applyFill="1"/>
    <xf numFmtId="5" fontId="1" fillId="0" borderId="0" xfId="53" applyNumberFormat="1" applyFont="1" applyFill="1"/>
    <xf numFmtId="5" fontId="3" fillId="0" borderId="0" xfId="53" applyNumberFormat="1" applyFill="1"/>
    <xf numFmtId="169" fontId="3" fillId="0" borderId="0" xfId="53" applyNumberFormat="1" applyFill="1"/>
    <xf numFmtId="169" fontId="3" fillId="0" borderId="5" xfId="29" applyNumberFormat="1" applyFont="1" applyFill="1" applyBorder="1"/>
    <xf numFmtId="170" fontId="3" fillId="0" borderId="0" xfId="32" applyNumberFormat="1" applyFont="1" applyFill="1" applyBorder="1"/>
    <xf numFmtId="1" fontId="95" fillId="0" borderId="0" xfId="3854" applyNumberFormat="1" applyFont="1" applyAlignment="1">
      <alignment horizontal="center"/>
    </xf>
    <xf numFmtId="5" fontId="70" fillId="2" borderId="0" xfId="0" applyFont="1"/>
    <xf numFmtId="5" fontId="16" fillId="0" borderId="0" xfId="0" quotePrefix="1" applyFont="1" applyFill="1"/>
    <xf numFmtId="169" fontId="4" fillId="0" borderId="0" xfId="31" applyNumberFormat="1" applyFont="1" applyFill="1" applyAlignment="1">
      <alignment horizontal="center"/>
    </xf>
    <xf numFmtId="170" fontId="3" fillId="0" borderId="24" xfId="32" applyNumberFormat="1" applyFill="1" applyBorder="1"/>
    <xf numFmtId="10" fontId="3" fillId="0" borderId="0" xfId="70" applyNumberFormat="1" applyFill="1"/>
    <xf numFmtId="14" fontId="3" fillId="0" borderId="0" xfId="57" applyNumberFormat="1" applyFill="1"/>
    <xf numFmtId="170" fontId="79" fillId="0" borderId="0" xfId="32" applyNumberFormat="1" applyFont="1" applyFill="1"/>
    <xf numFmtId="170" fontId="115" fillId="0" borderId="0" xfId="32" applyNumberFormat="1" applyFont="1" applyFill="1" applyAlignment="1">
      <alignment horizontal="center"/>
    </xf>
    <xf numFmtId="170" fontId="115" fillId="0" borderId="0" xfId="32" applyNumberFormat="1" applyFont="1" applyFill="1"/>
    <xf numFmtId="188" fontId="78" fillId="0" borderId="0" xfId="32" applyNumberFormat="1" applyFont="1" applyFill="1" applyAlignment="1">
      <alignment horizontal="center"/>
    </xf>
    <xf numFmtId="170" fontId="78" fillId="0" borderId="15" xfId="32" applyNumberFormat="1" applyFont="1" applyFill="1" applyBorder="1"/>
    <xf numFmtId="5" fontId="4" fillId="0" borderId="0" xfId="0" applyFont="1" applyFill="1" applyAlignment="1">
      <alignment horizontal="right"/>
    </xf>
    <xf numFmtId="0" fontId="3" fillId="0" borderId="7" xfId="63" applyFill="1" applyBorder="1" applyAlignment="1">
      <alignment horizontal="center"/>
    </xf>
    <xf numFmtId="0" fontId="4" fillId="0" borderId="7" xfId="63" applyFont="1" applyFill="1" applyBorder="1" applyAlignment="1">
      <alignment horizontal="center"/>
    </xf>
    <xf numFmtId="0" fontId="4" fillId="0" borderId="7" xfId="56" applyFont="1" applyFill="1" applyBorder="1" applyAlignment="1">
      <alignment horizontal="left"/>
    </xf>
    <xf numFmtId="174" fontId="4" fillId="0" borderId="0" xfId="3851" applyNumberFormat="1" applyFont="1" applyFill="1" applyAlignment="1">
      <alignment horizontal="center"/>
    </xf>
    <xf numFmtId="5" fontId="9" fillId="0" borderId="0" xfId="0" quotePrefix="1" applyFont="1" applyFill="1"/>
    <xf numFmtId="0" fontId="3" fillId="0" borderId="0" xfId="0" applyNumberFormat="1" applyFont="1" applyFill="1" applyAlignment="1">
      <alignment horizontal="right"/>
    </xf>
    <xf numFmtId="5" fontId="113" fillId="0" borderId="0" xfId="0" applyFont="1" applyFill="1"/>
    <xf numFmtId="170" fontId="3" fillId="0" borderId="0" xfId="53" applyNumberFormat="1" applyFill="1"/>
    <xf numFmtId="176" fontId="75" fillId="0" borderId="0" xfId="32" applyNumberFormat="1" applyFont="1" applyFill="1"/>
    <xf numFmtId="170" fontId="75" fillId="0" borderId="0" xfId="32" applyNumberFormat="1" applyFont="1" applyFill="1"/>
    <xf numFmtId="169" fontId="75" fillId="0" borderId="0" xfId="31" applyNumberFormat="1" applyFont="1" applyFill="1"/>
    <xf numFmtId="0" fontId="4" fillId="0" borderId="0" xfId="57" applyFont="1" applyFill="1" applyAlignment="1">
      <alignment horizontal="right"/>
    </xf>
    <xf numFmtId="5" fontId="4" fillId="0" borderId="0" xfId="57" applyNumberFormat="1" applyFont="1" applyFill="1" applyAlignment="1">
      <alignment horizontal="right"/>
    </xf>
    <xf numFmtId="176" fontId="117" fillId="0" borderId="0" xfId="32" applyNumberFormat="1" applyFont="1" applyFill="1"/>
    <xf numFmtId="170" fontId="117" fillId="0" borderId="0" xfId="32" applyNumberFormat="1" applyFont="1" applyFill="1"/>
    <xf numFmtId="169" fontId="117" fillId="0" borderId="0" xfId="31" applyNumberFormat="1" applyFont="1" applyFill="1" applyAlignment="1">
      <alignment horizontal="center"/>
    </xf>
    <xf numFmtId="169" fontId="117" fillId="0" borderId="0" xfId="31" applyNumberFormat="1" applyFont="1" applyFill="1"/>
    <xf numFmtId="0" fontId="27" fillId="0" borderId="0" xfId="63" applyFont="1" applyFill="1" applyAlignment="1">
      <alignment horizontal="right"/>
    </xf>
    <xf numFmtId="169" fontId="32" fillId="0" borderId="0" xfId="29" applyNumberFormat="1" applyFont="1" applyFill="1"/>
    <xf numFmtId="37" fontId="3" fillId="0" borderId="70" xfId="0" applyNumberFormat="1" applyFont="1" applyFill="1" applyBorder="1" applyAlignment="1">
      <alignment horizontal="center"/>
    </xf>
    <xf numFmtId="169" fontId="0" fillId="0" borderId="12" xfId="29" applyNumberFormat="1" applyFont="1" applyFill="1" applyBorder="1"/>
    <xf numFmtId="170" fontId="3" fillId="0" borderId="5" xfId="0" applyNumberFormat="1" applyFont="1" applyFill="1" applyBorder="1"/>
    <xf numFmtId="169" fontId="3" fillId="0" borderId="14" xfId="29" applyNumberFormat="1" applyFont="1" applyFill="1" applyBorder="1"/>
    <xf numFmtId="38" fontId="3" fillId="0" borderId="5" xfId="0" applyNumberFormat="1" applyFont="1" applyFill="1" applyBorder="1"/>
    <xf numFmtId="6" fontId="3" fillId="0" borderId="5" xfId="0" applyNumberFormat="1" applyFont="1" applyFill="1" applyBorder="1"/>
    <xf numFmtId="6" fontId="0" fillId="0" borderId="22" xfId="0" applyNumberFormat="1" applyFill="1" applyBorder="1"/>
    <xf numFmtId="169" fontId="3" fillId="0" borderId="22" xfId="29" applyNumberFormat="1" applyFill="1" applyBorder="1"/>
    <xf numFmtId="170" fontId="4" fillId="0" borderId="22" xfId="32" applyNumberFormat="1" applyFont="1" applyFill="1" applyBorder="1"/>
    <xf numFmtId="6" fontId="3" fillId="0" borderId="22" xfId="0" applyNumberFormat="1" applyFont="1" applyFill="1" applyBorder="1"/>
    <xf numFmtId="169" fontId="3" fillId="0" borderId="22" xfId="0" applyNumberFormat="1" applyFont="1" applyFill="1" applyBorder="1"/>
    <xf numFmtId="5" fontId="0" fillId="0" borderId="22" xfId="0" applyFill="1" applyBorder="1"/>
    <xf numFmtId="170" fontId="3" fillId="0" borderId="24" xfId="0" applyNumberFormat="1" applyFont="1" applyFill="1" applyBorder="1"/>
    <xf numFmtId="170" fontId="0" fillId="0" borderId="24" xfId="32" applyNumberFormat="1" applyFont="1" applyFill="1" applyBorder="1"/>
    <xf numFmtId="169" fontId="3" fillId="0" borderId="57" xfId="29" applyNumberFormat="1" applyFont="1" applyFill="1" applyBorder="1"/>
    <xf numFmtId="169" fontId="3" fillId="0" borderId="24" xfId="29" applyNumberFormat="1" applyFont="1" applyFill="1" applyBorder="1"/>
    <xf numFmtId="38" fontId="3" fillId="0" borderId="24" xfId="0" applyNumberFormat="1" applyFont="1" applyFill="1" applyBorder="1"/>
    <xf numFmtId="170" fontId="4" fillId="0" borderId="24" xfId="32" applyNumberFormat="1" applyFont="1" applyFill="1" applyBorder="1"/>
    <xf numFmtId="6" fontId="3" fillId="0" borderId="24" xfId="0" applyNumberFormat="1" applyFont="1" applyFill="1" applyBorder="1"/>
    <xf numFmtId="170" fontId="4" fillId="0" borderId="59" xfId="32" applyNumberFormat="1" applyFont="1" applyFill="1" applyBorder="1"/>
    <xf numFmtId="189" fontId="3" fillId="0" borderId="0" xfId="32" applyNumberFormat="1" applyFill="1"/>
    <xf numFmtId="189" fontId="3" fillId="0" borderId="0" xfId="57" applyNumberFormat="1" applyFill="1"/>
    <xf numFmtId="169" fontId="4" fillId="0" borderId="26" xfId="29" applyNumberFormat="1" applyFont="1" applyFill="1" applyBorder="1"/>
    <xf numFmtId="170" fontId="4" fillId="0" borderId="26" xfId="32" applyNumberFormat="1" applyFont="1" applyFill="1" applyBorder="1"/>
    <xf numFmtId="170" fontId="3" fillId="0" borderId="55" xfId="32" applyNumberFormat="1" applyFill="1" applyBorder="1"/>
    <xf numFmtId="170" fontId="4" fillId="0" borderId="71" xfId="32" applyNumberFormat="1" applyFont="1" applyFill="1" applyBorder="1"/>
    <xf numFmtId="5" fontId="39" fillId="2" borderId="0" xfId="0" applyFont="1" applyAlignment="1">
      <alignment horizontal="center"/>
    </xf>
    <xf numFmtId="1" fontId="103" fillId="2" borderId="0" xfId="0" applyNumberFormat="1" applyFont="1" applyAlignment="1">
      <alignment horizontal="right"/>
    </xf>
    <xf numFmtId="37" fontId="3" fillId="0" borderId="23" xfId="0" applyNumberFormat="1" applyFont="1" applyFill="1" applyBorder="1" applyAlignment="1">
      <alignment horizontal="center"/>
    </xf>
    <xf numFmtId="2" fontId="0" fillId="2" borderId="0" xfId="0" applyNumberFormat="1" applyAlignment="1">
      <alignment horizontal="right"/>
    </xf>
    <xf numFmtId="4" fontId="0" fillId="2" borderId="0" xfId="0" applyNumberFormat="1"/>
    <xf numFmtId="1" fontId="9" fillId="0" borderId="0" xfId="63" applyNumberFormat="1" applyFont="1" applyFill="1" applyAlignment="1">
      <alignment horizontal="center"/>
    </xf>
    <xf numFmtId="0" fontId="32" fillId="0" borderId="0" xfId="63" applyFont="1" applyFill="1" applyAlignment="1">
      <alignment horizontal="center"/>
    </xf>
    <xf numFmtId="0" fontId="32" fillId="0" borderId="7" xfId="63" applyFont="1" applyFill="1" applyBorder="1" applyAlignment="1">
      <alignment horizontal="center"/>
    </xf>
    <xf numFmtId="43" fontId="81" fillId="0" borderId="0" xfId="30" quotePrefix="1" applyFont="1" applyFill="1" applyAlignment="1">
      <alignment horizontal="right"/>
    </xf>
    <xf numFmtId="0" fontId="15" fillId="0" borderId="8" xfId="58" applyFont="1" applyFill="1" applyBorder="1"/>
    <xf numFmtId="0" fontId="3" fillId="0" borderId="9" xfId="58" applyFill="1" applyBorder="1"/>
    <xf numFmtId="0" fontId="3" fillId="0" borderId="10" xfId="58" applyFill="1" applyBorder="1"/>
    <xf numFmtId="0" fontId="15" fillId="0" borderId="0" xfId="58" applyFont="1" applyFill="1"/>
    <xf numFmtId="0" fontId="16" fillId="0" borderId="11" xfId="58" applyFont="1" applyFill="1" applyBorder="1"/>
    <xf numFmtId="0" fontId="3" fillId="0" borderId="2" xfId="58" applyFill="1" applyBorder="1"/>
    <xf numFmtId="0" fontId="16" fillId="0" borderId="0" xfId="58" applyFont="1" applyFill="1"/>
    <xf numFmtId="0" fontId="3" fillId="0" borderId="11" xfId="60" applyFill="1" applyBorder="1"/>
    <xf numFmtId="0" fontId="4" fillId="0" borderId="0" xfId="60" applyFont="1" applyFill="1"/>
    <xf numFmtId="10" fontId="4" fillId="0" borderId="2" xfId="60" applyNumberFormat="1" applyFont="1" applyFill="1" applyBorder="1"/>
    <xf numFmtId="17" fontId="4" fillId="0" borderId="0" xfId="60" applyNumberFormat="1" applyFont="1" applyFill="1"/>
    <xf numFmtId="14" fontId="4" fillId="0" borderId="2" xfId="60" applyNumberFormat="1" applyFont="1" applyFill="1" applyBorder="1" applyAlignment="1">
      <alignment horizontal="right"/>
    </xf>
    <xf numFmtId="0" fontId="3" fillId="0" borderId="18" xfId="60" applyFill="1" applyBorder="1"/>
    <xf numFmtId="0" fontId="4" fillId="0" borderId="4" xfId="60" applyFont="1" applyFill="1" applyBorder="1"/>
    <xf numFmtId="5" fontId="0" fillId="0" borderId="4" xfId="0" applyFill="1" applyBorder="1"/>
    <xf numFmtId="5" fontId="4" fillId="0" borderId="19" xfId="60" applyNumberFormat="1" applyFont="1" applyFill="1" applyBorder="1"/>
    <xf numFmtId="5" fontId="15" fillId="0" borderId="0" xfId="0" applyFont="1" applyFill="1" applyAlignment="1">
      <alignment horizontal="right"/>
    </xf>
    <xf numFmtId="5" fontId="15" fillId="0" borderId="0" xfId="0" quotePrefix="1" applyFont="1" applyFill="1"/>
    <xf numFmtId="44" fontId="0" fillId="0" borderId="0" xfId="0" applyNumberFormat="1" applyFill="1"/>
    <xf numFmtId="37" fontId="4" fillId="0" borderId="0" xfId="58" applyNumberFormat="1" applyFont="1" applyFill="1"/>
    <xf numFmtId="0" fontId="4" fillId="0" borderId="0" xfId="58" applyFont="1" applyFill="1" applyAlignment="1">
      <alignment horizontal="left"/>
    </xf>
    <xf numFmtId="0" fontId="4" fillId="0" borderId="0" xfId="58" applyFont="1" applyFill="1"/>
    <xf numFmtId="5" fontId="4" fillId="0" borderId="0" xfId="58" applyNumberFormat="1" applyFont="1" applyFill="1"/>
    <xf numFmtId="0" fontId="16" fillId="0" borderId="0" xfId="58" applyFont="1" applyFill="1" applyAlignment="1">
      <alignment horizontal="center"/>
    </xf>
    <xf numFmtId="0" fontId="15" fillId="0" borderId="0" xfId="58" applyFont="1" applyFill="1" applyAlignment="1">
      <alignment horizontal="center"/>
    </xf>
    <xf numFmtId="0" fontId="16" fillId="0" borderId="0" xfId="58" applyFont="1" applyFill="1" applyAlignment="1">
      <alignment horizontal="left"/>
    </xf>
    <xf numFmtId="0" fontId="3" fillId="0" borderId="0" xfId="58" applyFill="1" applyAlignment="1">
      <alignment vertical="center"/>
    </xf>
    <xf numFmtId="0" fontId="3" fillId="0" borderId="0" xfId="58" applyFill="1" applyAlignment="1">
      <alignment horizontal="left"/>
    </xf>
    <xf numFmtId="38" fontId="3" fillId="0" borderId="0" xfId="58" applyNumberFormat="1" applyFill="1"/>
    <xf numFmtId="37" fontId="3" fillId="0" borderId="0" xfId="58" applyNumberFormat="1" applyFill="1"/>
    <xf numFmtId="38" fontId="4" fillId="0" borderId="0" xfId="58" applyNumberFormat="1" applyFont="1" applyFill="1"/>
    <xf numFmtId="0" fontId="3" fillId="0" borderId="0" xfId="58" quotePrefix="1" applyFill="1" applyAlignment="1">
      <alignment horizontal="center"/>
    </xf>
    <xf numFmtId="0" fontId="4" fillId="0" borderId="0" xfId="58" applyFont="1" applyFill="1" applyAlignment="1">
      <alignment horizontal="center"/>
    </xf>
    <xf numFmtId="5" fontId="3" fillId="0" borderId="9" xfId="58" applyNumberFormat="1" applyFill="1" applyBorder="1"/>
    <xf numFmtId="5" fontId="3" fillId="0" borderId="9" xfId="58" applyNumberFormat="1" applyFill="1" applyBorder="1" applyAlignment="1">
      <alignment horizontal="center"/>
    </xf>
    <xf numFmtId="170" fontId="4" fillId="0" borderId="9" xfId="32" applyNumberFormat="1" applyFont="1" applyFill="1" applyBorder="1"/>
    <xf numFmtId="0" fontId="3" fillId="0" borderId="0" xfId="58" applyFill="1" applyAlignment="1">
      <alignment horizontal="center"/>
    </xf>
    <xf numFmtId="10" fontId="4" fillId="0" borderId="0" xfId="58" applyNumberFormat="1" applyFont="1" applyFill="1" applyAlignment="1">
      <alignment horizontal="left"/>
    </xf>
    <xf numFmtId="0" fontId="3" fillId="0" borderId="0" xfId="58" quotePrefix="1" applyFill="1"/>
    <xf numFmtId="5" fontId="3" fillId="0" borderId="0" xfId="58" applyNumberFormat="1" applyFill="1"/>
    <xf numFmtId="14" fontId="0" fillId="0" borderId="0" xfId="0" applyNumberFormat="1" applyFill="1"/>
    <xf numFmtId="1" fontId="0" fillId="0" borderId="24" xfId="0" applyNumberFormat="1" applyFill="1" applyBorder="1" applyAlignment="1">
      <alignment horizontal="center"/>
    </xf>
    <xf numFmtId="1" fontId="37" fillId="2" borderId="0" xfId="0" applyNumberFormat="1" applyFont="1" applyAlignment="1">
      <alignment horizontal="right"/>
    </xf>
    <xf numFmtId="190" fontId="3" fillId="0" borderId="0" xfId="32" applyNumberFormat="1" applyFill="1"/>
    <xf numFmtId="190" fontId="4" fillId="0" borderId="0" xfId="32" applyNumberFormat="1" applyFont="1" applyFill="1"/>
    <xf numFmtId="169" fontId="3" fillId="0" borderId="22" xfId="29" applyNumberFormat="1" applyFont="1" applyFill="1" applyBorder="1"/>
    <xf numFmtId="187" fontId="4" fillId="0" borderId="0" xfId="0" applyNumberFormat="1" applyFont="1" applyFill="1" applyAlignment="1">
      <alignment horizontal="center"/>
    </xf>
    <xf numFmtId="2" fontId="0" fillId="0" borderId="0" xfId="0" applyNumberFormat="1" applyFill="1"/>
    <xf numFmtId="10" fontId="4" fillId="0" borderId="0" xfId="60" applyNumberFormat="1" applyFont="1" applyFill="1" applyAlignment="1">
      <alignment horizontal="right"/>
    </xf>
    <xf numFmtId="44" fontId="4" fillId="0" borderId="0" xfId="32" applyFont="1" applyFill="1" applyAlignment="1">
      <alignment horizontal="right"/>
    </xf>
    <xf numFmtId="14" fontId="4" fillId="0" borderId="0" xfId="60" applyNumberFormat="1" applyFont="1" applyFill="1"/>
    <xf numFmtId="170" fontId="3" fillId="0" borderId="9" xfId="58" applyNumberFormat="1" applyFill="1" applyBorder="1"/>
    <xf numFmtId="10" fontId="0" fillId="0" borderId="0" xfId="0" applyNumberFormat="1" applyFill="1"/>
    <xf numFmtId="6" fontId="9" fillId="0" borderId="74" xfId="65" applyNumberFormat="1" applyFont="1" applyFill="1" applyBorder="1"/>
    <xf numFmtId="5" fontId="37" fillId="48" borderId="0" xfId="0" applyFont="1" applyFill="1" applyAlignment="1">
      <alignment horizontal="left"/>
    </xf>
    <xf numFmtId="164" fontId="37" fillId="48" borderId="0" xfId="0" applyNumberFormat="1" applyFont="1" applyFill="1" applyAlignment="1">
      <alignment horizontal="right"/>
    </xf>
    <xf numFmtId="5" fontId="103" fillId="48" borderId="75" xfId="0" applyFont="1" applyFill="1" applyBorder="1" applyAlignment="1">
      <alignment horizontal="left"/>
    </xf>
    <xf numFmtId="164" fontId="103" fillId="48" borderId="75" xfId="0" applyNumberFormat="1" applyFont="1" applyFill="1" applyBorder="1" applyAlignment="1">
      <alignment horizontal="right"/>
    </xf>
    <xf numFmtId="1" fontId="103" fillId="2" borderId="75" xfId="0" applyNumberFormat="1" applyFont="1" applyBorder="1" applyAlignment="1">
      <alignment horizontal="right"/>
    </xf>
    <xf numFmtId="0" fontId="27" fillId="0" borderId="75" xfId="3852" applyFont="1" applyBorder="1" applyAlignment="1"/>
    <xf numFmtId="0" fontId="2" fillId="0" borderId="75" xfId="3852" applyBorder="1" applyAlignment="1"/>
    <xf numFmtId="5" fontId="37" fillId="48" borderId="75" xfId="0" applyFont="1" applyFill="1" applyBorder="1" applyAlignment="1">
      <alignment horizontal="left"/>
    </xf>
    <xf numFmtId="164" fontId="37" fillId="48" borderId="75" xfId="0" applyNumberFormat="1" applyFont="1" applyFill="1" applyBorder="1" applyAlignment="1">
      <alignment horizontal="right"/>
    </xf>
    <xf numFmtId="1" fontId="37" fillId="2" borderId="75" xfId="0" applyNumberFormat="1" applyFont="1" applyBorder="1" applyAlignment="1">
      <alignment horizontal="right"/>
    </xf>
    <xf numFmtId="37" fontId="3" fillId="0" borderId="75" xfId="64" applyFill="1" applyBorder="1"/>
    <xf numFmtId="0" fontId="3" fillId="0" borderId="75" xfId="53" applyFill="1" applyBorder="1"/>
    <xf numFmtId="0" fontId="9" fillId="0" borderId="75" xfId="62" applyFont="1" applyFill="1" applyBorder="1"/>
    <xf numFmtId="0" fontId="9" fillId="0" borderId="75" xfId="62" applyFont="1" applyFill="1" applyBorder="1" applyAlignment="1">
      <alignment horizontal="center"/>
    </xf>
    <xf numFmtId="5" fontId="0" fillId="0" borderId="75" xfId="0" applyFill="1" applyBorder="1"/>
    <xf numFmtId="169" fontId="4" fillId="0" borderId="0" xfId="57" applyNumberFormat="1" applyFont="1" applyFill="1"/>
    <xf numFmtId="3" fontId="0" fillId="2" borderId="79" xfId="0" applyNumberFormat="1" applyBorder="1" applyAlignment="1">
      <alignment horizontal="right"/>
    </xf>
    <xf numFmtId="5" fontId="0" fillId="2" borderId="79" xfId="0" applyBorder="1"/>
    <xf numFmtId="180" fontId="23" fillId="38" borderId="78" xfId="3852" applyNumberFormat="1" applyFont="1" applyFill="1" applyBorder="1" applyAlignment="1"/>
    <xf numFmtId="0" fontId="27" fillId="0" borderId="76" xfId="3852" applyFont="1" applyBorder="1" applyAlignment="1"/>
    <xf numFmtId="1" fontId="103" fillId="2" borderId="76" xfId="0" applyNumberFormat="1" applyFont="1" applyBorder="1" applyAlignment="1">
      <alignment horizontal="right"/>
    </xf>
    <xf numFmtId="37" fontId="3" fillId="0" borderId="80" xfId="64" applyFill="1" applyBorder="1"/>
    <xf numFmtId="37" fontId="3" fillId="0" borderId="77" xfId="64" applyFill="1" applyBorder="1"/>
    <xf numFmtId="170" fontId="1" fillId="0" borderId="82" xfId="32" applyNumberFormat="1" applyFont="1" applyFill="1" applyBorder="1"/>
    <xf numFmtId="170" fontId="1" fillId="0" borderId="83" xfId="32" applyNumberFormat="1" applyFont="1" applyFill="1" applyBorder="1"/>
    <xf numFmtId="170" fontId="1" fillId="0" borderId="84" xfId="53" applyNumberFormat="1" applyFont="1" applyFill="1" applyBorder="1"/>
    <xf numFmtId="0" fontId="15" fillId="0" borderId="85" xfId="53" applyFont="1" applyFill="1" applyBorder="1"/>
    <xf numFmtId="0" fontId="3" fillId="0" borderId="86" xfId="53" applyFill="1" applyBorder="1" applyAlignment="1">
      <alignment horizontal="center"/>
    </xf>
    <xf numFmtId="1" fontId="0" fillId="0" borderId="85" xfId="0" applyNumberFormat="1" applyFill="1" applyBorder="1"/>
    <xf numFmtId="1" fontId="3" fillId="0" borderId="87" xfId="0" quotePrefix="1" applyNumberFormat="1" applyFont="1" applyFill="1" applyBorder="1" applyAlignment="1">
      <alignment horizontal="center"/>
    </xf>
    <xf numFmtId="1" fontId="3" fillId="0" borderId="85" xfId="0" quotePrefix="1" applyNumberFormat="1" applyFont="1" applyFill="1" applyBorder="1" applyAlignment="1">
      <alignment horizontal="center"/>
    </xf>
    <xf numFmtId="1" fontId="3" fillId="0" borderId="88" xfId="0" quotePrefix="1" applyNumberFormat="1" applyFont="1" applyFill="1" applyBorder="1" applyAlignment="1">
      <alignment horizontal="center"/>
    </xf>
    <xf numFmtId="1" fontId="0" fillId="0" borderId="88" xfId="0" applyNumberFormat="1" applyFill="1" applyBorder="1"/>
    <xf numFmtId="170" fontId="4" fillId="0" borderId="91" xfId="32" applyNumberFormat="1" applyFont="1" applyFill="1" applyBorder="1"/>
    <xf numFmtId="170" fontId="4" fillId="0" borderId="92" xfId="32" applyNumberFormat="1" applyFont="1" applyFill="1" applyBorder="1"/>
    <xf numFmtId="170" fontId="4" fillId="0" borderId="94" xfId="32" applyNumberFormat="1" applyFont="1" applyFill="1" applyBorder="1"/>
    <xf numFmtId="168" fontId="4" fillId="0" borderId="92" xfId="70" applyNumberFormat="1" applyFont="1" applyFill="1" applyBorder="1"/>
    <xf numFmtId="170" fontId="4" fillId="0" borderId="95" xfId="32" applyNumberFormat="1" applyFont="1" applyFill="1" applyBorder="1"/>
    <xf numFmtId="170" fontId="4" fillId="0" borderId="96" xfId="32" applyNumberFormat="1" applyFont="1" applyFill="1" applyBorder="1"/>
    <xf numFmtId="170" fontId="3" fillId="0" borderId="98" xfId="32" applyNumberFormat="1" applyFill="1" applyBorder="1"/>
    <xf numFmtId="170" fontId="4" fillId="0" borderId="98" xfId="32" applyNumberFormat="1" applyFont="1" applyFill="1" applyBorder="1"/>
    <xf numFmtId="170" fontId="3" fillId="0" borderId="99" xfId="0" applyNumberFormat="1" applyFont="1" applyFill="1" applyBorder="1"/>
    <xf numFmtId="170" fontId="4" fillId="0" borderId="99" xfId="0" applyNumberFormat="1" applyFont="1" applyFill="1" applyBorder="1"/>
    <xf numFmtId="6" fontId="9" fillId="0" borderId="100" xfId="62" applyNumberFormat="1" applyFont="1" applyFill="1" applyBorder="1"/>
    <xf numFmtId="6" fontId="9" fillId="0" borderId="83" xfId="62" applyNumberFormat="1" applyFont="1" applyFill="1" applyBorder="1"/>
    <xf numFmtId="6" fontId="9" fillId="0" borderId="99" xfId="62" applyNumberFormat="1" applyFont="1" applyFill="1" applyBorder="1"/>
    <xf numFmtId="0" fontId="32" fillId="0" borderId="85" xfId="62" applyFont="1" applyFill="1" applyBorder="1"/>
    <xf numFmtId="0" fontId="32" fillId="0" borderId="86" xfId="62" applyFont="1" applyFill="1" applyBorder="1" applyAlignment="1">
      <alignment horizontal="center"/>
    </xf>
    <xf numFmtId="6" fontId="36" fillId="0" borderId="83" xfId="49" applyNumberFormat="1" applyFont="1" applyFill="1" applyBorder="1" applyAlignment="1">
      <alignment horizontal="right"/>
    </xf>
    <xf numFmtId="5" fontId="36" fillId="0" borderId="99" xfId="49" applyFont="1" applyFill="1" applyBorder="1" applyAlignment="1">
      <alignment horizontal="right"/>
    </xf>
    <xf numFmtId="6" fontId="36" fillId="0" borderId="83" xfId="49" applyNumberFormat="1" applyFont="1" applyFill="1" applyBorder="1"/>
    <xf numFmtId="170" fontId="32" fillId="0" borderId="100" xfId="32" applyNumberFormat="1" applyFont="1" applyFill="1" applyBorder="1"/>
    <xf numFmtId="170" fontId="32" fillId="0" borderId="83" xfId="32" applyNumberFormat="1" applyFont="1" applyFill="1" applyBorder="1"/>
    <xf numFmtId="170" fontId="32" fillId="0" borderId="99" xfId="32" applyNumberFormat="1" applyFont="1" applyFill="1" applyBorder="1"/>
    <xf numFmtId="170" fontId="3" fillId="0" borderId="101" xfId="32" applyNumberFormat="1" applyFill="1" applyBorder="1"/>
    <xf numFmtId="170" fontId="4" fillId="0" borderId="102" xfId="32" applyNumberFormat="1" applyFont="1" applyFill="1" applyBorder="1"/>
    <xf numFmtId="6" fontId="36" fillId="0" borderId="83" xfId="0" applyNumberFormat="1" applyFont="1" applyFill="1" applyBorder="1" applyAlignment="1">
      <alignment horizontal="right"/>
    </xf>
    <xf numFmtId="5" fontId="36" fillId="0" borderId="99" xfId="0" applyFont="1" applyFill="1" applyBorder="1" applyAlignment="1">
      <alignment horizontal="right"/>
    </xf>
    <xf numFmtId="6" fontId="36" fillId="0" borderId="83" xfId="0" applyNumberFormat="1" applyFont="1" applyFill="1" applyBorder="1"/>
    <xf numFmtId="5" fontId="36" fillId="0" borderId="99" xfId="0" applyFont="1" applyFill="1" applyBorder="1"/>
    <xf numFmtId="6" fontId="36" fillId="0" borderId="99" xfId="0" applyNumberFormat="1" applyFont="1" applyFill="1" applyBorder="1"/>
    <xf numFmtId="5" fontId="3" fillId="0" borderId="99" xfId="56" applyNumberFormat="1" applyFill="1" applyBorder="1"/>
    <xf numFmtId="38" fontId="3" fillId="0" borderId="99" xfId="56" applyNumberFormat="1" applyFill="1" applyBorder="1"/>
    <xf numFmtId="7" fontId="3" fillId="0" borderId="99" xfId="56" applyNumberFormat="1" applyFill="1" applyBorder="1"/>
    <xf numFmtId="5" fontId="4" fillId="0" borderId="99" xfId="56" applyNumberFormat="1" applyFont="1" applyFill="1" applyBorder="1"/>
    <xf numFmtId="0" fontId="45" fillId="0" borderId="83" xfId="56" applyFont="1" applyFill="1" applyBorder="1" applyAlignment="1">
      <alignment horizontal="right" wrapText="1"/>
    </xf>
    <xf numFmtId="170" fontId="4" fillId="0" borderId="99" xfId="32" applyNumberFormat="1" applyFont="1" applyFill="1" applyBorder="1"/>
    <xf numFmtId="38" fontId="4" fillId="0" borderId="99" xfId="56" applyNumberFormat="1" applyFont="1" applyFill="1" applyBorder="1"/>
    <xf numFmtId="179" fontId="4" fillId="0" borderId="99" xfId="32" applyNumberFormat="1" applyFont="1" applyFill="1" applyBorder="1"/>
    <xf numFmtId="38" fontId="4" fillId="0" borderId="99" xfId="56" applyNumberFormat="1" applyFont="1" applyFill="1" applyBorder="1" applyAlignment="1">
      <alignment horizontal="center"/>
    </xf>
    <xf numFmtId="175" fontId="4" fillId="0" borderId="99" xfId="56" applyNumberFormat="1" applyFont="1" applyFill="1" applyBorder="1"/>
    <xf numFmtId="170" fontId="3" fillId="0" borderId="99" xfId="32" applyNumberFormat="1" applyFill="1" applyBorder="1"/>
    <xf numFmtId="169" fontId="3" fillId="0" borderId="99" xfId="29" applyNumberFormat="1" applyFill="1" applyBorder="1"/>
    <xf numFmtId="170" fontId="32" fillId="0" borderId="99" xfId="63" applyNumberFormat="1" applyFont="1" applyFill="1" applyBorder="1"/>
    <xf numFmtId="170" fontId="3" fillId="0" borderId="99" xfId="32" applyNumberFormat="1" applyFont="1" applyFill="1" applyBorder="1"/>
    <xf numFmtId="0" fontId="15" fillId="0" borderId="88" xfId="0" applyNumberFormat="1" applyFont="1" applyFill="1" applyBorder="1" applyAlignment="1">
      <alignment horizontal="center"/>
    </xf>
    <xf numFmtId="170" fontId="4" fillId="0" borderId="99" xfId="32" applyNumberFormat="1" applyFont="1" applyFill="1" applyBorder="1" applyAlignment="1">
      <alignment horizontal="right"/>
    </xf>
    <xf numFmtId="170" fontId="0" fillId="0" borderId="99" xfId="32" applyNumberFormat="1" applyFont="1" applyFill="1" applyBorder="1"/>
    <xf numFmtId="6" fontId="9" fillId="0" borderId="99" xfId="65" applyNumberFormat="1" applyFont="1" applyFill="1" applyBorder="1"/>
    <xf numFmtId="6" fontId="32" fillId="0" borderId="99" xfId="65" applyNumberFormat="1" applyFont="1" applyFill="1" applyBorder="1"/>
    <xf numFmtId="6" fontId="9" fillId="35" borderId="99" xfId="65" applyNumberFormat="1" applyFont="1" applyFill="1" applyBorder="1"/>
    <xf numFmtId="0" fontId="9" fillId="35" borderId="99" xfId="65" applyFont="1" applyFill="1" applyBorder="1"/>
    <xf numFmtId="8" fontId="9" fillId="35" borderId="99" xfId="65" applyNumberFormat="1" applyFont="1" applyFill="1" applyBorder="1"/>
    <xf numFmtId="170" fontId="0" fillId="0" borderId="99" xfId="0" applyNumberFormat="1" applyFill="1" applyBorder="1"/>
    <xf numFmtId="5" fontId="64" fillId="49" borderId="103" xfId="0" applyFont="1" applyFill="1" applyBorder="1"/>
    <xf numFmtId="5" fontId="64" fillId="49" borderId="83" xfId="0" applyFont="1" applyFill="1" applyBorder="1"/>
    <xf numFmtId="5" fontId="64" fillId="49" borderId="104" xfId="0" applyFont="1" applyFill="1" applyBorder="1"/>
    <xf numFmtId="5" fontId="0" fillId="2" borderId="103" xfId="0" applyBorder="1"/>
    <xf numFmtId="2" fontId="0" fillId="2" borderId="103" xfId="0" applyNumberFormat="1" applyBorder="1" applyAlignment="1">
      <alignment horizontal="right"/>
    </xf>
    <xf numFmtId="4" fontId="0" fillId="2" borderId="103" xfId="0" applyNumberFormat="1" applyBorder="1" applyAlignment="1">
      <alignment horizontal="right"/>
    </xf>
    <xf numFmtId="183" fontId="95" fillId="0" borderId="88" xfId="3854" applyFont="1" applyBorder="1" applyAlignment="1">
      <alignment horizontal="center"/>
    </xf>
    <xf numFmtId="5" fontId="0" fillId="2" borderId="86" xfId="0" applyBorder="1"/>
    <xf numFmtId="168" fontId="0" fillId="2" borderId="86" xfId="70" applyNumberFormat="1" applyFont="1" applyFill="1" applyBorder="1" applyAlignment="1">
      <alignment horizontal="center"/>
    </xf>
    <xf numFmtId="5" fontId="0" fillId="0" borderId="0" xfId="0" quotePrefix="1" applyFill="1"/>
    <xf numFmtId="169" fontId="113" fillId="0" borderId="0" xfId="31" applyNumberFormat="1" applyFont="1" applyFill="1"/>
    <xf numFmtId="5" fontId="3" fillId="0" borderId="0" xfId="0" quotePrefix="1" applyFont="1" applyFill="1"/>
    <xf numFmtId="44" fontId="0" fillId="35" borderId="0" xfId="32" applyFont="1" applyFill="1"/>
    <xf numFmtId="5" fontId="103" fillId="48" borderId="99" xfId="0" applyFont="1" applyFill="1" applyBorder="1" applyAlignment="1">
      <alignment horizontal="left"/>
    </xf>
    <xf numFmtId="164" fontId="103" fillId="48" borderId="99" xfId="0" applyNumberFormat="1" applyFont="1" applyFill="1" applyBorder="1" applyAlignment="1">
      <alignment horizontal="right"/>
    </xf>
    <xf numFmtId="166" fontId="105" fillId="46" borderId="67" xfId="0" quotePrefix="1" applyNumberFormat="1" applyFont="1" applyFill="1" applyBorder="1" applyAlignment="1">
      <alignment horizontal="center"/>
    </xf>
    <xf numFmtId="166" fontId="105" fillId="46" borderId="66" xfId="0" quotePrefix="1" applyNumberFormat="1" applyFont="1" applyFill="1" applyBorder="1" applyAlignment="1">
      <alignment horizontal="center"/>
    </xf>
    <xf numFmtId="0" fontId="9" fillId="0" borderId="0" xfId="63" quotePrefix="1" applyFont="1" applyFill="1"/>
    <xf numFmtId="0" fontId="7" fillId="0" borderId="81" xfId="53" applyFont="1" applyFill="1" applyBorder="1" applyAlignment="1">
      <alignment horizontal="center"/>
    </xf>
    <xf numFmtId="170" fontId="3" fillId="0" borderId="13" xfId="32" applyNumberFormat="1" applyFill="1" applyBorder="1"/>
    <xf numFmtId="169" fontId="3" fillId="0" borderId="13" xfId="29" applyNumberFormat="1" applyFill="1" applyBorder="1"/>
    <xf numFmtId="0" fontId="4" fillId="0" borderId="12" xfId="53" applyFont="1" applyFill="1" applyBorder="1"/>
    <xf numFmtId="37" fontId="4" fillId="0" borderId="0" xfId="57" applyNumberFormat="1" applyFont="1" applyFill="1" applyAlignment="1">
      <alignment horizontal="center"/>
    </xf>
    <xf numFmtId="0" fontId="73" fillId="0" borderId="0" xfId="48" applyFont="1"/>
    <xf numFmtId="14" fontId="78" fillId="0" borderId="0" xfId="3848" applyNumberFormat="1" applyFont="1" applyAlignment="1">
      <alignment horizontal="right"/>
    </xf>
    <xf numFmtId="14" fontId="120" fillId="0" borderId="0" xfId="3848" applyNumberFormat="1" applyFont="1" applyAlignment="1">
      <alignment horizontal="right"/>
    </xf>
    <xf numFmtId="0" fontId="78" fillId="0" borderId="0" xfId="3848" applyFont="1"/>
    <xf numFmtId="14" fontId="81" fillId="0" borderId="0" xfId="3848" quotePrefix="1" applyNumberFormat="1" applyFont="1" applyAlignment="1">
      <alignment horizontal="right"/>
    </xf>
    <xf numFmtId="0" fontId="81" fillId="0" borderId="0" xfId="3848" quotePrefix="1" applyFont="1" applyAlignment="1">
      <alignment horizontal="right"/>
    </xf>
    <xf numFmtId="14" fontId="78" fillId="0" borderId="0" xfId="3848" quotePrefix="1" applyNumberFormat="1" applyFont="1" applyAlignment="1">
      <alignment horizontal="right"/>
    </xf>
    <xf numFmtId="0" fontId="78" fillId="0" borderId="0" xfId="3848" quotePrefix="1" applyFont="1" applyAlignment="1">
      <alignment horizontal="right"/>
    </xf>
    <xf numFmtId="9" fontId="0" fillId="0" borderId="0" xfId="0" applyNumberFormat="1" applyFill="1"/>
    <xf numFmtId="1" fontId="9" fillId="0" borderId="88" xfId="62" applyNumberFormat="1" applyFont="1" applyFill="1" applyBorder="1" applyAlignment="1">
      <alignment horizontal="center"/>
    </xf>
    <xf numFmtId="0" fontId="9" fillId="0" borderId="33" xfId="63" applyFont="1" applyFill="1" applyBorder="1" applyAlignment="1">
      <alignment horizontal="center"/>
    </xf>
    <xf numFmtId="0" fontId="9" fillId="0" borderId="57" xfId="63" applyFont="1" applyFill="1" applyBorder="1" applyAlignment="1">
      <alignment horizontal="center"/>
    </xf>
    <xf numFmtId="168" fontId="4" fillId="0" borderId="0" xfId="0" applyNumberFormat="1" applyFont="1" applyFill="1" applyAlignment="1">
      <alignment horizontal="center"/>
    </xf>
    <xf numFmtId="10" fontId="4" fillId="0" borderId="0" xfId="0" applyNumberFormat="1" applyFont="1" applyFill="1"/>
    <xf numFmtId="187" fontId="4" fillId="0" borderId="0" xfId="0" applyNumberFormat="1" applyFont="1" applyFill="1"/>
    <xf numFmtId="0" fontId="3" fillId="0" borderId="0" xfId="63" quotePrefix="1" applyFill="1" applyAlignment="1">
      <alignment horizontal="center"/>
    </xf>
    <xf numFmtId="0" fontId="9" fillId="0" borderId="0" xfId="48" applyFont="1"/>
    <xf numFmtId="1" fontId="1" fillId="0" borderId="0" xfId="48" applyNumberFormat="1" applyFont="1" applyAlignment="1">
      <alignment horizontal="center"/>
    </xf>
    <xf numFmtId="0" fontId="1" fillId="0" borderId="0" xfId="48" applyFont="1"/>
    <xf numFmtId="0" fontId="12" fillId="0" borderId="0" xfId="48" applyFont="1"/>
    <xf numFmtId="0" fontId="1" fillId="0" borderId="7" xfId="48" applyFont="1" applyBorder="1" applyAlignment="1">
      <alignment horizontal="center"/>
    </xf>
    <xf numFmtId="37" fontId="9" fillId="0" borderId="0" xfId="48" applyNumberFormat="1" applyFont="1"/>
    <xf numFmtId="0" fontId="10" fillId="0" borderId="0" xfId="48" applyFont="1" applyAlignment="1">
      <alignment horizontal="right"/>
    </xf>
    <xf numFmtId="0" fontId="31" fillId="0" borderId="0" xfId="48" applyFont="1" applyAlignment="1">
      <alignment horizontal="center" wrapText="1"/>
    </xf>
    <xf numFmtId="0" fontId="31" fillId="0" borderId="0" xfId="48" quotePrefix="1" applyFont="1" applyAlignment="1">
      <alignment horizontal="center"/>
    </xf>
    <xf numFmtId="0" fontId="10" fillId="0" borderId="0" xfId="48" applyFont="1" applyAlignment="1">
      <alignment horizontal="center"/>
    </xf>
    <xf numFmtId="0" fontId="31" fillId="0" borderId="0" xfId="48" applyFont="1" applyAlignment="1">
      <alignment horizontal="center"/>
    </xf>
    <xf numFmtId="0" fontId="9" fillId="0" borderId="0" xfId="48" applyFont="1" applyAlignment="1">
      <alignment horizontal="center"/>
    </xf>
    <xf numFmtId="165" fontId="9" fillId="0" borderId="0" xfId="48" quotePrefix="1" applyNumberFormat="1" applyFont="1" applyAlignment="1">
      <alignment horizontal="center"/>
    </xf>
    <xf numFmtId="39" fontId="9" fillId="0" borderId="0" xfId="48" applyNumberFormat="1" applyFont="1"/>
    <xf numFmtId="1" fontId="9" fillId="0" borderId="0" xfId="48" applyNumberFormat="1" applyFont="1"/>
    <xf numFmtId="37" fontId="4" fillId="0" borderId="0" xfId="48" applyNumberFormat="1" applyFont="1"/>
    <xf numFmtId="165" fontId="9" fillId="0" borderId="0" xfId="48" applyNumberFormat="1" applyFont="1" applyAlignment="1">
      <alignment horizontal="center"/>
    </xf>
    <xf numFmtId="173" fontId="9" fillId="0" borderId="0" xfId="48" applyNumberFormat="1" applyFont="1"/>
    <xf numFmtId="1" fontId="9" fillId="0" borderId="0" xfId="48" applyNumberFormat="1" applyFont="1" applyAlignment="1">
      <alignment horizontal="right"/>
    </xf>
    <xf numFmtId="1" fontId="46" fillId="0" borderId="0" xfId="48" applyNumberFormat="1" applyFont="1" applyAlignment="1">
      <alignment horizontal="right"/>
    </xf>
    <xf numFmtId="0" fontId="46" fillId="0" borderId="0" xfId="48" applyFont="1"/>
    <xf numFmtId="37" fontId="32" fillId="0" borderId="0" xfId="48" applyNumberFormat="1" applyFont="1"/>
    <xf numFmtId="165" fontId="47" fillId="0" borderId="0" xfId="48" applyNumberFormat="1" applyFont="1" applyAlignment="1">
      <alignment horizontal="center"/>
    </xf>
    <xf numFmtId="0" fontId="47" fillId="0" borderId="0" xfId="48" applyFont="1"/>
    <xf numFmtId="1" fontId="2" fillId="0" borderId="0" xfId="48" applyNumberFormat="1" applyFont="1"/>
    <xf numFmtId="0" fontId="2" fillId="0" borderId="0" xfId="48" applyFont="1"/>
    <xf numFmtId="37" fontId="2" fillId="0" borderId="15" xfId="48" applyNumberFormat="1" applyFont="1" applyBorder="1"/>
    <xf numFmtId="37" fontId="2" fillId="0" borderId="0" xfId="48" applyNumberFormat="1" applyFont="1"/>
    <xf numFmtId="0" fontId="6" fillId="0" borderId="0" xfId="48" applyFont="1"/>
    <xf numFmtId="37" fontId="1" fillId="0" borderId="0" xfId="48" applyNumberFormat="1" applyFont="1"/>
    <xf numFmtId="0" fontId="6" fillId="0" borderId="0" xfId="48" applyFont="1" applyAlignment="1">
      <alignment horizontal="right"/>
    </xf>
    <xf numFmtId="10" fontId="26" fillId="0" borderId="0" xfId="48" applyNumberFormat="1" applyFont="1"/>
    <xf numFmtId="0" fontId="4" fillId="0" borderId="0" xfId="48" applyFont="1"/>
    <xf numFmtId="0" fontId="27" fillId="0" borderId="0" xfId="48" applyFont="1"/>
    <xf numFmtId="7" fontId="27" fillId="0" borderId="0" xfId="48" applyNumberFormat="1" applyFont="1"/>
    <xf numFmtId="10" fontId="4" fillId="0" borderId="0" xfId="48" applyNumberFormat="1" applyFont="1" applyAlignment="1">
      <alignment horizontal="left"/>
    </xf>
    <xf numFmtId="7" fontId="2" fillId="0" borderId="0" xfId="48" applyNumberFormat="1" applyFont="1"/>
    <xf numFmtId="39" fontId="9" fillId="0" borderId="0" xfId="48" quotePrefix="1" applyNumberFormat="1" applyFont="1"/>
    <xf numFmtId="1" fontId="0" fillId="0" borderId="86" xfId="0" quotePrefix="1" applyNumberFormat="1" applyFill="1" applyBorder="1" applyAlignment="1">
      <alignment horizontal="center"/>
    </xf>
    <xf numFmtId="1" fontId="0" fillId="0" borderId="89" xfId="0" quotePrefix="1" applyNumberFormat="1" applyFill="1" applyBorder="1" applyAlignment="1">
      <alignment horizontal="center"/>
    </xf>
    <xf numFmtId="1" fontId="3" fillId="0" borderId="90" xfId="0" quotePrefix="1" applyNumberFormat="1" applyFont="1" applyFill="1" applyBorder="1" applyAlignment="1">
      <alignment horizontal="center"/>
    </xf>
    <xf numFmtId="37" fontId="2" fillId="0" borderId="34" xfId="0" applyNumberFormat="1" applyFont="1" applyFill="1" applyBorder="1" applyAlignment="1">
      <alignment horizontal="center"/>
    </xf>
    <xf numFmtId="37" fontId="2" fillId="0" borderId="21" xfId="0" applyNumberFormat="1" applyFont="1" applyFill="1" applyBorder="1" applyAlignment="1">
      <alignment horizontal="center"/>
    </xf>
    <xf numFmtId="37" fontId="3" fillId="0" borderId="21" xfId="0" applyNumberFormat="1" applyFont="1" applyFill="1" applyBorder="1" applyAlignment="1">
      <alignment horizontal="center"/>
    </xf>
    <xf numFmtId="37" fontId="0" fillId="0" borderId="32" xfId="0" applyNumberFormat="1" applyFill="1" applyBorder="1" applyAlignment="1">
      <alignment horizontal="center"/>
    </xf>
    <xf numFmtId="5" fontId="0" fillId="0" borderId="72" xfId="0" applyFill="1" applyBorder="1"/>
    <xf numFmtId="170" fontId="3" fillId="0" borderId="6" xfId="32" applyNumberFormat="1" applyFont="1" applyFill="1" applyBorder="1"/>
    <xf numFmtId="169" fontId="0" fillId="0" borderId="72" xfId="29" applyNumberFormat="1" applyFont="1" applyFill="1" applyBorder="1"/>
    <xf numFmtId="169" fontId="3" fillId="0" borderId="72" xfId="29" applyNumberFormat="1" applyFill="1" applyBorder="1"/>
    <xf numFmtId="169" fontId="0" fillId="0" borderId="22" xfId="29" applyNumberFormat="1" applyFont="1" applyFill="1" applyBorder="1"/>
    <xf numFmtId="169" fontId="3" fillId="0" borderId="6" xfId="29" applyNumberFormat="1" applyFont="1" applyFill="1" applyBorder="1"/>
    <xf numFmtId="170" fontId="4" fillId="0" borderId="93" xfId="32" applyNumberFormat="1" applyFont="1" applyFill="1" applyBorder="1"/>
    <xf numFmtId="170" fontId="3" fillId="0" borderId="72" xfId="0" applyNumberFormat="1" applyFont="1" applyFill="1" applyBorder="1"/>
    <xf numFmtId="6" fontId="3" fillId="0" borderId="6" xfId="0" applyNumberFormat="1" applyFont="1" applyFill="1" applyBorder="1"/>
    <xf numFmtId="170" fontId="0" fillId="0" borderId="72" xfId="32" applyNumberFormat="1" applyFont="1" applyFill="1" applyBorder="1"/>
    <xf numFmtId="170" fontId="0" fillId="0" borderId="22" xfId="32" applyNumberFormat="1" applyFont="1" applyFill="1" applyBorder="1"/>
    <xf numFmtId="169" fontId="3" fillId="0" borderId="72" xfId="29" applyNumberFormat="1" applyFont="1" applyFill="1" applyBorder="1"/>
    <xf numFmtId="38" fontId="3" fillId="0" borderId="72" xfId="0" applyNumberFormat="1" applyFont="1" applyFill="1" applyBorder="1"/>
    <xf numFmtId="6" fontId="0" fillId="0" borderId="26" xfId="0" applyNumberFormat="1" applyFill="1" applyBorder="1"/>
    <xf numFmtId="6" fontId="3" fillId="0" borderId="72" xfId="0" applyNumberFormat="1" applyFont="1" applyFill="1" applyBorder="1"/>
    <xf numFmtId="170" fontId="3" fillId="0" borderId="72" xfId="32" applyNumberFormat="1" applyFill="1" applyBorder="1"/>
    <xf numFmtId="170" fontId="4" fillId="0" borderId="97" xfId="32" applyNumberFormat="1" applyFont="1" applyFill="1" applyBorder="1"/>
    <xf numFmtId="170" fontId="4" fillId="0" borderId="73" xfId="32" applyNumberFormat="1" applyFont="1" applyFill="1" applyBorder="1"/>
    <xf numFmtId="1" fontId="16" fillId="0" borderId="0" xfId="58" applyNumberFormat="1" applyFont="1" applyFill="1" applyAlignment="1">
      <alignment horizontal="center"/>
    </xf>
    <xf numFmtId="1" fontId="15" fillId="0" borderId="0" xfId="58" applyNumberFormat="1" applyFont="1" applyFill="1" applyAlignment="1">
      <alignment horizontal="center"/>
    </xf>
    <xf numFmtId="10" fontId="4" fillId="0" borderId="0" xfId="58" applyNumberFormat="1" applyFont="1" applyFill="1" applyAlignment="1">
      <alignment horizontal="center"/>
    </xf>
    <xf numFmtId="13" fontId="15" fillId="0" borderId="0" xfId="0" quotePrefix="1" applyNumberFormat="1" applyFont="1" applyFill="1" applyAlignment="1">
      <alignment horizontal="right"/>
    </xf>
    <xf numFmtId="5" fontId="13" fillId="0" borderId="0" xfId="0" applyFont="1" applyFill="1"/>
    <xf numFmtId="0" fontId="13" fillId="0" borderId="0" xfId="57" applyFont="1" applyFill="1"/>
    <xf numFmtId="5" fontId="71" fillId="0" borderId="0" xfId="0" applyFont="1" applyFill="1"/>
    <xf numFmtId="5" fontId="121" fillId="0" borderId="0" xfId="0" applyFont="1" applyFill="1"/>
    <xf numFmtId="5" fontId="0" fillId="0" borderId="16" xfId="0" applyFill="1" applyBorder="1"/>
    <xf numFmtId="38" fontId="106" fillId="46" borderId="66" xfId="0" applyNumberFormat="1" applyFont="1" applyFill="1" applyBorder="1" applyAlignment="1">
      <alignment horizontal="center" vertical="center" wrapText="1" shrinkToFit="1"/>
    </xf>
    <xf numFmtId="38" fontId="106" fillId="46" borderId="67" xfId="0" applyNumberFormat="1" applyFont="1" applyFill="1" applyBorder="1" applyAlignment="1">
      <alignment horizontal="center" vertical="center" wrapText="1" shrinkToFit="1"/>
    </xf>
    <xf numFmtId="37" fontId="69" fillId="0" borderId="12" xfId="64" applyFont="1" applyFill="1" applyBorder="1" applyAlignment="1">
      <alignment horizontal="center"/>
    </xf>
    <xf numFmtId="37" fontId="69" fillId="0" borderId="0" xfId="64" applyFont="1" applyFill="1" applyAlignment="1">
      <alignment horizontal="center"/>
    </xf>
    <xf numFmtId="37" fontId="69" fillId="0" borderId="13" xfId="64" applyFont="1" applyFill="1" applyBorder="1" applyAlignment="1">
      <alignment horizontal="center"/>
    </xf>
    <xf numFmtId="165" fontId="14" fillId="0" borderId="0" xfId="64" applyNumberFormat="1" applyFont="1" applyFill="1" applyAlignment="1">
      <alignment horizontal="center"/>
    </xf>
    <xf numFmtId="37" fontId="3" fillId="0" borderId="13" xfId="64" applyFill="1" applyBorder="1" applyAlignment="1">
      <alignment horizontal="center"/>
    </xf>
    <xf numFmtId="37" fontId="68" fillId="0" borderId="12" xfId="64" applyFont="1" applyFill="1" applyBorder="1" applyAlignment="1">
      <alignment horizontal="center"/>
    </xf>
    <xf numFmtId="37" fontId="68" fillId="0" borderId="0" xfId="64" applyFont="1" applyFill="1" applyAlignment="1">
      <alignment horizontal="center"/>
    </xf>
    <xf numFmtId="37" fontId="68" fillId="0" borderId="13" xfId="64" applyFont="1" applyFill="1" applyBorder="1" applyAlignment="1">
      <alignment horizontal="center"/>
    </xf>
    <xf numFmtId="37" fontId="33" fillId="0" borderId="12" xfId="64" applyFont="1" applyFill="1" applyBorder="1" applyAlignment="1">
      <alignment horizontal="center"/>
    </xf>
    <xf numFmtId="37" fontId="33" fillId="0" borderId="0" xfId="64" applyFont="1" applyFill="1" applyAlignment="1">
      <alignment horizontal="center"/>
    </xf>
    <xf numFmtId="37" fontId="33" fillId="0" borderId="13" xfId="64" applyFont="1" applyFill="1" applyBorder="1" applyAlignment="1">
      <alignment horizontal="center"/>
    </xf>
    <xf numFmtId="37" fontId="76" fillId="0" borderId="12" xfId="64" applyFont="1" applyFill="1" applyBorder="1" applyAlignment="1">
      <alignment horizontal="center"/>
    </xf>
    <xf numFmtId="37" fontId="76" fillId="0" borderId="0" xfId="64" applyFont="1" applyFill="1" applyAlignment="1">
      <alignment horizontal="center"/>
    </xf>
    <xf numFmtId="37" fontId="76" fillId="0" borderId="13" xfId="64" applyFont="1" applyFill="1" applyBorder="1" applyAlignment="1">
      <alignment horizontal="center"/>
    </xf>
    <xf numFmtId="37" fontId="13" fillId="0" borderId="0" xfId="64" applyFont="1" applyFill="1" applyAlignment="1">
      <alignment horizontal="left"/>
    </xf>
    <xf numFmtId="37" fontId="13" fillId="0" borderId="13" xfId="64" applyFont="1" applyFill="1" applyBorder="1" applyAlignment="1">
      <alignment horizontal="left"/>
    </xf>
    <xf numFmtId="37" fontId="71" fillId="0" borderId="12" xfId="64" applyFont="1" applyFill="1" applyBorder="1" applyAlignment="1">
      <alignment horizontal="center"/>
    </xf>
    <xf numFmtId="37" fontId="71" fillId="0" borderId="0" xfId="64" applyFont="1" applyFill="1" applyAlignment="1">
      <alignment horizontal="center"/>
    </xf>
    <xf numFmtId="37" fontId="71" fillId="0" borderId="13" xfId="64" applyFont="1" applyFill="1" applyBorder="1" applyAlignment="1">
      <alignment horizontal="center"/>
    </xf>
    <xf numFmtId="0" fontId="12" fillId="0" borderId="0" xfId="55" applyFont="1" applyFill="1" applyAlignment="1">
      <alignment horizontal="center"/>
    </xf>
    <xf numFmtId="37" fontId="1" fillId="0" borderId="35" xfId="55" applyNumberFormat="1" applyFont="1" applyFill="1" applyBorder="1" applyAlignment="1">
      <alignment horizontal="center"/>
    </xf>
    <xf numFmtId="5" fontId="0" fillId="2" borderId="36" xfId="0" applyBorder="1"/>
    <xf numFmtId="5" fontId="0" fillId="2" borderId="37" xfId="0" applyBorder="1"/>
    <xf numFmtId="0" fontId="1" fillId="0" borderId="38" xfId="55" applyFont="1" applyFill="1" applyBorder="1" applyAlignment="1">
      <alignment horizontal="center"/>
    </xf>
    <xf numFmtId="5" fontId="0" fillId="2" borderId="0" xfId="0"/>
    <xf numFmtId="5" fontId="0" fillId="2" borderId="39" xfId="0" applyBorder="1"/>
    <xf numFmtId="5" fontId="1" fillId="0" borderId="40" xfId="55" applyNumberFormat="1" applyFont="1" applyFill="1" applyBorder="1" applyAlignment="1">
      <alignment horizontal="center"/>
    </xf>
    <xf numFmtId="5" fontId="0" fillId="2" borderId="20" xfId="0" applyBorder="1"/>
    <xf numFmtId="5" fontId="0" fillId="2" borderId="41" xfId="0" applyBorder="1"/>
    <xf numFmtId="0" fontId="3" fillId="0" borderId="0" xfId="53" applyFill="1" applyAlignment="1">
      <alignment horizontal="center"/>
    </xf>
    <xf numFmtId="0" fontId="80" fillId="0" borderId="51" xfId="48" applyFont="1" applyBorder="1" applyAlignment="1">
      <alignment horizontal="center"/>
    </xf>
    <xf numFmtId="0" fontId="3" fillId="0" borderId="52" xfId="48" applyFont="1" applyBorder="1" applyAlignment="1">
      <alignment horizontal="center"/>
    </xf>
    <xf numFmtId="0" fontId="3" fillId="0" borderId="53" xfId="48" applyFont="1" applyBorder="1" applyAlignment="1">
      <alignment horizontal="center"/>
    </xf>
    <xf numFmtId="0" fontId="9" fillId="0" borderId="0" xfId="62" applyFont="1" applyFill="1"/>
    <xf numFmtId="0" fontId="9" fillId="0" borderId="0" xfId="62" applyFont="1" applyFill="1" applyAlignment="1">
      <alignment horizontal="center"/>
    </xf>
    <xf numFmtId="5" fontId="0" fillId="2" borderId="0" xfId="0" applyAlignment="1">
      <alignment horizontal="center"/>
    </xf>
    <xf numFmtId="5" fontId="0" fillId="0" borderId="0" xfId="0" applyFill="1" applyAlignment="1">
      <alignment horizontal="center"/>
    </xf>
    <xf numFmtId="5" fontId="0" fillId="0" borderId="0" xfId="0" applyFill="1" applyAlignment="1">
      <alignment horizontal="left"/>
    </xf>
    <xf numFmtId="0" fontId="3" fillId="0" borderId="0" xfId="58" applyFill="1" applyAlignment="1">
      <alignment horizontal="center"/>
    </xf>
    <xf numFmtId="0" fontId="24" fillId="0" borderId="85" xfId="65" applyFont="1" applyFill="1" applyBorder="1" applyAlignment="1">
      <alignment horizontal="center"/>
    </xf>
    <xf numFmtId="0" fontId="24" fillId="0" borderId="75" xfId="65" applyFont="1" applyFill="1" applyBorder="1" applyAlignment="1">
      <alignment horizontal="center"/>
    </xf>
    <xf numFmtId="0" fontId="24" fillId="0" borderId="86" xfId="65" applyFont="1" applyFill="1" applyBorder="1" applyAlignment="1">
      <alignment horizontal="center"/>
    </xf>
    <xf numFmtId="0" fontId="9" fillId="0" borderId="0" xfId="65" applyFont="1" applyFill="1" applyAlignment="1">
      <alignment horizontal="center"/>
    </xf>
    <xf numFmtId="5" fontId="118" fillId="2" borderId="0" xfId="0" applyFont="1" applyAlignment="1">
      <alignment horizontal="center"/>
    </xf>
    <xf numFmtId="5" fontId="119" fillId="2" borderId="0" xfId="0" applyFont="1" applyAlignment="1">
      <alignment horizontal="left" vertical="center"/>
    </xf>
  </cellXfs>
  <cellStyles count="3861">
    <cellStyle name="20% - Accent1" xfId="1" builtinId="30" customBuiltin="1"/>
    <cellStyle name="20% - Accent1 10" xfId="280" xr:uid="{00000000-0005-0000-0000-000001000000}"/>
    <cellStyle name="20% - Accent1 10 2" xfId="476" xr:uid="{00000000-0005-0000-0000-000002000000}"/>
    <cellStyle name="20% - Accent1 10 2 2" xfId="878" xr:uid="{00000000-0005-0000-0000-000003000000}"/>
    <cellStyle name="20% - Accent1 10 2 2 2" xfId="2668" xr:uid="{00000000-0005-0000-0000-000004000000}"/>
    <cellStyle name="20% - Accent1 10 2 3" xfId="1331" xr:uid="{00000000-0005-0000-0000-000005000000}"/>
    <cellStyle name="20% - Accent1 10 2 3 2" xfId="3100" xr:uid="{00000000-0005-0000-0000-000006000000}"/>
    <cellStyle name="20% - Accent1 10 2 4" xfId="1720" xr:uid="{00000000-0005-0000-0000-000007000000}"/>
    <cellStyle name="20% - Accent1 10 2 4 2" xfId="3476" xr:uid="{00000000-0005-0000-0000-000008000000}"/>
    <cellStyle name="20% - Accent1 10 2 5" xfId="2277" xr:uid="{00000000-0005-0000-0000-000009000000}"/>
    <cellStyle name="20% - Accent1 10 3" xfId="685" xr:uid="{00000000-0005-0000-0000-00000A000000}"/>
    <cellStyle name="20% - Accent1 10 3 2" xfId="2476" xr:uid="{00000000-0005-0000-0000-00000B000000}"/>
    <cellStyle name="20% - Accent1 10 4" xfId="1133" xr:uid="{00000000-0005-0000-0000-00000C000000}"/>
    <cellStyle name="20% - Accent1 10 4 2" xfId="2904" xr:uid="{00000000-0005-0000-0000-00000D000000}"/>
    <cellStyle name="20% - Accent1 10 5" xfId="1521" xr:uid="{00000000-0005-0000-0000-00000E000000}"/>
    <cellStyle name="20% - Accent1 10 5 2" xfId="3281" xr:uid="{00000000-0005-0000-0000-00000F000000}"/>
    <cellStyle name="20% - Accent1 10 6" xfId="1883" xr:uid="{00000000-0005-0000-0000-000010000000}"/>
    <cellStyle name="20% - Accent1 10 6 2" xfId="3635" xr:uid="{00000000-0005-0000-0000-000011000000}"/>
    <cellStyle name="20% - Accent1 10 7" xfId="2082" xr:uid="{00000000-0005-0000-0000-000012000000}"/>
    <cellStyle name="20% - Accent1 11" xfId="293" xr:uid="{00000000-0005-0000-0000-000013000000}"/>
    <cellStyle name="20% - Accent1 11 2" xfId="698" xr:uid="{00000000-0005-0000-0000-000014000000}"/>
    <cellStyle name="20% - Accent1 11 2 2" xfId="2489" xr:uid="{00000000-0005-0000-0000-000015000000}"/>
    <cellStyle name="20% - Accent1 11 3" xfId="1146" xr:uid="{00000000-0005-0000-0000-000016000000}"/>
    <cellStyle name="20% - Accent1 11 3 2" xfId="2917" xr:uid="{00000000-0005-0000-0000-000017000000}"/>
    <cellStyle name="20% - Accent1 11 4" xfId="1534" xr:uid="{00000000-0005-0000-0000-000018000000}"/>
    <cellStyle name="20% - Accent1 11 4 2" xfId="3294" xr:uid="{00000000-0005-0000-0000-000019000000}"/>
    <cellStyle name="20% - Accent1 11 5" xfId="2095" xr:uid="{00000000-0005-0000-0000-00001A000000}"/>
    <cellStyle name="20% - Accent1 12" xfId="488" xr:uid="{00000000-0005-0000-0000-00001B000000}"/>
    <cellStyle name="20% - Accent1 12 2" xfId="909" xr:uid="{00000000-0005-0000-0000-00001C000000}"/>
    <cellStyle name="20% - Accent1 12 2 2" xfId="2698" xr:uid="{00000000-0005-0000-0000-00001D000000}"/>
    <cellStyle name="20% - Accent1 12 3" xfId="2289" xr:uid="{00000000-0005-0000-0000-00001E000000}"/>
    <cellStyle name="20% - Accent1 13" xfId="903" xr:uid="{00000000-0005-0000-0000-00001F000000}"/>
    <cellStyle name="20% - Accent1 13 2" xfId="2692" xr:uid="{00000000-0005-0000-0000-000020000000}"/>
    <cellStyle name="20% - Accent1 14" xfId="891" xr:uid="{00000000-0005-0000-0000-000021000000}"/>
    <cellStyle name="20% - Accent1 14 2" xfId="2680" xr:uid="{00000000-0005-0000-0000-000022000000}"/>
    <cellStyle name="20% - Accent1 15" xfId="1546" xr:uid="{00000000-0005-0000-0000-000023000000}"/>
    <cellStyle name="20% - Accent1 15 2" xfId="3306" xr:uid="{00000000-0005-0000-0000-000024000000}"/>
    <cellStyle name="20% - Accent1 16" xfId="1895" xr:uid="{00000000-0005-0000-0000-000025000000}"/>
    <cellStyle name="20% - Accent1 17" xfId="3808" xr:uid="{00000000-0005-0000-0000-000026000000}"/>
    <cellStyle name="20% - Accent1 18" xfId="3824" xr:uid="{00000000-0005-0000-0000-000027000000}"/>
    <cellStyle name="20% - Accent1 2" xfId="97" xr:uid="{00000000-0005-0000-0000-000028000000}"/>
    <cellStyle name="20% - Accent1 2 2" xfId="133" xr:uid="{00000000-0005-0000-0000-000029000000}"/>
    <cellStyle name="20% - Accent1 2 2 2" xfId="342" xr:uid="{00000000-0005-0000-0000-00002A000000}"/>
    <cellStyle name="20% - Accent1 2 2 2 2" xfId="744" xr:uid="{00000000-0005-0000-0000-00002B000000}"/>
    <cellStyle name="20% - Accent1 2 2 2 2 2" xfId="2534" xr:uid="{00000000-0005-0000-0000-00002C000000}"/>
    <cellStyle name="20% - Accent1 2 2 2 3" xfId="1195" xr:uid="{00000000-0005-0000-0000-00002D000000}"/>
    <cellStyle name="20% - Accent1 2 2 2 3 2" xfId="2964" xr:uid="{00000000-0005-0000-0000-00002E000000}"/>
    <cellStyle name="20% - Accent1 2 2 2 4" xfId="1584" xr:uid="{00000000-0005-0000-0000-00002F000000}"/>
    <cellStyle name="20% - Accent1 2 2 2 4 2" xfId="3341" xr:uid="{00000000-0005-0000-0000-000030000000}"/>
    <cellStyle name="20% - Accent1 2 2 2 5" xfId="2142" xr:uid="{00000000-0005-0000-0000-000031000000}"/>
    <cellStyle name="20% - Accent1 2 2 3" xfId="529" xr:uid="{00000000-0005-0000-0000-000032000000}"/>
    <cellStyle name="20% - Accent1 2 2 3 2" xfId="2323" xr:uid="{00000000-0005-0000-0000-000033000000}"/>
    <cellStyle name="20% - Accent1 2 2 4" xfId="997" xr:uid="{00000000-0005-0000-0000-000034000000}"/>
    <cellStyle name="20% - Accent1 2 2 4 2" xfId="2767" xr:uid="{00000000-0005-0000-0000-000035000000}"/>
    <cellStyle name="20% - Accent1 2 2 5" xfId="1383" xr:uid="{00000000-0005-0000-0000-000036000000}"/>
    <cellStyle name="20% - Accent1 2 2 5 2" xfId="3144" xr:uid="{00000000-0005-0000-0000-000037000000}"/>
    <cellStyle name="20% - Accent1 2 2 6" xfId="1946" xr:uid="{00000000-0005-0000-0000-000038000000}"/>
    <cellStyle name="20% - Accent1 2 3" xfId="309" xr:uid="{00000000-0005-0000-0000-000039000000}"/>
    <cellStyle name="20% - Accent1 2 3 2" xfId="713" xr:uid="{00000000-0005-0000-0000-00003A000000}"/>
    <cellStyle name="20% - Accent1 2 3 2 2" xfId="2504" xr:uid="{00000000-0005-0000-0000-00003B000000}"/>
    <cellStyle name="20% - Accent1 2 3 3" xfId="1162" xr:uid="{00000000-0005-0000-0000-00003C000000}"/>
    <cellStyle name="20% - Accent1 2 3 3 2" xfId="2932" xr:uid="{00000000-0005-0000-0000-00003D000000}"/>
    <cellStyle name="20% - Accent1 2 3 4" xfId="1551" xr:uid="{00000000-0005-0000-0000-00003E000000}"/>
    <cellStyle name="20% - Accent1 2 3 4 2" xfId="3310" xr:uid="{00000000-0005-0000-0000-00003F000000}"/>
    <cellStyle name="20% - Accent1 2 3 5" xfId="2110" xr:uid="{00000000-0005-0000-0000-000040000000}"/>
    <cellStyle name="20% - Accent1 2 4" xfId="512" xr:uid="{00000000-0005-0000-0000-000041000000}"/>
    <cellStyle name="20% - Accent1 2 4 2" xfId="2308" xr:uid="{00000000-0005-0000-0000-000042000000}"/>
    <cellStyle name="20% - Accent1 2 5" xfId="923" xr:uid="{00000000-0005-0000-0000-000043000000}"/>
    <cellStyle name="20% - Accent1 2 5 2" xfId="2711" xr:uid="{00000000-0005-0000-0000-000044000000}"/>
    <cellStyle name="20% - Accent1 2 6" xfId="1344" xr:uid="{00000000-0005-0000-0000-000045000000}"/>
    <cellStyle name="20% - Accent1 2 6 2" xfId="3112" xr:uid="{00000000-0005-0000-0000-000046000000}"/>
    <cellStyle name="20% - Accent1 2 7" xfId="1749" xr:uid="{00000000-0005-0000-0000-000047000000}"/>
    <cellStyle name="20% - Accent1 2 7 2" xfId="3501" xr:uid="{00000000-0005-0000-0000-000048000000}"/>
    <cellStyle name="20% - Accent1 2 8" xfId="1912" xr:uid="{00000000-0005-0000-0000-000049000000}"/>
    <cellStyle name="20% - Accent1 3" xfId="162" xr:uid="{00000000-0005-0000-0000-00004A000000}"/>
    <cellStyle name="20% - Accent1 3 2" xfId="366" xr:uid="{00000000-0005-0000-0000-00004B000000}"/>
    <cellStyle name="20% - Accent1 3 2 2" xfId="769" xr:uid="{00000000-0005-0000-0000-00004C000000}"/>
    <cellStyle name="20% - Accent1 3 2 2 2" xfId="2559" xr:uid="{00000000-0005-0000-0000-00004D000000}"/>
    <cellStyle name="20% - Accent1 3 2 3" xfId="1220" xr:uid="{00000000-0005-0000-0000-00004E000000}"/>
    <cellStyle name="20% - Accent1 3 2 3 2" xfId="2989" xr:uid="{00000000-0005-0000-0000-00004F000000}"/>
    <cellStyle name="20% - Accent1 3 2 4" xfId="1609" xr:uid="{00000000-0005-0000-0000-000050000000}"/>
    <cellStyle name="20% - Accent1 3 2 4 2" xfId="3366" xr:uid="{00000000-0005-0000-0000-000051000000}"/>
    <cellStyle name="20% - Accent1 3 2 5" xfId="2167" xr:uid="{00000000-0005-0000-0000-000052000000}"/>
    <cellStyle name="20% - Accent1 3 3" xfId="575" xr:uid="{00000000-0005-0000-0000-000053000000}"/>
    <cellStyle name="20% - Accent1 3 3 2" xfId="2366" xr:uid="{00000000-0005-0000-0000-000054000000}"/>
    <cellStyle name="20% - Accent1 3 4" xfId="1022" xr:uid="{00000000-0005-0000-0000-000055000000}"/>
    <cellStyle name="20% - Accent1 3 4 2" xfId="2792" xr:uid="{00000000-0005-0000-0000-000056000000}"/>
    <cellStyle name="20% - Accent1 3 5" xfId="1408" xr:uid="{00000000-0005-0000-0000-000057000000}"/>
    <cellStyle name="20% - Accent1 3 5 2" xfId="3169" xr:uid="{00000000-0005-0000-0000-000058000000}"/>
    <cellStyle name="20% - Accent1 3 6" xfId="1776" xr:uid="{00000000-0005-0000-0000-000059000000}"/>
    <cellStyle name="20% - Accent1 3 6 2" xfId="3528" xr:uid="{00000000-0005-0000-0000-00005A000000}"/>
    <cellStyle name="20% - Accent1 3 7" xfId="1971" xr:uid="{00000000-0005-0000-0000-00005B000000}"/>
    <cellStyle name="20% - Accent1 4" xfId="181" xr:uid="{00000000-0005-0000-0000-00005C000000}"/>
    <cellStyle name="20% - Accent1 4 2" xfId="383" xr:uid="{00000000-0005-0000-0000-00005D000000}"/>
    <cellStyle name="20% - Accent1 4 2 2" xfId="786" xr:uid="{00000000-0005-0000-0000-00005E000000}"/>
    <cellStyle name="20% - Accent1 4 2 2 2" xfId="2576" xr:uid="{00000000-0005-0000-0000-00005F000000}"/>
    <cellStyle name="20% - Accent1 4 2 3" xfId="1237" xr:uid="{00000000-0005-0000-0000-000060000000}"/>
    <cellStyle name="20% - Accent1 4 2 3 2" xfId="3006" xr:uid="{00000000-0005-0000-0000-000061000000}"/>
    <cellStyle name="20% - Accent1 4 2 4" xfId="1626" xr:uid="{00000000-0005-0000-0000-000062000000}"/>
    <cellStyle name="20% - Accent1 4 2 4 2" xfId="3383" xr:uid="{00000000-0005-0000-0000-000063000000}"/>
    <cellStyle name="20% - Accent1 4 2 5" xfId="2184" xr:uid="{00000000-0005-0000-0000-000064000000}"/>
    <cellStyle name="20% - Accent1 4 3" xfId="592" xr:uid="{00000000-0005-0000-0000-000065000000}"/>
    <cellStyle name="20% - Accent1 4 3 2" xfId="2383" xr:uid="{00000000-0005-0000-0000-000066000000}"/>
    <cellStyle name="20% - Accent1 4 4" xfId="1039" xr:uid="{00000000-0005-0000-0000-000067000000}"/>
    <cellStyle name="20% - Accent1 4 4 2" xfId="2809" xr:uid="{00000000-0005-0000-0000-000068000000}"/>
    <cellStyle name="20% - Accent1 4 5" xfId="1426" xr:uid="{00000000-0005-0000-0000-000069000000}"/>
    <cellStyle name="20% - Accent1 4 5 2" xfId="3186" xr:uid="{00000000-0005-0000-0000-00006A000000}"/>
    <cellStyle name="20% - Accent1 4 6" xfId="1793" xr:uid="{00000000-0005-0000-0000-00006B000000}"/>
    <cellStyle name="20% - Accent1 4 6 2" xfId="3545" xr:uid="{00000000-0005-0000-0000-00006C000000}"/>
    <cellStyle name="20% - Accent1 4 7" xfId="1988" xr:uid="{00000000-0005-0000-0000-00006D000000}"/>
    <cellStyle name="20% - Accent1 5" xfId="199" xr:uid="{00000000-0005-0000-0000-00006E000000}"/>
    <cellStyle name="20% - Accent1 5 2" xfId="400" xr:uid="{00000000-0005-0000-0000-00006F000000}"/>
    <cellStyle name="20% - Accent1 5 2 2" xfId="803" xr:uid="{00000000-0005-0000-0000-000070000000}"/>
    <cellStyle name="20% - Accent1 5 2 2 2" xfId="2593" xr:uid="{00000000-0005-0000-0000-000071000000}"/>
    <cellStyle name="20% - Accent1 5 2 3" xfId="1254" xr:uid="{00000000-0005-0000-0000-000072000000}"/>
    <cellStyle name="20% - Accent1 5 2 3 2" xfId="3023" xr:uid="{00000000-0005-0000-0000-000073000000}"/>
    <cellStyle name="20% - Accent1 5 2 4" xfId="1643" xr:uid="{00000000-0005-0000-0000-000074000000}"/>
    <cellStyle name="20% - Accent1 5 2 4 2" xfId="3400" xr:uid="{00000000-0005-0000-0000-000075000000}"/>
    <cellStyle name="20% - Accent1 5 2 5" xfId="2201" xr:uid="{00000000-0005-0000-0000-000076000000}"/>
    <cellStyle name="20% - Accent1 5 3" xfId="609" xr:uid="{00000000-0005-0000-0000-000077000000}"/>
    <cellStyle name="20% - Accent1 5 3 2" xfId="2400" xr:uid="{00000000-0005-0000-0000-000078000000}"/>
    <cellStyle name="20% - Accent1 5 4" xfId="1056" xr:uid="{00000000-0005-0000-0000-000079000000}"/>
    <cellStyle name="20% - Accent1 5 4 2" xfId="2826" xr:uid="{00000000-0005-0000-0000-00007A000000}"/>
    <cellStyle name="20% - Accent1 5 5" xfId="1443" xr:uid="{00000000-0005-0000-0000-00007B000000}"/>
    <cellStyle name="20% - Accent1 5 5 2" xfId="3203" xr:uid="{00000000-0005-0000-0000-00007C000000}"/>
    <cellStyle name="20% - Accent1 5 6" xfId="1810" xr:uid="{00000000-0005-0000-0000-00007D000000}"/>
    <cellStyle name="20% - Accent1 5 6 2" xfId="3562" xr:uid="{00000000-0005-0000-0000-00007E000000}"/>
    <cellStyle name="20% - Accent1 5 7" xfId="2005" xr:uid="{00000000-0005-0000-0000-00007F000000}"/>
    <cellStyle name="20% - Accent1 6" xfId="213" xr:uid="{00000000-0005-0000-0000-000080000000}"/>
    <cellStyle name="20% - Accent1 6 2" xfId="414" xr:uid="{00000000-0005-0000-0000-000081000000}"/>
    <cellStyle name="20% - Accent1 6 2 2" xfId="817" xr:uid="{00000000-0005-0000-0000-000082000000}"/>
    <cellStyle name="20% - Accent1 6 2 2 2" xfId="2607" xr:uid="{00000000-0005-0000-0000-000083000000}"/>
    <cellStyle name="20% - Accent1 6 2 3" xfId="1268" xr:uid="{00000000-0005-0000-0000-000084000000}"/>
    <cellStyle name="20% - Accent1 6 2 3 2" xfId="3037" xr:uid="{00000000-0005-0000-0000-000085000000}"/>
    <cellStyle name="20% - Accent1 6 2 4" xfId="1657" xr:uid="{00000000-0005-0000-0000-000086000000}"/>
    <cellStyle name="20% - Accent1 6 2 4 2" xfId="3414" xr:uid="{00000000-0005-0000-0000-000087000000}"/>
    <cellStyle name="20% - Accent1 6 2 5" xfId="2215" xr:uid="{00000000-0005-0000-0000-000088000000}"/>
    <cellStyle name="20% - Accent1 6 3" xfId="623" xr:uid="{00000000-0005-0000-0000-000089000000}"/>
    <cellStyle name="20% - Accent1 6 3 2" xfId="2414" xr:uid="{00000000-0005-0000-0000-00008A000000}"/>
    <cellStyle name="20% - Accent1 6 4" xfId="1070" xr:uid="{00000000-0005-0000-0000-00008B000000}"/>
    <cellStyle name="20% - Accent1 6 4 2" xfId="2840" xr:uid="{00000000-0005-0000-0000-00008C000000}"/>
    <cellStyle name="20% - Accent1 6 5" xfId="1457" xr:uid="{00000000-0005-0000-0000-00008D000000}"/>
    <cellStyle name="20% - Accent1 6 5 2" xfId="3217" xr:uid="{00000000-0005-0000-0000-00008E000000}"/>
    <cellStyle name="20% - Accent1 6 6" xfId="1824" xr:uid="{00000000-0005-0000-0000-00008F000000}"/>
    <cellStyle name="20% - Accent1 6 6 2" xfId="3576" xr:uid="{00000000-0005-0000-0000-000090000000}"/>
    <cellStyle name="20% - Accent1 6 7" xfId="2019" xr:uid="{00000000-0005-0000-0000-000091000000}"/>
    <cellStyle name="20% - Accent1 7" xfId="217" xr:uid="{00000000-0005-0000-0000-000092000000}"/>
    <cellStyle name="20% - Accent1 7 2" xfId="417" xr:uid="{00000000-0005-0000-0000-000093000000}"/>
    <cellStyle name="20% - Accent1 7 2 2" xfId="820" xr:uid="{00000000-0005-0000-0000-000094000000}"/>
    <cellStyle name="20% - Accent1 7 2 2 2" xfId="2610" xr:uid="{00000000-0005-0000-0000-000095000000}"/>
    <cellStyle name="20% - Accent1 7 2 3" xfId="1271" xr:uid="{00000000-0005-0000-0000-000096000000}"/>
    <cellStyle name="20% - Accent1 7 2 3 2" xfId="3040" xr:uid="{00000000-0005-0000-0000-000097000000}"/>
    <cellStyle name="20% - Accent1 7 2 4" xfId="1660" xr:uid="{00000000-0005-0000-0000-000098000000}"/>
    <cellStyle name="20% - Accent1 7 2 4 2" xfId="3417" xr:uid="{00000000-0005-0000-0000-000099000000}"/>
    <cellStyle name="20% - Accent1 7 2 5" xfId="2218" xr:uid="{00000000-0005-0000-0000-00009A000000}"/>
    <cellStyle name="20% - Accent1 7 3" xfId="626" xr:uid="{00000000-0005-0000-0000-00009B000000}"/>
    <cellStyle name="20% - Accent1 7 3 2" xfId="2417" xr:uid="{00000000-0005-0000-0000-00009C000000}"/>
    <cellStyle name="20% - Accent1 7 4" xfId="1073" xr:uid="{00000000-0005-0000-0000-00009D000000}"/>
    <cellStyle name="20% - Accent1 7 4 2" xfId="2843" xr:uid="{00000000-0005-0000-0000-00009E000000}"/>
    <cellStyle name="20% - Accent1 7 5" xfId="1460" xr:uid="{00000000-0005-0000-0000-00009F000000}"/>
    <cellStyle name="20% - Accent1 7 5 2" xfId="3220" xr:uid="{00000000-0005-0000-0000-0000A0000000}"/>
    <cellStyle name="20% - Accent1 7 6" xfId="1827" xr:uid="{00000000-0005-0000-0000-0000A1000000}"/>
    <cellStyle name="20% - Accent1 7 6 2" xfId="3579" xr:uid="{00000000-0005-0000-0000-0000A2000000}"/>
    <cellStyle name="20% - Accent1 7 7" xfId="2022" xr:uid="{00000000-0005-0000-0000-0000A3000000}"/>
    <cellStyle name="20% - Accent1 8" xfId="236" xr:uid="{00000000-0005-0000-0000-0000A4000000}"/>
    <cellStyle name="20% - Accent1 8 2" xfId="435" xr:uid="{00000000-0005-0000-0000-0000A5000000}"/>
    <cellStyle name="20% - Accent1 8 2 2" xfId="838" xr:uid="{00000000-0005-0000-0000-0000A6000000}"/>
    <cellStyle name="20% - Accent1 8 2 2 2" xfId="2628" xr:uid="{00000000-0005-0000-0000-0000A7000000}"/>
    <cellStyle name="20% - Accent1 8 2 3" xfId="1289" xr:uid="{00000000-0005-0000-0000-0000A8000000}"/>
    <cellStyle name="20% - Accent1 8 2 3 2" xfId="3058" xr:uid="{00000000-0005-0000-0000-0000A9000000}"/>
    <cellStyle name="20% - Accent1 8 2 4" xfId="1678" xr:uid="{00000000-0005-0000-0000-0000AA000000}"/>
    <cellStyle name="20% - Accent1 8 2 4 2" xfId="3435" xr:uid="{00000000-0005-0000-0000-0000AB000000}"/>
    <cellStyle name="20% - Accent1 8 2 5" xfId="2236" xr:uid="{00000000-0005-0000-0000-0000AC000000}"/>
    <cellStyle name="20% - Accent1 8 3" xfId="644" xr:uid="{00000000-0005-0000-0000-0000AD000000}"/>
    <cellStyle name="20% - Accent1 8 3 2" xfId="2435" xr:uid="{00000000-0005-0000-0000-0000AE000000}"/>
    <cellStyle name="20% - Accent1 8 4" xfId="1091" xr:uid="{00000000-0005-0000-0000-0000AF000000}"/>
    <cellStyle name="20% - Accent1 8 4 2" xfId="2861" xr:uid="{00000000-0005-0000-0000-0000B0000000}"/>
    <cellStyle name="20% - Accent1 8 5" xfId="1478" xr:uid="{00000000-0005-0000-0000-0000B1000000}"/>
    <cellStyle name="20% - Accent1 8 5 2" xfId="3238" xr:uid="{00000000-0005-0000-0000-0000B2000000}"/>
    <cellStyle name="20% - Accent1 8 6" xfId="1845" xr:uid="{00000000-0005-0000-0000-0000B3000000}"/>
    <cellStyle name="20% - Accent1 8 6 2" xfId="3597" xr:uid="{00000000-0005-0000-0000-0000B4000000}"/>
    <cellStyle name="20% - Accent1 8 7" xfId="2040" xr:uid="{00000000-0005-0000-0000-0000B5000000}"/>
    <cellStyle name="20% - Accent1 9" xfId="255" xr:uid="{00000000-0005-0000-0000-0000B6000000}"/>
    <cellStyle name="20% - Accent1 9 2" xfId="453" xr:uid="{00000000-0005-0000-0000-0000B7000000}"/>
    <cellStyle name="20% - Accent1 9 2 2" xfId="856" xr:uid="{00000000-0005-0000-0000-0000B8000000}"/>
    <cellStyle name="20% - Accent1 9 2 2 2" xfId="2646" xr:uid="{00000000-0005-0000-0000-0000B9000000}"/>
    <cellStyle name="20% - Accent1 9 2 3" xfId="1307" xr:uid="{00000000-0005-0000-0000-0000BA000000}"/>
    <cellStyle name="20% - Accent1 9 2 3 2" xfId="3076" xr:uid="{00000000-0005-0000-0000-0000BB000000}"/>
    <cellStyle name="20% - Accent1 9 2 4" xfId="1696" xr:uid="{00000000-0005-0000-0000-0000BC000000}"/>
    <cellStyle name="20% - Accent1 9 2 4 2" xfId="3453" xr:uid="{00000000-0005-0000-0000-0000BD000000}"/>
    <cellStyle name="20% - Accent1 9 2 5" xfId="2254" xr:uid="{00000000-0005-0000-0000-0000BE000000}"/>
    <cellStyle name="20% - Accent1 9 3" xfId="662" xr:uid="{00000000-0005-0000-0000-0000BF000000}"/>
    <cellStyle name="20% - Accent1 9 3 2" xfId="2453" xr:uid="{00000000-0005-0000-0000-0000C0000000}"/>
    <cellStyle name="20% - Accent1 9 4" xfId="1109" xr:uid="{00000000-0005-0000-0000-0000C1000000}"/>
    <cellStyle name="20% - Accent1 9 4 2" xfId="2879" xr:uid="{00000000-0005-0000-0000-0000C2000000}"/>
    <cellStyle name="20% - Accent1 9 5" xfId="1496" xr:uid="{00000000-0005-0000-0000-0000C3000000}"/>
    <cellStyle name="20% - Accent1 9 5 2" xfId="3256" xr:uid="{00000000-0005-0000-0000-0000C4000000}"/>
    <cellStyle name="20% - Accent1 9 6" xfId="1863" xr:uid="{00000000-0005-0000-0000-0000C5000000}"/>
    <cellStyle name="20% - Accent1 9 6 2" xfId="3615" xr:uid="{00000000-0005-0000-0000-0000C6000000}"/>
    <cellStyle name="20% - Accent1 9 7" xfId="2058" xr:uid="{00000000-0005-0000-0000-0000C7000000}"/>
    <cellStyle name="20% - Accent2" xfId="2" builtinId="34" customBuiltin="1"/>
    <cellStyle name="20% - Accent2 10" xfId="282" xr:uid="{00000000-0005-0000-0000-0000C9000000}"/>
    <cellStyle name="20% - Accent2 10 2" xfId="478" xr:uid="{00000000-0005-0000-0000-0000CA000000}"/>
    <cellStyle name="20% - Accent2 10 2 2" xfId="880" xr:uid="{00000000-0005-0000-0000-0000CB000000}"/>
    <cellStyle name="20% - Accent2 10 2 2 2" xfId="2670" xr:uid="{00000000-0005-0000-0000-0000CC000000}"/>
    <cellStyle name="20% - Accent2 10 2 3" xfId="1333" xr:uid="{00000000-0005-0000-0000-0000CD000000}"/>
    <cellStyle name="20% - Accent2 10 2 3 2" xfId="3102" xr:uid="{00000000-0005-0000-0000-0000CE000000}"/>
    <cellStyle name="20% - Accent2 10 2 4" xfId="1722" xr:uid="{00000000-0005-0000-0000-0000CF000000}"/>
    <cellStyle name="20% - Accent2 10 2 4 2" xfId="3478" xr:uid="{00000000-0005-0000-0000-0000D0000000}"/>
    <cellStyle name="20% - Accent2 10 2 5" xfId="2279" xr:uid="{00000000-0005-0000-0000-0000D1000000}"/>
    <cellStyle name="20% - Accent2 10 3" xfId="687" xr:uid="{00000000-0005-0000-0000-0000D2000000}"/>
    <cellStyle name="20% - Accent2 10 3 2" xfId="2478" xr:uid="{00000000-0005-0000-0000-0000D3000000}"/>
    <cellStyle name="20% - Accent2 10 4" xfId="1135" xr:uid="{00000000-0005-0000-0000-0000D4000000}"/>
    <cellStyle name="20% - Accent2 10 4 2" xfId="2906" xr:uid="{00000000-0005-0000-0000-0000D5000000}"/>
    <cellStyle name="20% - Accent2 10 5" xfId="1523" xr:uid="{00000000-0005-0000-0000-0000D6000000}"/>
    <cellStyle name="20% - Accent2 10 5 2" xfId="3283" xr:uid="{00000000-0005-0000-0000-0000D7000000}"/>
    <cellStyle name="20% - Accent2 10 6" xfId="1885" xr:uid="{00000000-0005-0000-0000-0000D8000000}"/>
    <cellStyle name="20% - Accent2 10 6 2" xfId="3637" xr:uid="{00000000-0005-0000-0000-0000D9000000}"/>
    <cellStyle name="20% - Accent2 10 7" xfId="2084" xr:uid="{00000000-0005-0000-0000-0000DA000000}"/>
    <cellStyle name="20% - Accent2 11" xfId="294" xr:uid="{00000000-0005-0000-0000-0000DB000000}"/>
    <cellStyle name="20% - Accent2 11 2" xfId="699" xr:uid="{00000000-0005-0000-0000-0000DC000000}"/>
    <cellStyle name="20% - Accent2 11 2 2" xfId="2490" xr:uid="{00000000-0005-0000-0000-0000DD000000}"/>
    <cellStyle name="20% - Accent2 11 3" xfId="1147" xr:uid="{00000000-0005-0000-0000-0000DE000000}"/>
    <cellStyle name="20% - Accent2 11 3 2" xfId="2918" xr:uid="{00000000-0005-0000-0000-0000DF000000}"/>
    <cellStyle name="20% - Accent2 11 4" xfId="1535" xr:uid="{00000000-0005-0000-0000-0000E0000000}"/>
    <cellStyle name="20% - Accent2 11 4 2" xfId="3295" xr:uid="{00000000-0005-0000-0000-0000E1000000}"/>
    <cellStyle name="20% - Accent2 11 5" xfId="2096" xr:uid="{00000000-0005-0000-0000-0000E2000000}"/>
    <cellStyle name="20% - Accent2 12" xfId="490" xr:uid="{00000000-0005-0000-0000-0000E3000000}"/>
    <cellStyle name="20% - Accent2 12 2" xfId="913" xr:uid="{00000000-0005-0000-0000-0000E4000000}"/>
    <cellStyle name="20% - Accent2 12 2 2" xfId="2701" xr:uid="{00000000-0005-0000-0000-0000E5000000}"/>
    <cellStyle name="20% - Accent2 12 3" xfId="2291" xr:uid="{00000000-0005-0000-0000-0000E6000000}"/>
    <cellStyle name="20% - Accent2 13" xfId="901" xr:uid="{00000000-0005-0000-0000-0000E7000000}"/>
    <cellStyle name="20% - Accent2 13 2" xfId="2690" xr:uid="{00000000-0005-0000-0000-0000E8000000}"/>
    <cellStyle name="20% - Accent2 14" xfId="985" xr:uid="{00000000-0005-0000-0000-0000E9000000}"/>
    <cellStyle name="20% - Accent2 14 2" xfId="2755" xr:uid="{00000000-0005-0000-0000-0000EA000000}"/>
    <cellStyle name="20% - Accent2 15" xfId="898" xr:uid="{00000000-0005-0000-0000-0000EB000000}"/>
    <cellStyle name="20% - Accent2 15 2" xfId="2687" xr:uid="{00000000-0005-0000-0000-0000EC000000}"/>
    <cellStyle name="20% - Accent2 16" xfId="1897" xr:uid="{00000000-0005-0000-0000-0000ED000000}"/>
    <cellStyle name="20% - Accent2 17" xfId="3809" xr:uid="{00000000-0005-0000-0000-0000EE000000}"/>
    <cellStyle name="20% - Accent2 18" xfId="3825" xr:uid="{00000000-0005-0000-0000-0000EF000000}"/>
    <cellStyle name="20% - Accent2 2" xfId="98" xr:uid="{00000000-0005-0000-0000-0000F0000000}"/>
    <cellStyle name="20% - Accent2 2 2" xfId="132" xr:uid="{00000000-0005-0000-0000-0000F1000000}"/>
    <cellStyle name="20% - Accent2 2 2 2" xfId="341" xr:uid="{00000000-0005-0000-0000-0000F2000000}"/>
    <cellStyle name="20% - Accent2 2 2 2 2" xfId="743" xr:uid="{00000000-0005-0000-0000-0000F3000000}"/>
    <cellStyle name="20% - Accent2 2 2 2 2 2" xfId="2533" xr:uid="{00000000-0005-0000-0000-0000F4000000}"/>
    <cellStyle name="20% - Accent2 2 2 2 3" xfId="1194" xr:uid="{00000000-0005-0000-0000-0000F5000000}"/>
    <cellStyle name="20% - Accent2 2 2 2 3 2" xfId="2963" xr:uid="{00000000-0005-0000-0000-0000F6000000}"/>
    <cellStyle name="20% - Accent2 2 2 2 4" xfId="1583" xr:uid="{00000000-0005-0000-0000-0000F7000000}"/>
    <cellStyle name="20% - Accent2 2 2 2 4 2" xfId="3340" xr:uid="{00000000-0005-0000-0000-0000F8000000}"/>
    <cellStyle name="20% - Accent2 2 2 2 5" xfId="2141" xr:uid="{00000000-0005-0000-0000-0000F9000000}"/>
    <cellStyle name="20% - Accent2 2 2 3" xfId="530" xr:uid="{00000000-0005-0000-0000-0000FA000000}"/>
    <cellStyle name="20% - Accent2 2 2 3 2" xfId="2324" xr:uid="{00000000-0005-0000-0000-0000FB000000}"/>
    <cellStyle name="20% - Accent2 2 2 4" xfId="996" xr:uid="{00000000-0005-0000-0000-0000FC000000}"/>
    <cellStyle name="20% - Accent2 2 2 4 2" xfId="2766" xr:uid="{00000000-0005-0000-0000-0000FD000000}"/>
    <cellStyle name="20% - Accent2 2 2 5" xfId="1382" xr:uid="{00000000-0005-0000-0000-0000FE000000}"/>
    <cellStyle name="20% - Accent2 2 2 5 2" xfId="3143" xr:uid="{00000000-0005-0000-0000-0000FF000000}"/>
    <cellStyle name="20% - Accent2 2 2 6" xfId="1945" xr:uid="{00000000-0005-0000-0000-000000010000}"/>
    <cellStyle name="20% - Accent2 2 3" xfId="310" xr:uid="{00000000-0005-0000-0000-000001010000}"/>
    <cellStyle name="20% - Accent2 2 3 2" xfId="714" xr:uid="{00000000-0005-0000-0000-000002010000}"/>
    <cellStyle name="20% - Accent2 2 3 2 2" xfId="2505" xr:uid="{00000000-0005-0000-0000-000003010000}"/>
    <cellStyle name="20% - Accent2 2 3 3" xfId="1163" xr:uid="{00000000-0005-0000-0000-000004010000}"/>
    <cellStyle name="20% - Accent2 2 3 3 2" xfId="2933" xr:uid="{00000000-0005-0000-0000-000005010000}"/>
    <cellStyle name="20% - Accent2 2 3 4" xfId="1552" xr:uid="{00000000-0005-0000-0000-000006010000}"/>
    <cellStyle name="20% - Accent2 2 3 4 2" xfId="3311" xr:uid="{00000000-0005-0000-0000-000007010000}"/>
    <cellStyle name="20% - Accent2 2 3 5" xfId="2111" xr:uid="{00000000-0005-0000-0000-000008010000}"/>
    <cellStyle name="20% - Accent2 2 4" xfId="514" xr:uid="{00000000-0005-0000-0000-000009010000}"/>
    <cellStyle name="20% - Accent2 2 4 2" xfId="2310" xr:uid="{00000000-0005-0000-0000-00000A010000}"/>
    <cellStyle name="20% - Accent2 2 5" xfId="919" xr:uid="{00000000-0005-0000-0000-00000B010000}"/>
    <cellStyle name="20% - Accent2 2 5 2" xfId="2707" xr:uid="{00000000-0005-0000-0000-00000C010000}"/>
    <cellStyle name="20% - Accent2 2 6" xfId="1345" xr:uid="{00000000-0005-0000-0000-00000D010000}"/>
    <cellStyle name="20% - Accent2 2 6 2" xfId="3113" xr:uid="{00000000-0005-0000-0000-00000E010000}"/>
    <cellStyle name="20% - Accent2 2 7" xfId="1748" xr:uid="{00000000-0005-0000-0000-00000F010000}"/>
    <cellStyle name="20% - Accent2 2 7 2" xfId="3500" xr:uid="{00000000-0005-0000-0000-000010010000}"/>
    <cellStyle name="20% - Accent2 2 8" xfId="1913" xr:uid="{00000000-0005-0000-0000-000011010000}"/>
    <cellStyle name="20% - Accent2 3" xfId="161" xr:uid="{00000000-0005-0000-0000-000012010000}"/>
    <cellStyle name="20% - Accent2 3 2" xfId="365" xr:uid="{00000000-0005-0000-0000-000013010000}"/>
    <cellStyle name="20% - Accent2 3 2 2" xfId="768" xr:uid="{00000000-0005-0000-0000-000014010000}"/>
    <cellStyle name="20% - Accent2 3 2 2 2" xfId="2558" xr:uid="{00000000-0005-0000-0000-000015010000}"/>
    <cellStyle name="20% - Accent2 3 2 3" xfId="1219" xr:uid="{00000000-0005-0000-0000-000016010000}"/>
    <cellStyle name="20% - Accent2 3 2 3 2" xfId="2988" xr:uid="{00000000-0005-0000-0000-000017010000}"/>
    <cellStyle name="20% - Accent2 3 2 4" xfId="1608" xr:uid="{00000000-0005-0000-0000-000018010000}"/>
    <cellStyle name="20% - Accent2 3 2 4 2" xfId="3365" xr:uid="{00000000-0005-0000-0000-000019010000}"/>
    <cellStyle name="20% - Accent2 3 2 5" xfId="2166" xr:uid="{00000000-0005-0000-0000-00001A010000}"/>
    <cellStyle name="20% - Accent2 3 3" xfId="574" xr:uid="{00000000-0005-0000-0000-00001B010000}"/>
    <cellStyle name="20% - Accent2 3 3 2" xfId="2365" xr:uid="{00000000-0005-0000-0000-00001C010000}"/>
    <cellStyle name="20% - Accent2 3 4" xfId="1021" xr:uid="{00000000-0005-0000-0000-00001D010000}"/>
    <cellStyle name="20% - Accent2 3 4 2" xfId="2791" xr:uid="{00000000-0005-0000-0000-00001E010000}"/>
    <cellStyle name="20% - Accent2 3 5" xfId="1407" xr:uid="{00000000-0005-0000-0000-00001F010000}"/>
    <cellStyle name="20% - Accent2 3 5 2" xfId="3168" xr:uid="{00000000-0005-0000-0000-000020010000}"/>
    <cellStyle name="20% - Accent2 3 6" xfId="1775" xr:uid="{00000000-0005-0000-0000-000021010000}"/>
    <cellStyle name="20% - Accent2 3 6 2" xfId="3527" xr:uid="{00000000-0005-0000-0000-000022010000}"/>
    <cellStyle name="20% - Accent2 3 7" xfId="1970" xr:uid="{00000000-0005-0000-0000-000023010000}"/>
    <cellStyle name="20% - Accent2 4" xfId="180" xr:uid="{00000000-0005-0000-0000-000024010000}"/>
    <cellStyle name="20% - Accent2 4 2" xfId="382" xr:uid="{00000000-0005-0000-0000-000025010000}"/>
    <cellStyle name="20% - Accent2 4 2 2" xfId="785" xr:uid="{00000000-0005-0000-0000-000026010000}"/>
    <cellStyle name="20% - Accent2 4 2 2 2" xfId="2575" xr:uid="{00000000-0005-0000-0000-000027010000}"/>
    <cellStyle name="20% - Accent2 4 2 3" xfId="1236" xr:uid="{00000000-0005-0000-0000-000028010000}"/>
    <cellStyle name="20% - Accent2 4 2 3 2" xfId="3005" xr:uid="{00000000-0005-0000-0000-000029010000}"/>
    <cellStyle name="20% - Accent2 4 2 4" xfId="1625" xr:uid="{00000000-0005-0000-0000-00002A010000}"/>
    <cellStyle name="20% - Accent2 4 2 4 2" xfId="3382" xr:uid="{00000000-0005-0000-0000-00002B010000}"/>
    <cellStyle name="20% - Accent2 4 2 5" xfId="2183" xr:uid="{00000000-0005-0000-0000-00002C010000}"/>
    <cellStyle name="20% - Accent2 4 3" xfId="591" xr:uid="{00000000-0005-0000-0000-00002D010000}"/>
    <cellStyle name="20% - Accent2 4 3 2" xfId="2382" xr:uid="{00000000-0005-0000-0000-00002E010000}"/>
    <cellStyle name="20% - Accent2 4 4" xfId="1038" xr:uid="{00000000-0005-0000-0000-00002F010000}"/>
    <cellStyle name="20% - Accent2 4 4 2" xfId="2808" xr:uid="{00000000-0005-0000-0000-000030010000}"/>
    <cellStyle name="20% - Accent2 4 5" xfId="1425" xr:uid="{00000000-0005-0000-0000-000031010000}"/>
    <cellStyle name="20% - Accent2 4 5 2" xfId="3185" xr:uid="{00000000-0005-0000-0000-000032010000}"/>
    <cellStyle name="20% - Accent2 4 6" xfId="1792" xr:uid="{00000000-0005-0000-0000-000033010000}"/>
    <cellStyle name="20% - Accent2 4 6 2" xfId="3544" xr:uid="{00000000-0005-0000-0000-000034010000}"/>
    <cellStyle name="20% - Accent2 4 7" xfId="1987" xr:uid="{00000000-0005-0000-0000-000035010000}"/>
    <cellStyle name="20% - Accent2 5" xfId="198" xr:uid="{00000000-0005-0000-0000-000036010000}"/>
    <cellStyle name="20% - Accent2 5 2" xfId="399" xr:uid="{00000000-0005-0000-0000-000037010000}"/>
    <cellStyle name="20% - Accent2 5 2 2" xfId="802" xr:uid="{00000000-0005-0000-0000-000038010000}"/>
    <cellStyle name="20% - Accent2 5 2 2 2" xfId="2592" xr:uid="{00000000-0005-0000-0000-000039010000}"/>
    <cellStyle name="20% - Accent2 5 2 3" xfId="1253" xr:uid="{00000000-0005-0000-0000-00003A010000}"/>
    <cellStyle name="20% - Accent2 5 2 3 2" xfId="3022" xr:uid="{00000000-0005-0000-0000-00003B010000}"/>
    <cellStyle name="20% - Accent2 5 2 4" xfId="1642" xr:uid="{00000000-0005-0000-0000-00003C010000}"/>
    <cellStyle name="20% - Accent2 5 2 4 2" xfId="3399" xr:uid="{00000000-0005-0000-0000-00003D010000}"/>
    <cellStyle name="20% - Accent2 5 2 5" xfId="2200" xr:uid="{00000000-0005-0000-0000-00003E010000}"/>
    <cellStyle name="20% - Accent2 5 3" xfId="608" xr:uid="{00000000-0005-0000-0000-00003F010000}"/>
    <cellStyle name="20% - Accent2 5 3 2" xfId="2399" xr:uid="{00000000-0005-0000-0000-000040010000}"/>
    <cellStyle name="20% - Accent2 5 4" xfId="1055" xr:uid="{00000000-0005-0000-0000-000041010000}"/>
    <cellStyle name="20% - Accent2 5 4 2" xfId="2825" xr:uid="{00000000-0005-0000-0000-000042010000}"/>
    <cellStyle name="20% - Accent2 5 5" xfId="1442" xr:uid="{00000000-0005-0000-0000-000043010000}"/>
    <cellStyle name="20% - Accent2 5 5 2" xfId="3202" xr:uid="{00000000-0005-0000-0000-000044010000}"/>
    <cellStyle name="20% - Accent2 5 6" xfId="1809" xr:uid="{00000000-0005-0000-0000-000045010000}"/>
    <cellStyle name="20% - Accent2 5 6 2" xfId="3561" xr:uid="{00000000-0005-0000-0000-000046010000}"/>
    <cellStyle name="20% - Accent2 5 7" xfId="2004" xr:uid="{00000000-0005-0000-0000-000047010000}"/>
    <cellStyle name="20% - Accent2 6" xfId="212" xr:uid="{00000000-0005-0000-0000-000048010000}"/>
    <cellStyle name="20% - Accent2 6 2" xfId="413" xr:uid="{00000000-0005-0000-0000-000049010000}"/>
    <cellStyle name="20% - Accent2 6 2 2" xfId="816" xr:uid="{00000000-0005-0000-0000-00004A010000}"/>
    <cellStyle name="20% - Accent2 6 2 2 2" xfId="2606" xr:uid="{00000000-0005-0000-0000-00004B010000}"/>
    <cellStyle name="20% - Accent2 6 2 3" xfId="1267" xr:uid="{00000000-0005-0000-0000-00004C010000}"/>
    <cellStyle name="20% - Accent2 6 2 3 2" xfId="3036" xr:uid="{00000000-0005-0000-0000-00004D010000}"/>
    <cellStyle name="20% - Accent2 6 2 4" xfId="1656" xr:uid="{00000000-0005-0000-0000-00004E010000}"/>
    <cellStyle name="20% - Accent2 6 2 4 2" xfId="3413" xr:uid="{00000000-0005-0000-0000-00004F010000}"/>
    <cellStyle name="20% - Accent2 6 2 5" xfId="2214" xr:uid="{00000000-0005-0000-0000-000050010000}"/>
    <cellStyle name="20% - Accent2 6 3" xfId="622" xr:uid="{00000000-0005-0000-0000-000051010000}"/>
    <cellStyle name="20% - Accent2 6 3 2" xfId="2413" xr:uid="{00000000-0005-0000-0000-000052010000}"/>
    <cellStyle name="20% - Accent2 6 4" xfId="1069" xr:uid="{00000000-0005-0000-0000-000053010000}"/>
    <cellStyle name="20% - Accent2 6 4 2" xfId="2839" xr:uid="{00000000-0005-0000-0000-000054010000}"/>
    <cellStyle name="20% - Accent2 6 5" xfId="1456" xr:uid="{00000000-0005-0000-0000-000055010000}"/>
    <cellStyle name="20% - Accent2 6 5 2" xfId="3216" xr:uid="{00000000-0005-0000-0000-000056010000}"/>
    <cellStyle name="20% - Accent2 6 6" xfId="1823" xr:uid="{00000000-0005-0000-0000-000057010000}"/>
    <cellStyle name="20% - Accent2 6 6 2" xfId="3575" xr:uid="{00000000-0005-0000-0000-000058010000}"/>
    <cellStyle name="20% - Accent2 6 7" xfId="2018" xr:uid="{00000000-0005-0000-0000-000059010000}"/>
    <cellStyle name="20% - Accent2 7" xfId="218" xr:uid="{00000000-0005-0000-0000-00005A010000}"/>
    <cellStyle name="20% - Accent2 7 2" xfId="418" xr:uid="{00000000-0005-0000-0000-00005B010000}"/>
    <cellStyle name="20% - Accent2 7 2 2" xfId="821" xr:uid="{00000000-0005-0000-0000-00005C010000}"/>
    <cellStyle name="20% - Accent2 7 2 2 2" xfId="2611" xr:uid="{00000000-0005-0000-0000-00005D010000}"/>
    <cellStyle name="20% - Accent2 7 2 3" xfId="1272" xr:uid="{00000000-0005-0000-0000-00005E010000}"/>
    <cellStyle name="20% - Accent2 7 2 3 2" xfId="3041" xr:uid="{00000000-0005-0000-0000-00005F010000}"/>
    <cellStyle name="20% - Accent2 7 2 4" xfId="1661" xr:uid="{00000000-0005-0000-0000-000060010000}"/>
    <cellStyle name="20% - Accent2 7 2 4 2" xfId="3418" xr:uid="{00000000-0005-0000-0000-000061010000}"/>
    <cellStyle name="20% - Accent2 7 2 5" xfId="2219" xr:uid="{00000000-0005-0000-0000-000062010000}"/>
    <cellStyle name="20% - Accent2 7 3" xfId="627" xr:uid="{00000000-0005-0000-0000-000063010000}"/>
    <cellStyle name="20% - Accent2 7 3 2" xfId="2418" xr:uid="{00000000-0005-0000-0000-000064010000}"/>
    <cellStyle name="20% - Accent2 7 4" xfId="1074" xr:uid="{00000000-0005-0000-0000-000065010000}"/>
    <cellStyle name="20% - Accent2 7 4 2" xfId="2844" xr:uid="{00000000-0005-0000-0000-000066010000}"/>
    <cellStyle name="20% - Accent2 7 5" xfId="1461" xr:uid="{00000000-0005-0000-0000-000067010000}"/>
    <cellStyle name="20% - Accent2 7 5 2" xfId="3221" xr:uid="{00000000-0005-0000-0000-000068010000}"/>
    <cellStyle name="20% - Accent2 7 6" xfId="1828" xr:uid="{00000000-0005-0000-0000-000069010000}"/>
    <cellStyle name="20% - Accent2 7 6 2" xfId="3580" xr:uid="{00000000-0005-0000-0000-00006A010000}"/>
    <cellStyle name="20% - Accent2 7 7" xfId="2023" xr:uid="{00000000-0005-0000-0000-00006B010000}"/>
    <cellStyle name="20% - Accent2 8" xfId="237" xr:uid="{00000000-0005-0000-0000-00006C010000}"/>
    <cellStyle name="20% - Accent2 8 2" xfId="436" xr:uid="{00000000-0005-0000-0000-00006D010000}"/>
    <cellStyle name="20% - Accent2 8 2 2" xfId="839" xr:uid="{00000000-0005-0000-0000-00006E010000}"/>
    <cellStyle name="20% - Accent2 8 2 2 2" xfId="2629" xr:uid="{00000000-0005-0000-0000-00006F010000}"/>
    <cellStyle name="20% - Accent2 8 2 3" xfId="1290" xr:uid="{00000000-0005-0000-0000-000070010000}"/>
    <cellStyle name="20% - Accent2 8 2 3 2" xfId="3059" xr:uid="{00000000-0005-0000-0000-000071010000}"/>
    <cellStyle name="20% - Accent2 8 2 4" xfId="1679" xr:uid="{00000000-0005-0000-0000-000072010000}"/>
    <cellStyle name="20% - Accent2 8 2 4 2" xfId="3436" xr:uid="{00000000-0005-0000-0000-000073010000}"/>
    <cellStyle name="20% - Accent2 8 2 5" xfId="2237" xr:uid="{00000000-0005-0000-0000-000074010000}"/>
    <cellStyle name="20% - Accent2 8 3" xfId="645" xr:uid="{00000000-0005-0000-0000-000075010000}"/>
    <cellStyle name="20% - Accent2 8 3 2" xfId="2436" xr:uid="{00000000-0005-0000-0000-000076010000}"/>
    <cellStyle name="20% - Accent2 8 4" xfId="1092" xr:uid="{00000000-0005-0000-0000-000077010000}"/>
    <cellStyle name="20% - Accent2 8 4 2" xfId="2862" xr:uid="{00000000-0005-0000-0000-000078010000}"/>
    <cellStyle name="20% - Accent2 8 5" xfId="1479" xr:uid="{00000000-0005-0000-0000-000079010000}"/>
    <cellStyle name="20% - Accent2 8 5 2" xfId="3239" xr:uid="{00000000-0005-0000-0000-00007A010000}"/>
    <cellStyle name="20% - Accent2 8 6" xfId="1846" xr:uid="{00000000-0005-0000-0000-00007B010000}"/>
    <cellStyle name="20% - Accent2 8 6 2" xfId="3598" xr:uid="{00000000-0005-0000-0000-00007C010000}"/>
    <cellStyle name="20% - Accent2 8 7" xfId="2041" xr:uid="{00000000-0005-0000-0000-00007D010000}"/>
    <cellStyle name="20% - Accent2 9" xfId="256" xr:uid="{00000000-0005-0000-0000-00007E010000}"/>
    <cellStyle name="20% - Accent2 9 2" xfId="454" xr:uid="{00000000-0005-0000-0000-00007F010000}"/>
    <cellStyle name="20% - Accent2 9 2 2" xfId="857" xr:uid="{00000000-0005-0000-0000-000080010000}"/>
    <cellStyle name="20% - Accent2 9 2 2 2" xfId="2647" xr:uid="{00000000-0005-0000-0000-000081010000}"/>
    <cellStyle name="20% - Accent2 9 2 3" xfId="1308" xr:uid="{00000000-0005-0000-0000-000082010000}"/>
    <cellStyle name="20% - Accent2 9 2 3 2" xfId="3077" xr:uid="{00000000-0005-0000-0000-000083010000}"/>
    <cellStyle name="20% - Accent2 9 2 4" xfId="1697" xr:uid="{00000000-0005-0000-0000-000084010000}"/>
    <cellStyle name="20% - Accent2 9 2 4 2" xfId="3454" xr:uid="{00000000-0005-0000-0000-000085010000}"/>
    <cellStyle name="20% - Accent2 9 2 5" xfId="2255" xr:uid="{00000000-0005-0000-0000-000086010000}"/>
    <cellStyle name="20% - Accent2 9 3" xfId="663" xr:uid="{00000000-0005-0000-0000-000087010000}"/>
    <cellStyle name="20% - Accent2 9 3 2" xfId="2454" xr:uid="{00000000-0005-0000-0000-000088010000}"/>
    <cellStyle name="20% - Accent2 9 4" xfId="1110" xr:uid="{00000000-0005-0000-0000-000089010000}"/>
    <cellStyle name="20% - Accent2 9 4 2" xfId="2880" xr:uid="{00000000-0005-0000-0000-00008A010000}"/>
    <cellStyle name="20% - Accent2 9 5" xfId="1497" xr:uid="{00000000-0005-0000-0000-00008B010000}"/>
    <cellStyle name="20% - Accent2 9 5 2" xfId="3257" xr:uid="{00000000-0005-0000-0000-00008C010000}"/>
    <cellStyle name="20% - Accent2 9 6" xfId="1864" xr:uid="{00000000-0005-0000-0000-00008D010000}"/>
    <cellStyle name="20% - Accent2 9 6 2" xfId="3616" xr:uid="{00000000-0005-0000-0000-00008E010000}"/>
    <cellStyle name="20% - Accent2 9 7" xfId="2059" xr:uid="{00000000-0005-0000-0000-00008F010000}"/>
    <cellStyle name="20% - Accent3" xfId="3" builtinId="38" customBuiltin="1"/>
    <cellStyle name="20% - Accent3 10" xfId="284" xr:uid="{00000000-0005-0000-0000-000091010000}"/>
    <cellStyle name="20% - Accent3 10 2" xfId="480" xr:uid="{00000000-0005-0000-0000-000092010000}"/>
    <cellStyle name="20% - Accent3 10 2 2" xfId="882" xr:uid="{00000000-0005-0000-0000-000093010000}"/>
    <cellStyle name="20% - Accent3 10 2 2 2" xfId="2672" xr:uid="{00000000-0005-0000-0000-000094010000}"/>
    <cellStyle name="20% - Accent3 10 2 3" xfId="1335" xr:uid="{00000000-0005-0000-0000-000095010000}"/>
    <cellStyle name="20% - Accent3 10 2 3 2" xfId="3104" xr:uid="{00000000-0005-0000-0000-000096010000}"/>
    <cellStyle name="20% - Accent3 10 2 4" xfId="1724" xr:uid="{00000000-0005-0000-0000-000097010000}"/>
    <cellStyle name="20% - Accent3 10 2 4 2" xfId="3480" xr:uid="{00000000-0005-0000-0000-000098010000}"/>
    <cellStyle name="20% - Accent3 10 2 5" xfId="2281" xr:uid="{00000000-0005-0000-0000-000099010000}"/>
    <cellStyle name="20% - Accent3 10 3" xfId="689" xr:uid="{00000000-0005-0000-0000-00009A010000}"/>
    <cellStyle name="20% - Accent3 10 3 2" xfId="2480" xr:uid="{00000000-0005-0000-0000-00009B010000}"/>
    <cellStyle name="20% - Accent3 10 4" xfId="1137" xr:uid="{00000000-0005-0000-0000-00009C010000}"/>
    <cellStyle name="20% - Accent3 10 4 2" xfId="2908" xr:uid="{00000000-0005-0000-0000-00009D010000}"/>
    <cellStyle name="20% - Accent3 10 5" xfId="1525" xr:uid="{00000000-0005-0000-0000-00009E010000}"/>
    <cellStyle name="20% - Accent3 10 5 2" xfId="3285" xr:uid="{00000000-0005-0000-0000-00009F010000}"/>
    <cellStyle name="20% - Accent3 10 6" xfId="1887" xr:uid="{00000000-0005-0000-0000-0000A0010000}"/>
    <cellStyle name="20% - Accent3 10 6 2" xfId="3639" xr:uid="{00000000-0005-0000-0000-0000A1010000}"/>
    <cellStyle name="20% - Accent3 10 7" xfId="2086" xr:uid="{00000000-0005-0000-0000-0000A2010000}"/>
    <cellStyle name="20% - Accent3 11" xfId="295" xr:uid="{00000000-0005-0000-0000-0000A3010000}"/>
    <cellStyle name="20% - Accent3 11 2" xfId="700" xr:uid="{00000000-0005-0000-0000-0000A4010000}"/>
    <cellStyle name="20% - Accent3 11 2 2" xfId="2491" xr:uid="{00000000-0005-0000-0000-0000A5010000}"/>
    <cellStyle name="20% - Accent3 11 3" xfId="1148" xr:uid="{00000000-0005-0000-0000-0000A6010000}"/>
    <cellStyle name="20% - Accent3 11 3 2" xfId="2919" xr:uid="{00000000-0005-0000-0000-0000A7010000}"/>
    <cellStyle name="20% - Accent3 11 4" xfId="1536" xr:uid="{00000000-0005-0000-0000-0000A8010000}"/>
    <cellStyle name="20% - Accent3 11 4 2" xfId="3296" xr:uid="{00000000-0005-0000-0000-0000A9010000}"/>
    <cellStyle name="20% - Accent3 11 5" xfId="2097" xr:uid="{00000000-0005-0000-0000-0000AA010000}"/>
    <cellStyle name="20% - Accent3 12" xfId="492" xr:uid="{00000000-0005-0000-0000-0000AB010000}"/>
    <cellStyle name="20% - Accent3 12 2" xfId="917" xr:uid="{00000000-0005-0000-0000-0000AC010000}"/>
    <cellStyle name="20% - Accent3 12 2 2" xfId="2705" xr:uid="{00000000-0005-0000-0000-0000AD010000}"/>
    <cellStyle name="20% - Accent3 12 3" xfId="2293" xr:uid="{00000000-0005-0000-0000-0000AE010000}"/>
    <cellStyle name="20% - Accent3 13" xfId="907" xr:uid="{00000000-0005-0000-0000-0000AF010000}"/>
    <cellStyle name="20% - Accent3 13 2" xfId="2696" xr:uid="{00000000-0005-0000-0000-0000B0010000}"/>
    <cellStyle name="20% - Accent3 14" xfId="1128" xr:uid="{00000000-0005-0000-0000-0000B1010000}"/>
    <cellStyle name="20% - Accent3 14 2" xfId="2899" xr:uid="{00000000-0005-0000-0000-0000B2010000}"/>
    <cellStyle name="20% - Accent3 15" xfId="950" xr:uid="{00000000-0005-0000-0000-0000B3010000}"/>
    <cellStyle name="20% - Accent3 15 2" xfId="2729" xr:uid="{00000000-0005-0000-0000-0000B4010000}"/>
    <cellStyle name="20% - Accent3 16" xfId="1899" xr:uid="{00000000-0005-0000-0000-0000B5010000}"/>
    <cellStyle name="20% - Accent3 17" xfId="3810" xr:uid="{00000000-0005-0000-0000-0000B6010000}"/>
    <cellStyle name="20% - Accent3 18" xfId="3826" xr:uid="{00000000-0005-0000-0000-0000B7010000}"/>
    <cellStyle name="20% - Accent3 2" xfId="99" xr:uid="{00000000-0005-0000-0000-0000B8010000}"/>
    <cellStyle name="20% - Accent3 2 2" xfId="131" xr:uid="{00000000-0005-0000-0000-0000B9010000}"/>
    <cellStyle name="20% - Accent3 2 2 2" xfId="340" xr:uid="{00000000-0005-0000-0000-0000BA010000}"/>
    <cellStyle name="20% - Accent3 2 2 2 2" xfId="742" xr:uid="{00000000-0005-0000-0000-0000BB010000}"/>
    <cellStyle name="20% - Accent3 2 2 2 2 2" xfId="2532" xr:uid="{00000000-0005-0000-0000-0000BC010000}"/>
    <cellStyle name="20% - Accent3 2 2 2 3" xfId="1193" xr:uid="{00000000-0005-0000-0000-0000BD010000}"/>
    <cellStyle name="20% - Accent3 2 2 2 3 2" xfId="2962" xr:uid="{00000000-0005-0000-0000-0000BE010000}"/>
    <cellStyle name="20% - Accent3 2 2 2 4" xfId="1582" xr:uid="{00000000-0005-0000-0000-0000BF010000}"/>
    <cellStyle name="20% - Accent3 2 2 2 4 2" xfId="3339" xr:uid="{00000000-0005-0000-0000-0000C0010000}"/>
    <cellStyle name="20% - Accent3 2 2 2 5" xfId="2140" xr:uid="{00000000-0005-0000-0000-0000C1010000}"/>
    <cellStyle name="20% - Accent3 2 2 3" xfId="531" xr:uid="{00000000-0005-0000-0000-0000C2010000}"/>
    <cellStyle name="20% - Accent3 2 2 3 2" xfId="2325" xr:uid="{00000000-0005-0000-0000-0000C3010000}"/>
    <cellStyle name="20% - Accent3 2 2 4" xfId="995" xr:uid="{00000000-0005-0000-0000-0000C4010000}"/>
    <cellStyle name="20% - Accent3 2 2 4 2" xfId="2765" xr:uid="{00000000-0005-0000-0000-0000C5010000}"/>
    <cellStyle name="20% - Accent3 2 2 5" xfId="1381" xr:uid="{00000000-0005-0000-0000-0000C6010000}"/>
    <cellStyle name="20% - Accent3 2 2 5 2" xfId="3142" xr:uid="{00000000-0005-0000-0000-0000C7010000}"/>
    <cellStyle name="20% - Accent3 2 2 6" xfId="1944" xr:uid="{00000000-0005-0000-0000-0000C8010000}"/>
    <cellStyle name="20% - Accent3 2 3" xfId="311" xr:uid="{00000000-0005-0000-0000-0000C9010000}"/>
    <cellStyle name="20% - Accent3 2 3 2" xfId="715" xr:uid="{00000000-0005-0000-0000-0000CA010000}"/>
    <cellStyle name="20% - Accent3 2 3 2 2" xfId="2506" xr:uid="{00000000-0005-0000-0000-0000CB010000}"/>
    <cellStyle name="20% - Accent3 2 3 3" xfId="1164" xr:uid="{00000000-0005-0000-0000-0000CC010000}"/>
    <cellStyle name="20% - Accent3 2 3 3 2" xfId="2934" xr:uid="{00000000-0005-0000-0000-0000CD010000}"/>
    <cellStyle name="20% - Accent3 2 3 4" xfId="1553" xr:uid="{00000000-0005-0000-0000-0000CE010000}"/>
    <cellStyle name="20% - Accent3 2 3 4 2" xfId="3312" xr:uid="{00000000-0005-0000-0000-0000CF010000}"/>
    <cellStyle name="20% - Accent3 2 3 5" xfId="2112" xr:uid="{00000000-0005-0000-0000-0000D0010000}"/>
    <cellStyle name="20% - Accent3 2 4" xfId="516" xr:uid="{00000000-0005-0000-0000-0000D1010000}"/>
    <cellStyle name="20% - Accent3 2 4 2" xfId="2312" xr:uid="{00000000-0005-0000-0000-0000D2010000}"/>
    <cellStyle name="20% - Accent3 2 5" xfId="915" xr:uid="{00000000-0005-0000-0000-0000D3010000}"/>
    <cellStyle name="20% - Accent3 2 5 2" xfId="2703" xr:uid="{00000000-0005-0000-0000-0000D4010000}"/>
    <cellStyle name="20% - Accent3 2 6" xfId="1346" xr:uid="{00000000-0005-0000-0000-0000D5010000}"/>
    <cellStyle name="20% - Accent3 2 6 2" xfId="3114" xr:uid="{00000000-0005-0000-0000-0000D6010000}"/>
    <cellStyle name="20% - Accent3 2 7" xfId="1747" xr:uid="{00000000-0005-0000-0000-0000D7010000}"/>
    <cellStyle name="20% - Accent3 2 7 2" xfId="3499" xr:uid="{00000000-0005-0000-0000-0000D8010000}"/>
    <cellStyle name="20% - Accent3 2 8" xfId="1914" xr:uid="{00000000-0005-0000-0000-0000D9010000}"/>
    <cellStyle name="20% - Accent3 3" xfId="160" xr:uid="{00000000-0005-0000-0000-0000DA010000}"/>
    <cellStyle name="20% - Accent3 3 2" xfId="364" xr:uid="{00000000-0005-0000-0000-0000DB010000}"/>
    <cellStyle name="20% - Accent3 3 2 2" xfId="767" xr:uid="{00000000-0005-0000-0000-0000DC010000}"/>
    <cellStyle name="20% - Accent3 3 2 2 2" xfId="2557" xr:uid="{00000000-0005-0000-0000-0000DD010000}"/>
    <cellStyle name="20% - Accent3 3 2 3" xfId="1218" xr:uid="{00000000-0005-0000-0000-0000DE010000}"/>
    <cellStyle name="20% - Accent3 3 2 3 2" xfId="2987" xr:uid="{00000000-0005-0000-0000-0000DF010000}"/>
    <cellStyle name="20% - Accent3 3 2 4" xfId="1607" xr:uid="{00000000-0005-0000-0000-0000E0010000}"/>
    <cellStyle name="20% - Accent3 3 2 4 2" xfId="3364" xr:uid="{00000000-0005-0000-0000-0000E1010000}"/>
    <cellStyle name="20% - Accent3 3 2 5" xfId="2165" xr:uid="{00000000-0005-0000-0000-0000E2010000}"/>
    <cellStyle name="20% - Accent3 3 3" xfId="573" xr:uid="{00000000-0005-0000-0000-0000E3010000}"/>
    <cellStyle name="20% - Accent3 3 3 2" xfId="2364" xr:uid="{00000000-0005-0000-0000-0000E4010000}"/>
    <cellStyle name="20% - Accent3 3 4" xfId="1020" xr:uid="{00000000-0005-0000-0000-0000E5010000}"/>
    <cellStyle name="20% - Accent3 3 4 2" xfId="2790" xr:uid="{00000000-0005-0000-0000-0000E6010000}"/>
    <cellStyle name="20% - Accent3 3 5" xfId="1406" xr:uid="{00000000-0005-0000-0000-0000E7010000}"/>
    <cellStyle name="20% - Accent3 3 5 2" xfId="3167" xr:uid="{00000000-0005-0000-0000-0000E8010000}"/>
    <cellStyle name="20% - Accent3 3 6" xfId="1774" xr:uid="{00000000-0005-0000-0000-0000E9010000}"/>
    <cellStyle name="20% - Accent3 3 6 2" xfId="3526" xr:uid="{00000000-0005-0000-0000-0000EA010000}"/>
    <cellStyle name="20% - Accent3 3 7" xfId="1969" xr:uid="{00000000-0005-0000-0000-0000EB010000}"/>
    <cellStyle name="20% - Accent3 4" xfId="179" xr:uid="{00000000-0005-0000-0000-0000EC010000}"/>
    <cellStyle name="20% - Accent3 4 2" xfId="381" xr:uid="{00000000-0005-0000-0000-0000ED010000}"/>
    <cellStyle name="20% - Accent3 4 2 2" xfId="784" xr:uid="{00000000-0005-0000-0000-0000EE010000}"/>
    <cellStyle name="20% - Accent3 4 2 2 2" xfId="2574" xr:uid="{00000000-0005-0000-0000-0000EF010000}"/>
    <cellStyle name="20% - Accent3 4 2 3" xfId="1235" xr:uid="{00000000-0005-0000-0000-0000F0010000}"/>
    <cellStyle name="20% - Accent3 4 2 3 2" xfId="3004" xr:uid="{00000000-0005-0000-0000-0000F1010000}"/>
    <cellStyle name="20% - Accent3 4 2 4" xfId="1624" xr:uid="{00000000-0005-0000-0000-0000F2010000}"/>
    <cellStyle name="20% - Accent3 4 2 4 2" xfId="3381" xr:uid="{00000000-0005-0000-0000-0000F3010000}"/>
    <cellStyle name="20% - Accent3 4 2 5" xfId="2182" xr:uid="{00000000-0005-0000-0000-0000F4010000}"/>
    <cellStyle name="20% - Accent3 4 3" xfId="590" xr:uid="{00000000-0005-0000-0000-0000F5010000}"/>
    <cellStyle name="20% - Accent3 4 3 2" xfId="2381" xr:uid="{00000000-0005-0000-0000-0000F6010000}"/>
    <cellStyle name="20% - Accent3 4 4" xfId="1037" xr:uid="{00000000-0005-0000-0000-0000F7010000}"/>
    <cellStyle name="20% - Accent3 4 4 2" xfId="2807" xr:uid="{00000000-0005-0000-0000-0000F8010000}"/>
    <cellStyle name="20% - Accent3 4 5" xfId="1424" xr:uid="{00000000-0005-0000-0000-0000F9010000}"/>
    <cellStyle name="20% - Accent3 4 5 2" xfId="3184" xr:uid="{00000000-0005-0000-0000-0000FA010000}"/>
    <cellStyle name="20% - Accent3 4 6" xfId="1791" xr:uid="{00000000-0005-0000-0000-0000FB010000}"/>
    <cellStyle name="20% - Accent3 4 6 2" xfId="3543" xr:uid="{00000000-0005-0000-0000-0000FC010000}"/>
    <cellStyle name="20% - Accent3 4 7" xfId="1986" xr:uid="{00000000-0005-0000-0000-0000FD010000}"/>
    <cellStyle name="20% - Accent3 5" xfId="197" xr:uid="{00000000-0005-0000-0000-0000FE010000}"/>
    <cellStyle name="20% - Accent3 5 2" xfId="398" xr:uid="{00000000-0005-0000-0000-0000FF010000}"/>
    <cellStyle name="20% - Accent3 5 2 2" xfId="801" xr:uid="{00000000-0005-0000-0000-000000020000}"/>
    <cellStyle name="20% - Accent3 5 2 2 2" xfId="2591" xr:uid="{00000000-0005-0000-0000-000001020000}"/>
    <cellStyle name="20% - Accent3 5 2 3" xfId="1252" xr:uid="{00000000-0005-0000-0000-000002020000}"/>
    <cellStyle name="20% - Accent3 5 2 3 2" xfId="3021" xr:uid="{00000000-0005-0000-0000-000003020000}"/>
    <cellStyle name="20% - Accent3 5 2 4" xfId="1641" xr:uid="{00000000-0005-0000-0000-000004020000}"/>
    <cellStyle name="20% - Accent3 5 2 4 2" xfId="3398" xr:uid="{00000000-0005-0000-0000-000005020000}"/>
    <cellStyle name="20% - Accent3 5 2 5" xfId="2199" xr:uid="{00000000-0005-0000-0000-000006020000}"/>
    <cellStyle name="20% - Accent3 5 3" xfId="607" xr:uid="{00000000-0005-0000-0000-000007020000}"/>
    <cellStyle name="20% - Accent3 5 3 2" xfId="2398" xr:uid="{00000000-0005-0000-0000-000008020000}"/>
    <cellStyle name="20% - Accent3 5 4" xfId="1054" xr:uid="{00000000-0005-0000-0000-000009020000}"/>
    <cellStyle name="20% - Accent3 5 4 2" xfId="2824" xr:uid="{00000000-0005-0000-0000-00000A020000}"/>
    <cellStyle name="20% - Accent3 5 5" xfId="1441" xr:uid="{00000000-0005-0000-0000-00000B020000}"/>
    <cellStyle name="20% - Accent3 5 5 2" xfId="3201" xr:uid="{00000000-0005-0000-0000-00000C020000}"/>
    <cellStyle name="20% - Accent3 5 6" xfId="1808" xr:uid="{00000000-0005-0000-0000-00000D020000}"/>
    <cellStyle name="20% - Accent3 5 6 2" xfId="3560" xr:uid="{00000000-0005-0000-0000-00000E020000}"/>
    <cellStyle name="20% - Accent3 5 7" xfId="2003" xr:uid="{00000000-0005-0000-0000-00000F020000}"/>
    <cellStyle name="20% - Accent3 6" xfId="211" xr:uid="{00000000-0005-0000-0000-000010020000}"/>
    <cellStyle name="20% - Accent3 6 2" xfId="412" xr:uid="{00000000-0005-0000-0000-000011020000}"/>
    <cellStyle name="20% - Accent3 6 2 2" xfId="815" xr:uid="{00000000-0005-0000-0000-000012020000}"/>
    <cellStyle name="20% - Accent3 6 2 2 2" xfId="2605" xr:uid="{00000000-0005-0000-0000-000013020000}"/>
    <cellStyle name="20% - Accent3 6 2 3" xfId="1266" xr:uid="{00000000-0005-0000-0000-000014020000}"/>
    <cellStyle name="20% - Accent3 6 2 3 2" xfId="3035" xr:uid="{00000000-0005-0000-0000-000015020000}"/>
    <cellStyle name="20% - Accent3 6 2 4" xfId="1655" xr:uid="{00000000-0005-0000-0000-000016020000}"/>
    <cellStyle name="20% - Accent3 6 2 4 2" xfId="3412" xr:uid="{00000000-0005-0000-0000-000017020000}"/>
    <cellStyle name="20% - Accent3 6 2 5" xfId="2213" xr:uid="{00000000-0005-0000-0000-000018020000}"/>
    <cellStyle name="20% - Accent3 6 3" xfId="621" xr:uid="{00000000-0005-0000-0000-000019020000}"/>
    <cellStyle name="20% - Accent3 6 3 2" xfId="2412" xr:uid="{00000000-0005-0000-0000-00001A020000}"/>
    <cellStyle name="20% - Accent3 6 4" xfId="1068" xr:uid="{00000000-0005-0000-0000-00001B020000}"/>
    <cellStyle name="20% - Accent3 6 4 2" xfId="2838" xr:uid="{00000000-0005-0000-0000-00001C020000}"/>
    <cellStyle name="20% - Accent3 6 5" xfId="1455" xr:uid="{00000000-0005-0000-0000-00001D020000}"/>
    <cellStyle name="20% - Accent3 6 5 2" xfId="3215" xr:uid="{00000000-0005-0000-0000-00001E020000}"/>
    <cellStyle name="20% - Accent3 6 6" xfId="1822" xr:uid="{00000000-0005-0000-0000-00001F020000}"/>
    <cellStyle name="20% - Accent3 6 6 2" xfId="3574" xr:uid="{00000000-0005-0000-0000-000020020000}"/>
    <cellStyle name="20% - Accent3 6 7" xfId="2017" xr:uid="{00000000-0005-0000-0000-000021020000}"/>
    <cellStyle name="20% - Accent3 7" xfId="219" xr:uid="{00000000-0005-0000-0000-000022020000}"/>
    <cellStyle name="20% - Accent3 7 2" xfId="419" xr:uid="{00000000-0005-0000-0000-000023020000}"/>
    <cellStyle name="20% - Accent3 7 2 2" xfId="822" xr:uid="{00000000-0005-0000-0000-000024020000}"/>
    <cellStyle name="20% - Accent3 7 2 2 2" xfId="2612" xr:uid="{00000000-0005-0000-0000-000025020000}"/>
    <cellStyle name="20% - Accent3 7 2 3" xfId="1273" xr:uid="{00000000-0005-0000-0000-000026020000}"/>
    <cellStyle name="20% - Accent3 7 2 3 2" xfId="3042" xr:uid="{00000000-0005-0000-0000-000027020000}"/>
    <cellStyle name="20% - Accent3 7 2 4" xfId="1662" xr:uid="{00000000-0005-0000-0000-000028020000}"/>
    <cellStyle name="20% - Accent3 7 2 4 2" xfId="3419" xr:uid="{00000000-0005-0000-0000-000029020000}"/>
    <cellStyle name="20% - Accent3 7 2 5" xfId="2220" xr:uid="{00000000-0005-0000-0000-00002A020000}"/>
    <cellStyle name="20% - Accent3 7 3" xfId="628" xr:uid="{00000000-0005-0000-0000-00002B020000}"/>
    <cellStyle name="20% - Accent3 7 3 2" xfId="2419" xr:uid="{00000000-0005-0000-0000-00002C020000}"/>
    <cellStyle name="20% - Accent3 7 4" xfId="1075" xr:uid="{00000000-0005-0000-0000-00002D020000}"/>
    <cellStyle name="20% - Accent3 7 4 2" xfId="2845" xr:uid="{00000000-0005-0000-0000-00002E020000}"/>
    <cellStyle name="20% - Accent3 7 5" xfId="1462" xr:uid="{00000000-0005-0000-0000-00002F020000}"/>
    <cellStyle name="20% - Accent3 7 5 2" xfId="3222" xr:uid="{00000000-0005-0000-0000-000030020000}"/>
    <cellStyle name="20% - Accent3 7 6" xfId="1829" xr:uid="{00000000-0005-0000-0000-000031020000}"/>
    <cellStyle name="20% - Accent3 7 6 2" xfId="3581" xr:uid="{00000000-0005-0000-0000-000032020000}"/>
    <cellStyle name="20% - Accent3 7 7" xfId="2024" xr:uid="{00000000-0005-0000-0000-000033020000}"/>
    <cellStyle name="20% - Accent3 8" xfId="238" xr:uid="{00000000-0005-0000-0000-000034020000}"/>
    <cellStyle name="20% - Accent3 8 2" xfId="437" xr:uid="{00000000-0005-0000-0000-000035020000}"/>
    <cellStyle name="20% - Accent3 8 2 2" xfId="840" xr:uid="{00000000-0005-0000-0000-000036020000}"/>
    <cellStyle name="20% - Accent3 8 2 2 2" xfId="2630" xr:uid="{00000000-0005-0000-0000-000037020000}"/>
    <cellStyle name="20% - Accent3 8 2 3" xfId="1291" xr:uid="{00000000-0005-0000-0000-000038020000}"/>
    <cellStyle name="20% - Accent3 8 2 3 2" xfId="3060" xr:uid="{00000000-0005-0000-0000-000039020000}"/>
    <cellStyle name="20% - Accent3 8 2 4" xfId="1680" xr:uid="{00000000-0005-0000-0000-00003A020000}"/>
    <cellStyle name="20% - Accent3 8 2 4 2" xfId="3437" xr:uid="{00000000-0005-0000-0000-00003B020000}"/>
    <cellStyle name="20% - Accent3 8 2 5" xfId="2238" xr:uid="{00000000-0005-0000-0000-00003C020000}"/>
    <cellStyle name="20% - Accent3 8 3" xfId="646" xr:uid="{00000000-0005-0000-0000-00003D020000}"/>
    <cellStyle name="20% - Accent3 8 3 2" xfId="2437" xr:uid="{00000000-0005-0000-0000-00003E020000}"/>
    <cellStyle name="20% - Accent3 8 4" xfId="1093" xr:uid="{00000000-0005-0000-0000-00003F020000}"/>
    <cellStyle name="20% - Accent3 8 4 2" xfId="2863" xr:uid="{00000000-0005-0000-0000-000040020000}"/>
    <cellStyle name="20% - Accent3 8 5" xfId="1480" xr:uid="{00000000-0005-0000-0000-000041020000}"/>
    <cellStyle name="20% - Accent3 8 5 2" xfId="3240" xr:uid="{00000000-0005-0000-0000-000042020000}"/>
    <cellStyle name="20% - Accent3 8 6" xfId="1847" xr:uid="{00000000-0005-0000-0000-000043020000}"/>
    <cellStyle name="20% - Accent3 8 6 2" xfId="3599" xr:uid="{00000000-0005-0000-0000-000044020000}"/>
    <cellStyle name="20% - Accent3 8 7" xfId="2042" xr:uid="{00000000-0005-0000-0000-000045020000}"/>
    <cellStyle name="20% - Accent3 9" xfId="257" xr:uid="{00000000-0005-0000-0000-000046020000}"/>
    <cellStyle name="20% - Accent3 9 2" xfId="455" xr:uid="{00000000-0005-0000-0000-000047020000}"/>
    <cellStyle name="20% - Accent3 9 2 2" xfId="858" xr:uid="{00000000-0005-0000-0000-000048020000}"/>
    <cellStyle name="20% - Accent3 9 2 2 2" xfId="2648" xr:uid="{00000000-0005-0000-0000-000049020000}"/>
    <cellStyle name="20% - Accent3 9 2 3" xfId="1309" xr:uid="{00000000-0005-0000-0000-00004A020000}"/>
    <cellStyle name="20% - Accent3 9 2 3 2" xfId="3078" xr:uid="{00000000-0005-0000-0000-00004B020000}"/>
    <cellStyle name="20% - Accent3 9 2 4" xfId="1698" xr:uid="{00000000-0005-0000-0000-00004C020000}"/>
    <cellStyle name="20% - Accent3 9 2 4 2" xfId="3455" xr:uid="{00000000-0005-0000-0000-00004D020000}"/>
    <cellStyle name="20% - Accent3 9 2 5" xfId="2256" xr:uid="{00000000-0005-0000-0000-00004E020000}"/>
    <cellStyle name="20% - Accent3 9 3" xfId="664" xr:uid="{00000000-0005-0000-0000-00004F020000}"/>
    <cellStyle name="20% - Accent3 9 3 2" xfId="2455" xr:uid="{00000000-0005-0000-0000-000050020000}"/>
    <cellStyle name="20% - Accent3 9 4" xfId="1111" xr:uid="{00000000-0005-0000-0000-000051020000}"/>
    <cellStyle name="20% - Accent3 9 4 2" xfId="2881" xr:uid="{00000000-0005-0000-0000-000052020000}"/>
    <cellStyle name="20% - Accent3 9 5" xfId="1498" xr:uid="{00000000-0005-0000-0000-000053020000}"/>
    <cellStyle name="20% - Accent3 9 5 2" xfId="3258" xr:uid="{00000000-0005-0000-0000-000054020000}"/>
    <cellStyle name="20% - Accent3 9 6" xfId="1865" xr:uid="{00000000-0005-0000-0000-000055020000}"/>
    <cellStyle name="20% - Accent3 9 6 2" xfId="3617" xr:uid="{00000000-0005-0000-0000-000056020000}"/>
    <cellStyle name="20% - Accent3 9 7" xfId="2060" xr:uid="{00000000-0005-0000-0000-000057020000}"/>
    <cellStyle name="20% - Accent4" xfId="4" builtinId="42" customBuiltin="1"/>
    <cellStyle name="20% - Accent4 10" xfId="286" xr:uid="{00000000-0005-0000-0000-000059020000}"/>
    <cellStyle name="20% - Accent4 10 2" xfId="482" xr:uid="{00000000-0005-0000-0000-00005A020000}"/>
    <cellStyle name="20% - Accent4 10 2 2" xfId="884" xr:uid="{00000000-0005-0000-0000-00005B020000}"/>
    <cellStyle name="20% - Accent4 10 2 2 2" xfId="2674" xr:uid="{00000000-0005-0000-0000-00005C020000}"/>
    <cellStyle name="20% - Accent4 10 2 3" xfId="1337" xr:uid="{00000000-0005-0000-0000-00005D020000}"/>
    <cellStyle name="20% - Accent4 10 2 3 2" xfId="3106" xr:uid="{00000000-0005-0000-0000-00005E020000}"/>
    <cellStyle name="20% - Accent4 10 2 4" xfId="1726" xr:uid="{00000000-0005-0000-0000-00005F020000}"/>
    <cellStyle name="20% - Accent4 10 2 4 2" xfId="3482" xr:uid="{00000000-0005-0000-0000-000060020000}"/>
    <cellStyle name="20% - Accent4 10 2 5" xfId="2283" xr:uid="{00000000-0005-0000-0000-000061020000}"/>
    <cellStyle name="20% - Accent4 10 3" xfId="691" xr:uid="{00000000-0005-0000-0000-000062020000}"/>
    <cellStyle name="20% - Accent4 10 3 2" xfId="2482" xr:uid="{00000000-0005-0000-0000-000063020000}"/>
    <cellStyle name="20% - Accent4 10 4" xfId="1139" xr:uid="{00000000-0005-0000-0000-000064020000}"/>
    <cellStyle name="20% - Accent4 10 4 2" xfId="2910" xr:uid="{00000000-0005-0000-0000-000065020000}"/>
    <cellStyle name="20% - Accent4 10 5" xfId="1527" xr:uid="{00000000-0005-0000-0000-000066020000}"/>
    <cellStyle name="20% - Accent4 10 5 2" xfId="3287" xr:uid="{00000000-0005-0000-0000-000067020000}"/>
    <cellStyle name="20% - Accent4 10 6" xfId="1889" xr:uid="{00000000-0005-0000-0000-000068020000}"/>
    <cellStyle name="20% - Accent4 10 6 2" xfId="3641" xr:uid="{00000000-0005-0000-0000-000069020000}"/>
    <cellStyle name="20% - Accent4 10 7" xfId="2088" xr:uid="{00000000-0005-0000-0000-00006A020000}"/>
    <cellStyle name="20% - Accent4 11" xfId="296" xr:uid="{00000000-0005-0000-0000-00006B020000}"/>
    <cellStyle name="20% - Accent4 11 2" xfId="701" xr:uid="{00000000-0005-0000-0000-00006C020000}"/>
    <cellStyle name="20% - Accent4 11 2 2" xfId="2492" xr:uid="{00000000-0005-0000-0000-00006D020000}"/>
    <cellStyle name="20% - Accent4 11 3" xfId="1149" xr:uid="{00000000-0005-0000-0000-00006E020000}"/>
    <cellStyle name="20% - Accent4 11 3 2" xfId="2920" xr:uid="{00000000-0005-0000-0000-00006F020000}"/>
    <cellStyle name="20% - Accent4 11 4" xfId="1537" xr:uid="{00000000-0005-0000-0000-000070020000}"/>
    <cellStyle name="20% - Accent4 11 4 2" xfId="3297" xr:uid="{00000000-0005-0000-0000-000071020000}"/>
    <cellStyle name="20% - Accent4 11 5" xfId="2098" xr:uid="{00000000-0005-0000-0000-000072020000}"/>
    <cellStyle name="20% - Accent4 12" xfId="494" xr:uid="{00000000-0005-0000-0000-000073020000}"/>
    <cellStyle name="20% - Accent4 12 2" xfId="921" xr:uid="{00000000-0005-0000-0000-000074020000}"/>
    <cellStyle name="20% - Accent4 12 2 2" xfId="2709" xr:uid="{00000000-0005-0000-0000-000075020000}"/>
    <cellStyle name="20% - Accent4 12 3" xfId="2295" xr:uid="{00000000-0005-0000-0000-000076020000}"/>
    <cellStyle name="20% - Accent4 13" xfId="942" xr:uid="{00000000-0005-0000-0000-000077020000}"/>
    <cellStyle name="20% - Accent4 13 2" xfId="2722" xr:uid="{00000000-0005-0000-0000-000078020000}"/>
    <cellStyle name="20% - Accent4 14" xfId="954" xr:uid="{00000000-0005-0000-0000-000079020000}"/>
    <cellStyle name="20% - Accent4 14 2" xfId="2732" xr:uid="{00000000-0005-0000-0000-00007A020000}"/>
    <cellStyle name="20% - Accent4 15" xfId="897" xr:uid="{00000000-0005-0000-0000-00007B020000}"/>
    <cellStyle name="20% - Accent4 15 2" xfId="2686" xr:uid="{00000000-0005-0000-0000-00007C020000}"/>
    <cellStyle name="20% - Accent4 16" xfId="1901" xr:uid="{00000000-0005-0000-0000-00007D020000}"/>
    <cellStyle name="20% - Accent4 17" xfId="3811" xr:uid="{00000000-0005-0000-0000-00007E020000}"/>
    <cellStyle name="20% - Accent4 18" xfId="3827" xr:uid="{00000000-0005-0000-0000-00007F020000}"/>
    <cellStyle name="20% - Accent4 2" xfId="100" xr:uid="{00000000-0005-0000-0000-000080020000}"/>
    <cellStyle name="20% - Accent4 2 2" xfId="130" xr:uid="{00000000-0005-0000-0000-000081020000}"/>
    <cellStyle name="20% - Accent4 2 2 2" xfId="339" xr:uid="{00000000-0005-0000-0000-000082020000}"/>
    <cellStyle name="20% - Accent4 2 2 2 2" xfId="741" xr:uid="{00000000-0005-0000-0000-000083020000}"/>
    <cellStyle name="20% - Accent4 2 2 2 2 2" xfId="2531" xr:uid="{00000000-0005-0000-0000-000084020000}"/>
    <cellStyle name="20% - Accent4 2 2 2 3" xfId="1192" xr:uid="{00000000-0005-0000-0000-000085020000}"/>
    <cellStyle name="20% - Accent4 2 2 2 3 2" xfId="2961" xr:uid="{00000000-0005-0000-0000-000086020000}"/>
    <cellStyle name="20% - Accent4 2 2 2 4" xfId="1581" xr:uid="{00000000-0005-0000-0000-000087020000}"/>
    <cellStyle name="20% - Accent4 2 2 2 4 2" xfId="3338" xr:uid="{00000000-0005-0000-0000-000088020000}"/>
    <cellStyle name="20% - Accent4 2 2 2 5" xfId="2139" xr:uid="{00000000-0005-0000-0000-000089020000}"/>
    <cellStyle name="20% - Accent4 2 2 3" xfId="532" xr:uid="{00000000-0005-0000-0000-00008A020000}"/>
    <cellStyle name="20% - Accent4 2 2 3 2" xfId="2326" xr:uid="{00000000-0005-0000-0000-00008B020000}"/>
    <cellStyle name="20% - Accent4 2 2 4" xfId="994" xr:uid="{00000000-0005-0000-0000-00008C020000}"/>
    <cellStyle name="20% - Accent4 2 2 4 2" xfId="2764" xr:uid="{00000000-0005-0000-0000-00008D020000}"/>
    <cellStyle name="20% - Accent4 2 2 5" xfId="1380" xr:uid="{00000000-0005-0000-0000-00008E020000}"/>
    <cellStyle name="20% - Accent4 2 2 5 2" xfId="3141" xr:uid="{00000000-0005-0000-0000-00008F020000}"/>
    <cellStyle name="20% - Accent4 2 2 6" xfId="1943" xr:uid="{00000000-0005-0000-0000-000090020000}"/>
    <cellStyle name="20% - Accent4 2 3" xfId="312" xr:uid="{00000000-0005-0000-0000-000091020000}"/>
    <cellStyle name="20% - Accent4 2 3 2" xfId="716" xr:uid="{00000000-0005-0000-0000-000092020000}"/>
    <cellStyle name="20% - Accent4 2 3 2 2" xfId="2507" xr:uid="{00000000-0005-0000-0000-000093020000}"/>
    <cellStyle name="20% - Accent4 2 3 3" xfId="1165" xr:uid="{00000000-0005-0000-0000-000094020000}"/>
    <cellStyle name="20% - Accent4 2 3 3 2" xfId="2935" xr:uid="{00000000-0005-0000-0000-000095020000}"/>
    <cellStyle name="20% - Accent4 2 3 4" xfId="1554" xr:uid="{00000000-0005-0000-0000-000096020000}"/>
    <cellStyle name="20% - Accent4 2 3 4 2" xfId="3313" xr:uid="{00000000-0005-0000-0000-000097020000}"/>
    <cellStyle name="20% - Accent4 2 3 5" xfId="2113" xr:uid="{00000000-0005-0000-0000-000098020000}"/>
    <cellStyle name="20% - Accent4 2 4" xfId="518" xr:uid="{00000000-0005-0000-0000-000099020000}"/>
    <cellStyle name="20% - Accent4 2 4 2" xfId="2314" xr:uid="{00000000-0005-0000-0000-00009A020000}"/>
    <cellStyle name="20% - Accent4 2 5" xfId="911" xr:uid="{00000000-0005-0000-0000-00009B020000}"/>
    <cellStyle name="20% - Accent4 2 5 2" xfId="2700" xr:uid="{00000000-0005-0000-0000-00009C020000}"/>
    <cellStyle name="20% - Accent4 2 6" xfId="1347" xr:uid="{00000000-0005-0000-0000-00009D020000}"/>
    <cellStyle name="20% - Accent4 2 6 2" xfId="3115" xr:uid="{00000000-0005-0000-0000-00009E020000}"/>
    <cellStyle name="20% - Accent4 2 7" xfId="1746" xr:uid="{00000000-0005-0000-0000-00009F020000}"/>
    <cellStyle name="20% - Accent4 2 7 2" xfId="3498" xr:uid="{00000000-0005-0000-0000-0000A0020000}"/>
    <cellStyle name="20% - Accent4 2 8" xfId="1915" xr:uid="{00000000-0005-0000-0000-0000A1020000}"/>
    <cellStyle name="20% - Accent4 3" xfId="159" xr:uid="{00000000-0005-0000-0000-0000A2020000}"/>
    <cellStyle name="20% - Accent4 3 2" xfId="363" xr:uid="{00000000-0005-0000-0000-0000A3020000}"/>
    <cellStyle name="20% - Accent4 3 2 2" xfId="766" xr:uid="{00000000-0005-0000-0000-0000A4020000}"/>
    <cellStyle name="20% - Accent4 3 2 2 2" xfId="2556" xr:uid="{00000000-0005-0000-0000-0000A5020000}"/>
    <cellStyle name="20% - Accent4 3 2 3" xfId="1217" xr:uid="{00000000-0005-0000-0000-0000A6020000}"/>
    <cellStyle name="20% - Accent4 3 2 3 2" xfId="2986" xr:uid="{00000000-0005-0000-0000-0000A7020000}"/>
    <cellStyle name="20% - Accent4 3 2 4" xfId="1606" xr:uid="{00000000-0005-0000-0000-0000A8020000}"/>
    <cellStyle name="20% - Accent4 3 2 4 2" xfId="3363" xr:uid="{00000000-0005-0000-0000-0000A9020000}"/>
    <cellStyle name="20% - Accent4 3 2 5" xfId="2164" xr:uid="{00000000-0005-0000-0000-0000AA020000}"/>
    <cellStyle name="20% - Accent4 3 3" xfId="572" xr:uid="{00000000-0005-0000-0000-0000AB020000}"/>
    <cellStyle name="20% - Accent4 3 3 2" xfId="2363" xr:uid="{00000000-0005-0000-0000-0000AC020000}"/>
    <cellStyle name="20% - Accent4 3 4" xfId="1019" xr:uid="{00000000-0005-0000-0000-0000AD020000}"/>
    <cellStyle name="20% - Accent4 3 4 2" xfId="2789" xr:uid="{00000000-0005-0000-0000-0000AE020000}"/>
    <cellStyle name="20% - Accent4 3 5" xfId="1405" xr:uid="{00000000-0005-0000-0000-0000AF020000}"/>
    <cellStyle name="20% - Accent4 3 5 2" xfId="3166" xr:uid="{00000000-0005-0000-0000-0000B0020000}"/>
    <cellStyle name="20% - Accent4 3 6" xfId="1773" xr:uid="{00000000-0005-0000-0000-0000B1020000}"/>
    <cellStyle name="20% - Accent4 3 6 2" xfId="3525" xr:uid="{00000000-0005-0000-0000-0000B2020000}"/>
    <cellStyle name="20% - Accent4 3 7" xfId="1968" xr:uid="{00000000-0005-0000-0000-0000B3020000}"/>
    <cellStyle name="20% - Accent4 4" xfId="178" xr:uid="{00000000-0005-0000-0000-0000B4020000}"/>
    <cellStyle name="20% - Accent4 4 2" xfId="380" xr:uid="{00000000-0005-0000-0000-0000B5020000}"/>
    <cellStyle name="20% - Accent4 4 2 2" xfId="783" xr:uid="{00000000-0005-0000-0000-0000B6020000}"/>
    <cellStyle name="20% - Accent4 4 2 2 2" xfId="2573" xr:uid="{00000000-0005-0000-0000-0000B7020000}"/>
    <cellStyle name="20% - Accent4 4 2 3" xfId="1234" xr:uid="{00000000-0005-0000-0000-0000B8020000}"/>
    <cellStyle name="20% - Accent4 4 2 3 2" xfId="3003" xr:uid="{00000000-0005-0000-0000-0000B9020000}"/>
    <cellStyle name="20% - Accent4 4 2 4" xfId="1623" xr:uid="{00000000-0005-0000-0000-0000BA020000}"/>
    <cellStyle name="20% - Accent4 4 2 4 2" xfId="3380" xr:uid="{00000000-0005-0000-0000-0000BB020000}"/>
    <cellStyle name="20% - Accent4 4 2 5" xfId="2181" xr:uid="{00000000-0005-0000-0000-0000BC020000}"/>
    <cellStyle name="20% - Accent4 4 3" xfId="589" xr:uid="{00000000-0005-0000-0000-0000BD020000}"/>
    <cellStyle name="20% - Accent4 4 3 2" xfId="2380" xr:uid="{00000000-0005-0000-0000-0000BE020000}"/>
    <cellStyle name="20% - Accent4 4 4" xfId="1036" xr:uid="{00000000-0005-0000-0000-0000BF020000}"/>
    <cellStyle name="20% - Accent4 4 4 2" xfId="2806" xr:uid="{00000000-0005-0000-0000-0000C0020000}"/>
    <cellStyle name="20% - Accent4 4 5" xfId="1423" xr:uid="{00000000-0005-0000-0000-0000C1020000}"/>
    <cellStyle name="20% - Accent4 4 5 2" xfId="3183" xr:uid="{00000000-0005-0000-0000-0000C2020000}"/>
    <cellStyle name="20% - Accent4 4 6" xfId="1790" xr:uid="{00000000-0005-0000-0000-0000C3020000}"/>
    <cellStyle name="20% - Accent4 4 6 2" xfId="3542" xr:uid="{00000000-0005-0000-0000-0000C4020000}"/>
    <cellStyle name="20% - Accent4 4 7" xfId="1985" xr:uid="{00000000-0005-0000-0000-0000C5020000}"/>
    <cellStyle name="20% - Accent4 5" xfId="196" xr:uid="{00000000-0005-0000-0000-0000C6020000}"/>
    <cellStyle name="20% - Accent4 5 2" xfId="397" xr:uid="{00000000-0005-0000-0000-0000C7020000}"/>
    <cellStyle name="20% - Accent4 5 2 2" xfId="800" xr:uid="{00000000-0005-0000-0000-0000C8020000}"/>
    <cellStyle name="20% - Accent4 5 2 2 2" xfId="2590" xr:uid="{00000000-0005-0000-0000-0000C9020000}"/>
    <cellStyle name="20% - Accent4 5 2 3" xfId="1251" xr:uid="{00000000-0005-0000-0000-0000CA020000}"/>
    <cellStyle name="20% - Accent4 5 2 3 2" xfId="3020" xr:uid="{00000000-0005-0000-0000-0000CB020000}"/>
    <cellStyle name="20% - Accent4 5 2 4" xfId="1640" xr:uid="{00000000-0005-0000-0000-0000CC020000}"/>
    <cellStyle name="20% - Accent4 5 2 4 2" xfId="3397" xr:uid="{00000000-0005-0000-0000-0000CD020000}"/>
    <cellStyle name="20% - Accent4 5 2 5" xfId="2198" xr:uid="{00000000-0005-0000-0000-0000CE020000}"/>
    <cellStyle name="20% - Accent4 5 3" xfId="606" xr:uid="{00000000-0005-0000-0000-0000CF020000}"/>
    <cellStyle name="20% - Accent4 5 3 2" xfId="2397" xr:uid="{00000000-0005-0000-0000-0000D0020000}"/>
    <cellStyle name="20% - Accent4 5 4" xfId="1053" xr:uid="{00000000-0005-0000-0000-0000D1020000}"/>
    <cellStyle name="20% - Accent4 5 4 2" xfId="2823" xr:uid="{00000000-0005-0000-0000-0000D2020000}"/>
    <cellStyle name="20% - Accent4 5 5" xfId="1440" xr:uid="{00000000-0005-0000-0000-0000D3020000}"/>
    <cellStyle name="20% - Accent4 5 5 2" xfId="3200" xr:uid="{00000000-0005-0000-0000-0000D4020000}"/>
    <cellStyle name="20% - Accent4 5 6" xfId="1807" xr:uid="{00000000-0005-0000-0000-0000D5020000}"/>
    <cellStyle name="20% - Accent4 5 6 2" xfId="3559" xr:uid="{00000000-0005-0000-0000-0000D6020000}"/>
    <cellStyle name="20% - Accent4 5 7" xfId="2002" xr:uid="{00000000-0005-0000-0000-0000D7020000}"/>
    <cellStyle name="20% - Accent4 6" xfId="210" xr:uid="{00000000-0005-0000-0000-0000D8020000}"/>
    <cellStyle name="20% - Accent4 6 2" xfId="411" xr:uid="{00000000-0005-0000-0000-0000D9020000}"/>
    <cellStyle name="20% - Accent4 6 2 2" xfId="814" xr:uid="{00000000-0005-0000-0000-0000DA020000}"/>
    <cellStyle name="20% - Accent4 6 2 2 2" xfId="2604" xr:uid="{00000000-0005-0000-0000-0000DB020000}"/>
    <cellStyle name="20% - Accent4 6 2 3" xfId="1265" xr:uid="{00000000-0005-0000-0000-0000DC020000}"/>
    <cellStyle name="20% - Accent4 6 2 3 2" xfId="3034" xr:uid="{00000000-0005-0000-0000-0000DD020000}"/>
    <cellStyle name="20% - Accent4 6 2 4" xfId="1654" xr:uid="{00000000-0005-0000-0000-0000DE020000}"/>
    <cellStyle name="20% - Accent4 6 2 4 2" xfId="3411" xr:uid="{00000000-0005-0000-0000-0000DF020000}"/>
    <cellStyle name="20% - Accent4 6 2 5" xfId="2212" xr:uid="{00000000-0005-0000-0000-0000E0020000}"/>
    <cellStyle name="20% - Accent4 6 3" xfId="620" xr:uid="{00000000-0005-0000-0000-0000E1020000}"/>
    <cellStyle name="20% - Accent4 6 3 2" xfId="2411" xr:uid="{00000000-0005-0000-0000-0000E2020000}"/>
    <cellStyle name="20% - Accent4 6 4" xfId="1067" xr:uid="{00000000-0005-0000-0000-0000E3020000}"/>
    <cellStyle name="20% - Accent4 6 4 2" xfId="2837" xr:uid="{00000000-0005-0000-0000-0000E4020000}"/>
    <cellStyle name="20% - Accent4 6 5" xfId="1454" xr:uid="{00000000-0005-0000-0000-0000E5020000}"/>
    <cellStyle name="20% - Accent4 6 5 2" xfId="3214" xr:uid="{00000000-0005-0000-0000-0000E6020000}"/>
    <cellStyle name="20% - Accent4 6 6" xfId="1821" xr:uid="{00000000-0005-0000-0000-0000E7020000}"/>
    <cellStyle name="20% - Accent4 6 6 2" xfId="3573" xr:uid="{00000000-0005-0000-0000-0000E8020000}"/>
    <cellStyle name="20% - Accent4 6 7" xfId="2016" xr:uid="{00000000-0005-0000-0000-0000E9020000}"/>
    <cellStyle name="20% - Accent4 7" xfId="220" xr:uid="{00000000-0005-0000-0000-0000EA020000}"/>
    <cellStyle name="20% - Accent4 7 2" xfId="420" xr:uid="{00000000-0005-0000-0000-0000EB020000}"/>
    <cellStyle name="20% - Accent4 7 2 2" xfId="823" xr:uid="{00000000-0005-0000-0000-0000EC020000}"/>
    <cellStyle name="20% - Accent4 7 2 2 2" xfId="2613" xr:uid="{00000000-0005-0000-0000-0000ED020000}"/>
    <cellStyle name="20% - Accent4 7 2 3" xfId="1274" xr:uid="{00000000-0005-0000-0000-0000EE020000}"/>
    <cellStyle name="20% - Accent4 7 2 3 2" xfId="3043" xr:uid="{00000000-0005-0000-0000-0000EF020000}"/>
    <cellStyle name="20% - Accent4 7 2 4" xfId="1663" xr:uid="{00000000-0005-0000-0000-0000F0020000}"/>
    <cellStyle name="20% - Accent4 7 2 4 2" xfId="3420" xr:uid="{00000000-0005-0000-0000-0000F1020000}"/>
    <cellStyle name="20% - Accent4 7 2 5" xfId="2221" xr:uid="{00000000-0005-0000-0000-0000F2020000}"/>
    <cellStyle name="20% - Accent4 7 3" xfId="629" xr:uid="{00000000-0005-0000-0000-0000F3020000}"/>
    <cellStyle name="20% - Accent4 7 3 2" xfId="2420" xr:uid="{00000000-0005-0000-0000-0000F4020000}"/>
    <cellStyle name="20% - Accent4 7 4" xfId="1076" xr:uid="{00000000-0005-0000-0000-0000F5020000}"/>
    <cellStyle name="20% - Accent4 7 4 2" xfId="2846" xr:uid="{00000000-0005-0000-0000-0000F6020000}"/>
    <cellStyle name="20% - Accent4 7 5" xfId="1463" xr:uid="{00000000-0005-0000-0000-0000F7020000}"/>
    <cellStyle name="20% - Accent4 7 5 2" xfId="3223" xr:uid="{00000000-0005-0000-0000-0000F8020000}"/>
    <cellStyle name="20% - Accent4 7 6" xfId="1830" xr:uid="{00000000-0005-0000-0000-0000F9020000}"/>
    <cellStyle name="20% - Accent4 7 6 2" xfId="3582" xr:uid="{00000000-0005-0000-0000-0000FA020000}"/>
    <cellStyle name="20% - Accent4 7 7" xfId="2025" xr:uid="{00000000-0005-0000-0000-0000FB020000}"/>
    <cellStyle name="20% - Accent4 8" xfId="239" xr:uid="{00000000-0005-0000-0000-0000FC020000}"/>
    <cellStyle name="20% - Accent4 8 2" xfId="438" xr:uid="{00000000-0005-0000-0000-0000FD020000}"/>
    <cellStyle name="20% - Accent4 8 2 2" xfId="841" xr:uid="{00000000-0005-0000-0000-0000FE020000}"/>
    <cellStyle name="20% - Accent4 8 2 2 2" xfId="2631" xr:uid="{00000000-0005-0000-0000-0000FF020000}"/>
    <cellStyle name="20% - Accent4 8 2 3" xfId="1292" xr:uid="{00000000-0005-0000-0000-000000030000}"/>
    <cellStyle name="20% - Accent4 8 2 3 2" xfId="3061" xr:uid="{00000000-0005-0000-0000-000001030000}"/>
    <cellStyle name="20% - Accent4 8 2 4" xfId="1681" xr:uid="{00000000-0005-0000-0000-000002030000}"/>
    <cellStyle name="20% - Accent4 8 2 4 2" xfId="3438" xr:uid="{00000000-0005-0000-0000-000003030000}"/>
    <cellStyle name="20% - Accent4 8 2 5" xfId="2239" xr:uid="{00000000-0005-0000-0000-000004030000}"/>
    <cellStyle name="20% - Accent4 8 3" xfId="647" xr:uid="{00000000-0005-0000-0000-000005030000}"/>
    <cellStyle name="20% - Accent4 8 3 2" xfId="2438" xr:uid="{00000000-0005-0000-0000-000006030000}"/>
    <cellStyle name="20% - Accent4 8 4" xfId="1094" xr:uid="{00000000-0005-0000-0000-000007030000}"/>
    <cellStyle name="20% - Accent4 8 4 2" xfId="2864" xr:uid="{00000000-0005-0000-0000-000008030000}"/>
    <cellStyle name="20% - Accent4 8 5" xfId="1481" xr:uid="{00000000-0005-0000-0000-000009030000}"/>
    <cellStyle name="20% - Accent4 8 5 2" xfId="3241" xr:uid="{00000000-0005-0000-0000-00000A030000}"/>
    <cellStyle name="20% - Accent4 8 6" xfId="1848" xr:uid="{00000000-0005-0000-0000-00000B030000}"/>
    <cellStyle name="20% - Accent4 8 6 2" xfId="3600" xr:uid="{00000000-0005-0000-0000-00000C030000}"/>
    <cellStyle name="20% - Accent4 8 7" xfId="2043" xr:uid="{00000000-0005-0000-0000-00000D030000}"/>
    <cellStyle name="20% - Accent4 9" xfId="258" xr:uid="{00000000-0005-0000-0000-00000E030000}"/>
    <cellStyle name="20% - Accent4 9 2" xfId="456" xr:uid="{00000000-0005-0000-0000-00000F030000}"/>
    <cellStyle name="20% - Accent4 9 2 2" xfId="859" xr:uid="{00000000-0005-0000-0000-000010030000}"/>
    <cellStyle name="20% - Accent4 9 2 2 2" xfId="2649" xr:uid="{00000000-0005-0000-0000-000011030000}"/>
    <cellStyle name="20% - Accent4 9 2 3" xfId="1310" xr:uid="{00000000-0005-0000-0000-000012030000}"/>
    <cellStyle name="20% - Accent4 9 2 3 2" xfId="3079" xr:uid="{00000000-0005-0000-0000-000013030000}"/>
    <cellStyle name="20% - Accent4 9 2 4" xfId="1699" xr:uid="{00000000-0005-0000-0000-000014030000}"/>
    <cellStyle name="20% - Accent4 9 2 4 2" xfId="3456" xr:uid="{00000000-0005-0000-0000-000015030000}"/>
    <cellStyle name="20% - Accent4 9 2 5" xfId="2257" xr:uid="{00000000-0005-0000-0000-000016030000}"/>
    <cellStyle name="20% - Accent4 9 3" xfId="665" xr:uid="{00000000-0005-0000-0000-000017030000}"/>
    <cellStyle name="20% - Accent4 9 3 2" xfId="2456" xr:uid="{00000000-0005-0000-0000-000018030000}"/>
    <cellStyle name="20% - Accent4 9 4" xfId="1112" xr:uid="{00000000-0005-0000-0000-000019030000}"/>
    <cellStyle name="20% - Accent4 9 4 2" xfId="2882" xr:uid="{00000000-0005-0000-0000-00001A030000}"/>
    <cellStyle name="20% - Accent4 9 5" xfId="1499" xr:uid="{00000000-0005-0000-0000-00001B030000}"/>
    <cellStyle name="20% - Accent4 9 5 2" xfId="3259" xr:uid="{00000000-0005-0000-0000-00001C030000}"/>
    <cellStyle name="20% - Accent4 9 6" xfId="1866" xr:uid="{00000000-0005-0000-0000-00001D030000}"/>
    <cellStyle name="20% - Accent4 9 6 2" xfId="3618" xr:uid="{00000000-0005-0000-0000-00001E030000}"/>
    <cellStyle name="20% - Accent4 9 7" xfId="2061" xr:uid="{00000000-0005-0000-0000-00001F030000}"/>
    <cellStyle name="20% - Accent5" xfId="5" builtinId="46" customBuiltin="1"/>
    <cellStyle name="20% - Accent5 10" xfId="288" xr:uid="{00000000-0005-0000-0000-000021030000}"/>
    <cellStyle name="20% - Accent5 10 2" xfId="484" xr:uid="{00000000-0005-0000-0000-000022030000}"/>
    <cellStyle name="20% - Accent5 10 2 2" xfId="886" xr:uid="{00000000-0005-0000-0000-000023030000}"/>
    <cellStyle name="20% - Accent5 10 2 2 2" xfId="2676" xr:uid="{00000000-0005-0000-0000-000024030000}"/>
    <cellStyle name="20% - Accent5 10 2 3" xfId="1339" xr:uid="{00000000-0005-0000-0000-000025030000}"/>
    <cellStyle name="20% - Accent5 10 2 3 2" xfId="3108" xr:uid="{00000000-0005-0000-0000-000026030000}"/>
    <cellStyle name="20% - Accent5 10 2 4" xfId="1728" xr:uid="{00000000-0005-0000-0000-000027030000}"/>
    <cellStyle name="20% - Accent5 10 2 4 2" xfId="3484" xr:uid="{00000000-0005-0000-0000-000028030000}"/>
    <cellStyle name="20% - Accent5 10 2 5" xfId="2285" xr:uid="{00000000-0005-0000-0000-000029030000}"/>
    <cellStyle name="20% - Accent5 10 3" xfId="693" xr:uid="{00000000-0005-0000-0000-00002A030000}"/>
    <cellStyle name="20% - Accent5 10 3 2" xfId="2484" xr:uid="{00000000-0005-0000-0000-00002B030000}"/>
    <cellStyle name="20% - Accent5 10 4" xfId="1141" xr:uid="{00000000-0005-0000-0000-00002C030000}"/>
    <cellStyle name="20% - Accent5 10 4 2" xfId="2912" xr:uid="{00000000-0005-0000-0000-00002D030000}"/>
    <cellStyle name="20% - Accent5 10 5" xfId="1529" xr:uid="{00000000-0005-0000-0000-00002E030000}"/>
    <cellStyle name="20% - Accent5 10 5 2" xfId="3289" xr:uid="{00000000-0005-0000-0000-00002F030000}"/>
    <cellStyle name="20% - Accent5 10 6" xfId="1891" xr:uid="{00000000-0005-0000-0000-000030030000}"/>
    <cellStyle name="20% - Accent5 10 6 2" xfId="3643" xr:uid="{00000000-0005-0000-0000-000031030000}"/>
    <cellStyle name="20% - Accent5 10 7" xfId="2090" xr:uid="{00000000-0005-0000-0000-000032030000}"/>
    <cellStyle name="20% - Accent5 11" xfId="297" xr:uid="{00000000-0005-0000-0000-000033030000}"/>
    <cellStyle name="20% - Accent5 11 2" xfId="702" xr:uid="{00000000-0005-0000-0000-000034030000}"/>
    <cellStyle name="20% - Accent5 11 2 2" xfId="2493" xr:uid="{00000000-0005-0000-0000-000035030000}"/>
    <cellStyle name="20% - Accent5 11 3" xfId="1150" xr:uid="{00000000-0005-0000-0000-000036030000}"/>
    <cellStyle name="20% - Accent5 11 3 2" xfId="2921" xr:uid="{00000000-0005-0000-0000-000037030000}"/>
    <cellStyle name="20% - Accent5 11 4" xfId="1538" xr:uid="{00000000-0005-0000-0000-000038030000}"/>
    <cellStyle name="20% - Accent5 11 4 2" xfId="3298" xr:uid="{00000000-0005-0000-0000-000039030000}"/>
    <cellStyle name="20% - Accent5 11 5" xfId="2099" xr:uid="{00000000-0005-0000-0000-00003A030000}"/>
    <cellStyle name="20% - Accent5 12" xfId="496" xr:uid="{00000000-0005-0000-0000-00003B030000}"/>
    <cellStyle name="20% - Accent5 12 2" xfId="925" xr:uid="{00000000-0005-0000-0000-00003C030000}"/>
    <cellStyle name="20% - Accent5 12 2 2" xfId="2713" xr:uid="{00000000-0005-0000-0000-00003D030000}"/>
    <cellStyle name="20% - Accent5 12 3" xfId="2297" xr:uid="{00000000-0005-0000-0000-00003E030000}"/>
    <cellStyle name="20% - Accent5 13" xfId="906" xr:uid="{00000000-0005-0000-0000-00003F030000}"/>
    <cellStyle name="20% - Accent5 13 2" xfId="2695" xr:uid="{00000000-0005-0000-0000-000040030000}"/>
    <cellStyle name="20% - Accent5 14" xfId="960" xr:uid="{00000000-0005-0000-0000-000041030000}"/>
    <cellStyle name="20% - Accent5 14 2" xfId="2736" xr:uid="{00000000-0005-0000-0000-000042030000}"/>
    <cellStyle name="20% - Accent5 15" xfId="949" xr:uid="{00000000-0005-0000-0000-000043030000}"/>
    <cellStyle name="20% - Accent5 15 2" xfId="2728" xr:uid="{00000000-0005-0000-0000-000044030000}"/>
    <cellStyle name="20% - Accent5 16" xfId="1903" xr:uid="{00000000-0005-0000-0000-000045030000}"/>
    <cellStyle name="20% - Accent5 17" xfId="3812" xr:uid="{00000000-0005-0000-0000-000046030000}"/>
    <cellStyle name="20% - Accent5 18" xfId="3828" xr:uid="{00000000-0005-0000-0000-000047030000}"/>
    <cellStyle name="20% - Accent5 2" xfId="101" xr:uid="{00000000-0005-0000-0000-000048030000}"/>
    <cellStyle name="20% - Accent5 2 2" xfId="129" xr:uid="{00000000-0005-0000-0000-000049030000}"/>
    <cellStyle name="20% - Accent5 2 2 2" xfId="338" xr:uid="{00000000-0005-0000-0000-00004A030000}"/>
    <cellStyle name="20% - Accent5 2 2 2 2" xfId="740" xr:uid="{00000000-0005-0000-0000-00004B030000}"/>
    <cellStyle name="20% - Accent5 2 2 2 2 2" xfId="2530" xr:uid="{00000000-0005-0000-0000-00004C030000}"/>
    <cellStyle name="20% - Accent5 2 2 2 3" xfId="1191" xr:uid="{00000000-0005-0000-0000-00004D030000}"/>
    <cellStyle name="20% - Accent5 2 2 2 3 2" xfId="2960" xr:uid="{00000000-0005-0000-0000-00004E030000}"/>
    <cellStyle name="20% - Accent5 2 2 2 4" xfId="1580" xr:uid="{00000000-0005-0000-0000-00004F030000}"/>
    <cellStyle name="20% - Accent5 2 2 2 4 2" xfId="3337" xr:uid="{00000000-0005-0000-0000-000050030000}"/>
    <cellStyle name="20% - Accent5 2 2 2 5" xfId="2138" xr:uid="{00000000-0005-0000-0000-000051030000}"/>
    <cellStyle name="20% - Accent5 2 2 3" xfId="533" xr:uid="{00000000-0005-0000-0000-000052030000}"/>
    <cellStyle name="20% - Accent5 2 2 3 2" xfId="2327" xr:uid="{00000000-0005-0000-0000-000053030000}"/>
    <cellStyle name="20% - Accent5 2 2 4" xfId="993" xr:uid="{00000000-0005-0000-0000-000054030000}"/>
    <cellStyle name="20% - Accent5 2 2 4 2" xfId="2763" xr:uid="{00000000-0005-0000-0000-000055030000}"/>
    <cellStyle name="20% - Accent5 2 2 5" xfId="1379" xr:uid="{00000000-0005-0000-0000-000056030000}"/>
    <cellStyle name="20% - Accent5 2 2 5 2" xfId="3140" xr:uid="{00000000-0005-0000-0000-000057030000}"/>
    <cellStyle name="20% - Accent5 2 2 6" xfId="1942" xr:uid="{00000000-0005-0000-0000-000058030000}"/>
    <cellStyle name="20% - Accent5 2 3" xfId="313" xr:uid="{00000000-0005-0000-0000-000059030000}"/>
    <cellStyle name="20% - Accent5 2 3 2" xfId="717" xr:uid="{00000000-0005-0000-0000-00005A030000}"/>
    <cellStyle name="20% - Accent5 2 3 2 2" xfId="2508" xr:uid="{00000000-0005-0000-0000-00005B030000}"/>
    <cellStyle name="20% - Accent5 2 3 3" xfId="1166" xr:uid="{00000000-0005-0000-0000-00005C030000}"/>
    <cellStyle name="20% - Accent5 2 3 3 2" xfId="2936" xr:uid="{00000000-0005-0000-0000-00005D030000}"/>
    <cellStyle name="20% - Accent5 2 3 4" xfId="1555" xr:uid="{00000000-0005-0000-0000-00005E030000}"/>
    <cellStyle name="20% - Accent5 2 3 4 2" xfId="3314" xr:uid="{00000000-0005-0000-0000-00005F030000}"/>
    <cellStyle name="20% - Accent5 2 3 5" xfId="2114" xr:uid="{00000000-0005-0000-0000-000060030000}"/>
    <cellStyle name="20% - Accent5 2 4" xfId="520" xr:uid="{00000000-0005-0000-0000-000061030000}"/>
    <cellStyle name="20% - Accent5 2 4 2" xfId="2316" xr:uid="{00000000-0005-0000-0000-000062030000}"/>
    <cellStyle name="20% - Accent5 2 5" xfId="962" xr:uid="{00000000-0005-0000-0000-000063030000}"/>
    <cellStyle name="20% - Accent5 2 5 2" xfId="2738" xr:uid="{00000000-0005-0000-0000-000064030000}"/>
    <cellStyle name="20% - Accent5 2 6" xfId="1348" xr:uid="{00000000-0005-0000-0000-000065030000}"/>
    <cellStyle name="20% - Accent5 2 6 2" xfId="3116" xr:uid="{00000000-0005-0000-0000-000066030000}"/>
    <cellStyle name="20% - Accent5 2 7" xfId="1745" xr:uid="{00000000-0005-0000-0000-000067030000}"/>
    <cellStyle name="20% - Accent5 2 7 2" xfId="3497" xr:uid="{00000000-0005-0000-0000-000068030000}"/>
    <cellStyle name="20% - Accent5 2 8" xfId="1916" xr:uid="{00000000-0005-0000-0000-000069030000}"/>
    <cellStyle name="20% - Accent5 3" xfId="158" xr:uid="{00000000-0005-0000-0000-00006A030000}"/>
    <cellStyle name="20% - Accent5 3 2" xfId="362" xr:uid="{00000000-0005-0000-0000-00006B030000}"/>
    <cellStyle name="20% - Accent5 3 2 2" xfId="765" xr:uid="{00000000-0005-0000-0000-00006C030000}"/>
    <cellStyle name="20% - Accent5 3 2 2 2" xfId="2555" xr:uid="{00000000-0005-0000-0000-00006D030000}"/>
    <cellStyle name="20% - Accent5 3 2 3" xfId="1216" xr:uid="{00000000-0005-0000-0000-00006E030000}"/>
    <cellStyle name="20% - Accent5 3 2 3 2" xfId="2985" xr:uid="{00000000-0005-0000-0000-00006F030000}"/>
    <cellStyle name="20% - Accent5 3 2 4" xfId="1605" xr:uid="{00000000-0005-0000-0000-000070030000}"/>
    <cellStyle name="20% - Accent5 3 2 4 2" xfId="3362" xr:uid="{00000000-0005-0000-0000-000071030000}"/>
    <cellStyle name="20% - Accent5 3 2 5" xfId="2163" xr:uid="{00000000-0005-0000-0000-000072030000}"/>
    <cellStyle name="20% - Accent5 3 3" xfId="571" xr:uid="{00000000-0005-0000-0000-000073030000}"/>
    <cellStyle name="20% - Accent5 3 3 2" xfId="2362" xr:uid="{00000000-0005-0000-0000-000074030000}"/>
    <cellStyle name="20% - Accent5 3 4" xfId="1018" xr:uid="{00000000-0005-0000-0000-000075030000}"/>
    <cellStyle name="20% - Accent5 3 4 2" xfId="2788" xr:uid="{00000000-0005-0000-0000-000076030000}"/>
    <cellStyle name="20% - Accent5 3 5" xfId="1404" xr:uid="{00000000-0005-0000-0000-000077030000}"/>
    <cellStyle name="20% - Accent5 3 5 2" xfId="3165" xr:uid="{00000000-0005-0000-0000-000078030000}"/>
    <cellStyle name="20% - Accent5 3 6" xfId="1770" xr:uid="{00000000-0005-0000-0000-000079030000}"/>
    <cellStyle name="20% - Accent5 3 6 2" xfId="3522" xr:uid="{00000000-0005-0000-0000-00007A030000}"/>
    <cellStyle name="20% - Accent5 3 7" xfId="1967" xr:uid="{00000000-0005-0000-0000-00007B030000}"/>
    <cellStyle name="20% - Accent5 4" xfId="175" xr:uid="{00000000-0005-0000-0000-00007C030000}"/>
    <cellStyle name="20% - Accent5 4 2" xfId="377" xr:uid="{00000000-0005-0000-0000-00007D030000}"/>
    <cellStyle name="20% - Accent5 4 2 2" xfId="780" xr:uid="{00000000-0005-0000-0000-00007E030000}"/>
    <cellStyle name="20% - Accent5 4 2 2 2" xfId="2570" xr:uid="{00000000-0005-0000-0000-00007F030000}"/>
    <cellStyle name="20% - Accent5 4 2 3" xfId="1231" xr:uid="{00000000-0005-0000-0000-000080030000}"/>
    <cellStyle name="20% - Accent5 4 2 3 2" xfId="3000" xr:uid="{00000000-0005-0000-0000-000081030000}"/>
    <cellStyle name="20% - Accent5 4 2 4" xfId="1620" xr:uid="{00000000-0005-0000-0000-000082030000}"/>
    <cellStyle name="20% - Accent5 4 2 4 2" xfId="3377" xr:uid="{00000000-0005-0000-0000-000083030000}"/>
    <cellStyle name="20% - Accent5 4 2 5" xfId="2178" xr:uid="{00000000-0005-0000-0000-000084030000}"/>
    <cellStyle name="20% - Accent5 4 3" xfId="586" xr:uid="{00000000-0005-0000-0000-000085030000}"/>
    <cellStyle name="20% - Accent5 4 3 2" xfId="2377" xr:uid="{00000000-0005-0000-0000-000086030000}"/>
    <cellStyle name="20% - Accent5 4 4" xfId="1033" xr:uid="{00000000-0005-0000-0000-000087030000}"/>
    <cellStyle name="20% - Accent5 4 4 2" xfId="2803" xr:uid="{00000000-0005-0000-0000-000088030000}"/>
    <cellStyle name="20% - Accent5 4 5" xfId="1420" xr:uid="{00000000-0005-0000-0000-000089030000}"/>
    <cellStyle name="20% - Accent5 4 5 2" xfId="3180" xr:uid="{00000000-0005-0000-0000-00008A030000}"/>
    <cellStyle name="20% - Accent5 4 6" xfId="1787" xr:uid="{00000000-0005-0000-0000-00008B030000}"/>
    <cellStyle name="20% - Accent5 4 6 2" xfId="3539" xr:uid="{00000000-0005-0000-0000-00008C030000}"/>
    <cellStyle name="20% - Accent5 4 7" xfId="1982" xr:uid="{00000000-0005-0000-0000-00008D030000}"/>
    <cellStyle name="20% - Accent5 5" xfId="193" xr:uid="{00000000-0005-0000-0000-00008E030000}"/>
    <cellStyle name="20% - Accent5 5 2" xfId="394" xr:uid="{00000000-0005-0000-0000-00008F030000}"/>
    <cellStyle name="20% - Accent5 5 2 2" xfId="797" xr:uid="{00000000-0005-0000-0000-000090030000}"/>
    <cellStyle name="20% - Accent5 5 2 2 2" xfId="2587" xr:uid="{00000000-0005-0000-0000-000091030000}"/>
    <cellStyle name="20% - Accent5 5 2 3" xfId="1248" xr:uid="{00000000-0005-0000-0000-000092030000}"/>
    <cellStyle name="20% - Accent5 5 2 3 2" xfId="3017" xr:uid="{00000000-0005-0000-0000-000093030000}"/>
    <cellStyle name="20% - Accent5 5 2 4" xfId="1637" xr:uid="{00000000-0005-0000-0000-000094030000}"/>
    <cellStyle name="20% - Accent5 5 2 4 2" xfId="3394" xr:uid="{00000000-0005-0000-0000-000095030000}"/>
    <cellStyle name="20% - Accent5 5 2 5" xfId="2195" xr:uid="{00000000-0005-0000-0000-000096030000}"/>
    <cellStyle name="20% - Accent5 5 3" xfId="603" xr:uid="{00000000-0005-0000-0000-000097030000}"/>
    <cellStyle name="20% - Accent5 5 3 2" xfId="2394" xr:uid="{00000000-0005-0000-0000-000098030000}"/>
    <cellStyle name="20% - Accent5 5 4" xfId="1050" xr:uid="{00000000-0005-0000-0000-000099030000}"/>
    <cellStyle name="20% - Accent5 5 4 2" xfId="2820" xr:uid="{00000000-0005-0000-0000-00009A030000}"/>
    <cellStyle name="20% - Accent5 5 5" xfId="1437" xr:uid="{00000000-0005-0000-0000-00009B030000}"/>
    <cellStyle name="20% - Accent5 5 5 2" xfId="3197" xr:uid="{00000000-0005-0000-0000-00009C030000}"/>
    <cellStyle name="20% - Accent5 5 6" xfId="1804" xr:uid="{00000000-0005-0000-0000-00009D030000}"/>
    <cellStyle name="20% - Accent5 5 6 2" xfId="3556" xr:uid="{00000000-0005-0000-0000-00009E030000}"/>
    <cellStyle name="20% - Accent5 5 7" xfId="1999" xr:uid="{00000000-0005-0000-0000-00009F030000}"/>
    <cellStyle name="20% - Accent5 6" xfId="207" xr:uid="{00000000-0005-0000-0000-0000A0030000}"/>
    <cellStyle name="20% - Accent5 6 2" xfId="408" xr:uid="{00000000-0005-0000-0000-0000A1030000}"/>
    <cellStyle name="20% - Accent5 6 2 2" xfId="811" xr:uid="{00000000-0005-0000-0000-0000A2030000}"/>
    <cellStyle name="20% - Accent5 6 2 2 2" xfId="2601" xr:uid="{00000000-0005-0000-0000-0000A3030000}"/>
    <cellStyle name="20% - Accent5 6 2 3" xfId="1262" xr:uid="{00000000-0005-0000-0000-0000A4030000}"/>
    <cellStyle name="20% - Accent5 6 2 3 2" xfId="3031" xr:uid="{00000000-0005-0000-0000-0000A5030000}"/>
    <cellStyle name="20% - Accent5 6 2 4" xfId="1651" xr:uid="{00000000-0005-0000-0000-0000A6030000}"/>
    <cellStyle name="20% - Accent5 6 2 4 2" xfId="3408" xr:uid="{00000000-0005-0000-0000-0000A7030000}"/>
    <cellStyle name="20% - Accent5 6 2 5" xfId="2209" xr:uid="{00000000-0005-0000-0000-0000A8030000}"/>
    <cellStyle name="20% - Accent5 6 3" xfId="617" xr:uid="{00000000-0005-0000-0000-0000A9030000}"/>
    <cellStyle name="20% - Accent5 6 3 2" xfId="2408" xr:uid="{00000000-0005-0000-0000-0000AA030000}"/>
    <cellStyle name="20% - Accent5 6 4" xfId="1064" xr:uid="{00000000-0005-0000-0000-0000AB030000}"/>
    <cellStyle name="20% - Accent5 6 4 2" xfId="2834" xr:uid="{00000000-0005-0000-0000-0000AC030000}"/>
    <cellStyle name="20% - Accent5 6 5" xfId="1451" xr:uid="{00000000-0005-0000-0000-0000AD030000}"/>
    <cellStyle name="20% - Accent5 6 5 2" xfId="3211" xr:uid="{00000000-0005-0000-0000-0000AE030000}"/>
    <cellStyle name="20% - Accent5 6 6" xfId="1818" xr:uid="{00000000-0005-0000-0000-0000AF030000}"/>
    <cellStyle name="20% - Accent5 6 6 2" xfId="3570" xr:uid="{00000000-0005-0000-0000-0000B0030000}"/>
    <cellStyle name="20% - Accent5 6 7" xfId="2013" xr:uid="{00000000-0005-0000-0000-0000B1030000}"/>
    <cellStyle name="20% - Accent5 7" xfId="221" xr:uid="{00000000-0005-0000-0000-0000B2030000}"/>
    <cellStyle name="20% - Accent5 7 2" xfId="421" xr:uid="{00000000-0005-0000-0000-0000B3030000}"/>
    <cellStyle name="20% - Accent5 7 2 2" xfId="824" xr:uid="{00000000-0005-0000-0000-0000B4030000}"/>
    <cellStyle name="20% - Accent5 7 2 2 2" xfId="2614" xr:uid="{00000000-0005-0000-0000-0000B5030000}"/>
    <cellStyle name="20% - Accent5 7 2 3" xfId="1275" xr:uid="{00000000-0005-0000-0000-0000B6030000}"/>
    <cellStyle name="20% - Accent5 7 2 3 2" xfId="3044" xr:uid="{00000000-0005-0000-0000-0000B7030000}"/>
    <cellStyle name="20% - Accent5 7 2 4" xfId="1664" xr:uid="{00000000-0005-0000-0000-0000B8030000}"/>
    <cellStyle name="20% - Accent5 7 2 4 2" xfId="3421" xr:uid="{00000000-0005-0000-0000-0000B9030000}"/>
    <cellStyle name="20% - Accent5 7 2 5" xfId="2222" xr:uid="{00000000-0005-0000-0000-0000BA030000}"/>
    <cellStyle name="20% - Accent5 7 3" xfId="630" xr:uid="{00000000-0005-0000-0000-0000BB030000}"/>
    <cellStyle name="20% - Accent5 7 3 2" xfId="2421" xr:uid="{00000000-0005-0000-0000-0000BC030000}"/>
    <cellStyle name="20% - Accent5 7 4" xfId="1077" xr:uid="{00000000-0005-0000-0000-0000BD030000}"/>
    <cellStyle name="20% - Accent5 7 4 2" xfId="2847" xr:uid="{00000000-0005-0000-0000-0000BE030000}"/>
    <cellStyle name="20% - Accent5 7 5" xfId="1464" xr:uid="{00000000-0005-0000-0000-0000BF030000}"/>
    <cellStyle name="20% - Accent5 7 5 2" xfId="3224" xr:uid="{00000000-0005-0000-0000-0000C0030000}"/>
    <cellStyle name="20% - Accent5 7 6" xfId="1831" xr:uid="{00000000-0005-0000-0000-0000C1030000}"/>
    <cellStyle name="20% - Accent5 7 6 2" xfId="3583" xr:uid="{00000000-0005-0000-0000-0000C2030000}"/>
    <cellStyle name="20% - Accent5 7 7" xfId="2026" xr:uid="{00000000-0005-0000-0000-0000C3030000}"/>
    <cellStyle name="20% - Accent5 8" xfId="240" xr:uid="{00000000-0005-0000-0000-0000C4030000}"/>
    <cellStyle name="20% - Accent5 8 2" xfId="439" xr:uid="{00000000-0005-0000-0000-0000C5030000}"/>
    <cellStyle name="20% - Accent5 8 2 2" xfId="842" xr:uid="{00000000-0005-0000-0000-0000C6030000}"/>
    <cellStyle name="20% - Accent5 8 2 2 2" xfId="2632" xr:uid="{00000000-0005-0000-0000-0000C7030000}"/>
    <cellStyle name="20% - Accent5 8 2 3" xfId="1293" xr:uid="{00000000-0005-0000-0000-0000C8030000}"/>
    <cellStyle name="20% - Accent5 8 2 3 2" xfId="3062" xr:uid="{00000000-0005-0000-0000-0000C9030000}"/>
    <cellStyle name="20% - Accent5 8 2 4" xfId="1682" xr:uid="{00000000-0005-0000-0000-0000CA030000}"/>
    <cellStyle name="20% - Accent5 8 2 4 2" xfId="3439" xr:uid="{00000000-0005-0000-0000-0000CB030000}"/>
    <cellStyle name="20% - Accent5 8 2 5" xfId="2240" xr:uid="{00000000-0005-0000-0000-0000CC030000}"/>
    <cellStyle name="20% - Accent5 8 3" xfId="648" xr:uid="{00000000-0005-0000-0000-0000CD030000}"/>
    <cellStyle name="20% - Accent5 8 3 2" xfId="2439" xr:uid="{00000000-0005-0000-0000-0000CE030000}"/>
    <cellStyle name="20% - Accent5 8 4" xfId="1095" xr:uid="{00000000-0005-0000-0000-0000CF030000}"/>
    <cellStyle name="20% - Accent5 8 4 2" xfId="2865" xr:uid="{00000000-0005-0000-0000-0000D0030000}"/>
    <cellStyle name="20% - Accent5 8 5" xfId="1482" xr:uid="{00000000-0005-0000-0000-0000D1030000}"/>
    <cellStyle name="20% - Accent5 8 5 2" xfId="3242" xr:uid="{00000000-0005-0000-0000-0000D2030000}"/>
    <cellStyle name="20% - Accent5 8 6" xfId="1849" xr:uid="{00000000-0005-0000-0000-0000D3030000}"/>
    <cellStyle name="20% - Accent5 8 6 2" xfId="3601" xr:uid="{00000000-0005-0000-0000-0000D4030000}"/>
    <cellStyle name="20% - Accent5 8 7" xfId="2044" xr:uid="{00000000-0005-0000-0000-0000D5030000}"/>
    <cellStyle name="20% - Accent5 9" xfId="259" xr:uid="{00000000-0005-0000-0000-0000D6030000}"/>
    <cellStyle name="20% - Accent5 9 2" xfId="457" xr:uid="{00000000-0005-0000-0000-0000D7030000}"/>
    <cellStyle name="20% - Accent5 9 2 2" xfId="860" xr:uid="{00000000-0005-0000-0000-0000D8030000}"/>
    <cellStyle name="20% - Accent5 9 2 2 2" xfId="2650" xr:uid="{00000000-0005-0000-0000-0000D9030000}"/>
    <cellStyle name="20% - Accent5 9 2 3" xfId="1311" xr:uid="{00000000-0005-0000-0000-0000DA030000}"/>
    <cellStyle name="20% - Accent5 9 2 3 2" xfId="3080" xr:uid="{00000000-0005-0000-0000-0000DB030000}"/>
    <cellStyle name="20% - Accent5 9 2 4" xfId="1700" xr:uid="{00000000-0005-0000-0000-0000DC030000}"/>
    <cellStyle name="20% - Accent5 9 2 4 2" xfId="3457" xr:uid="{00000000-0005-0000-0000-0000DD030000}"/>
    <cellStyle name="20% - Accent5 9 2 5" xfId="2258" xr:uid="{00000000-0005-0000-0000-0000DE030000}"/>
    <cellStyle name="20% - Accent5 9 3" xfId="666" xr:uid="{00000000-0005-0000-0000-0000DF030000}"/>
    <cellStyle name="20% - Accent5 9 3 2" xfId="2457" xr:uid="{00000000-0005-0000-0000-0000E0030000}"/>
    <cellStyle name="20% - Accent5 9 4" xfId="1113" xr:uid="{00000000-0005-0000-0000-0000E1030000}"/>
    <cellStyle name="20% - Accent5 9 4 2" xfId="2883" xr:uid="{00000000-0005-0000-0000-0000E2030000}"/>
    <cellStyle name="20% - Accent5 9 5" xfId="1500" xr:uid="{00000000-0005-0000-0000-0000E3030000}"/>
    <cellStyle name="20% - Accent5 9 5 2" xfId="3260" xr:uid="{00000000-0005-0000-0000-0000E4030000}"/>
    <cellStyle name="20% - Accent5 9 6" xfId="1867" xr:uid="{00000000-0005-0000-0000-0000E5030000}"/>
    <cellStyle name="20% - Accent5 9 6 2" xfId="3619" xr:uid="{00000000-0005-0000-0000-0000E6030000}"/>
    <cellStyle name="20% - Accent5 9 7" xfId="2062" xr:uid="{00000000-0005-0000-0000-0000E7030000}"/>
    <cellStyle name="20% - Accent6" xfId="6" builtinId="50" customBuiltin="1"/>
    <cellStyle name="20% - Accent6 10" xfId="290" xr:uid="{00000000-0005-0000-0000-0000E9030000}"/>
    <cellStyle name="20% - Accent6 10 2" xfId="486" xr:uid="{00000000-0005-0000-0000-0000EA030000}"/>
    <cellStyle name="20% - Accent6 10 2 2" xfId="888" xr:uid="{00000000-0005-0000-0000-0000EB030000}"/>
    <cellStyle name="20% - Accent6 10 2 2 2" xfId="2678" xr:uid="{00000000-0005-0000-0000-0000EC030000}"/>
    <cellStyle name="20% - Accent6 10 2 3" xfId="1341" xr:uid="{00000000-0005-0000-0000-0000ED030000}"/>
    <cellStyle name="20% - Accent6 10 2 3 2" xfId="3110" xr:uid="{00000000-0005-0000-0000-0000EE030000}"/>
    <cellStyle name="20% - Accent6 10 2 4" xfId="1730" xr:uid="{00000000-0005-0000-0000-0000EF030000}"/>
    <cellStyle name="20% - Accent6 10 2 4 2" xfId="3486" xr:uid="{00000000-0005-0000-0000-0000F0030000}"/>
    <cellStyle name="20% - Accent6 10 2 5" xfId="2287" xr:uid="{00000000-0005-0000-0000-0000F1030000}"/>
    <cellStyle name="20% - Accent6 10 3" xfId="695" xr:uid="{00000000-0005-0000-0000-0000F2030000}"/>
    <cellStyle name="20% - Accent6 10 3 2" xfId="2486" xr:uid="{00000000-0005-0000-0000-0000F3030000}"/>
    <cellStyle name="20% - Accent6 10 4" xfId="1143" xr:uid="{00000000-0005-0000-0000-0000F4030000}"/>
    <cellStyle name="20% - Accent6 10 4 2" xfId="2914" xr:uid="{00000000-0005-0000-0000-0000F5030000}"/>
    <cellStyle name="20% - Accent6 10 5" xfId="1531" xr:uid="{00000000-0005-0000-0000-0000F6030000}"/>
    <cellStyle name="20% - Accent6 10 5 2" xfId="3291" xr:uid="{00000000-0005-0000-0000-0000F7030000}"/>
    <cellStyle name="20% - Accent6 10 6" xfId="1893" xr:uid="{00000000-0005-0000-0000-0000F8030000}"/>
    <cellStyle name="20% - Accent6 10 6 2" xfId="3645" xr:uid="{00000000-0005-0000-0000-0000F9030000}"/>
    <cellStyle name="20% - Accent6 10 7" xfId="2092" xr:uid="{00000000-0005-0000-0000-0000FA030000}"/>
    <cellStyle name="20% - Accent6 11" xfId="298" xr:uid="{00000000-0005-0000-0000-0000FB030000}"/>
    <cellStyle name="20% - Accent6 11 2" xfId="703" xr:uid="{00000000-0005-0000-0000-0000FC030000}"/>
    <cellStyle name="20% - Accent6 11 2 2" xfId="2494" xr:uid="{00000000-0005-0000-0000-0000FD030000}"/>
    <cellStyle name="20% - Accent6 11 3" xfId="1151" xr:uid="{00000000-0005-0000-0000-0000FE030000}"/>
    <cellStyle name="20% - Accent6 11 3 2" xfId="2922" xr:uid="{00000000-0005-0000-0000-0000FF030000}"/>
    <cellStyle name="20% - Accent6 11 4" xfId="1539" xr:uid="{00000000-0005-0000-0000-000000040000}"/>
    <cellStyle name="20% - Accent6 11 4 2" xfId="3299" xr:uid="{00000000-0005-0000-0000-000001040000}"/>
    <cellStyle name="20% - Accent6 11 5" xfId="2100" xr:uid="{00000000-0005-0000-0000-000002040000}"/>
    <cellStyle name="20% - Accent6 12" xfId="498" xr:uid="{00000000-0005-0000-0000-000003040000}"/>
    <cellStyle name="20% - Accent6 12 2" xfId="928" xr:uid="{00000000-0005-0000-0000-000004040000}"/>
    <cellStyle name="20% - Accent6 12 2 2" xfId="2715" xr:uid="{00000000-0005-0000-0000-000005040000}"/>
    <cellStyle name="20% - Accent6 12 3" xfId="2299" xr:uid="{00000000-0005-0000-0000-000006040000}"/>
    <cellStyle name="20% - Accent6 13" xfId="924" xr:uid="{00000000-0005-0000-0000-000007040000}"/>
    <cellStyle name="20% - Accent6 13 2" xfId="2712" xr:uid="{00000000-0005-0000-0000-000008040000}"/>
    <cellStyle name="20% - Accent6 14" xfId="983" xr:uid="{00000000-0005-0000-0000-000009040000}"/>
    <cellStyle name="20% - Accent6 14 2" xfId="2753" xr:uid="{00000000-0005-0000-0000-00000A040000}"/>
    <cellStyle name="20% - Accent6 15" xfId="904" xr:uid="{00000000-0005-0000-0000-00000B040000}"/>
    <cellStyle name="20% - Accent6 15 2" xfId="2693" xr:uid="{00000000-0005-0000-0000-00000C040000}"/>
    <cellStyle name="20% - Accent6 16" xfId="1905" xr:uid="{00000000-0005-0000-0000-00000D040000}"/>
    <cellStyle name="20% - Accent6 17" xfId="3813" xr:uid="{00000000-0005-0000-0000-00000E040000}"/>
    <cellStyle name="20% - Accent6 18" xfId="3829" xr:uid="{00000000-0005-0000-0000-00000F040000}"/>
    <cellStyle name="20% - Accent6 2" xfId="102" xr:uid="{00000000-0005-0000-0000-000010040000}"/>
    <cellStyle name="20% - Accent6 2 2" xfId="128" xr:uid="{00000000-0005-0000-0000-000011040000}"/>
    <cellStyle name="20% - Accent6 2 2 2" xfId="337" xr:uid="{00000000-0005-0000-0000-000012040000}"/>
    <cellStyle name="20% - Accent6 2 2 2 2" xfId="739" xr:uid="{00000000-0005-0000-0000-000013040000}"/>
    <cellStyle name="20% - Accent6 2 2 2 2 2" xfId="2529" xr:uid="{00000000-0005-0000-0000-000014040000}"/>
    <cellStyle name="20% - Accent6 2 2 2 3" xfId="1190" xr:uid="{00000000-0005-0000-0000-000015040000}"/>
    <cellStyle name="20% - Accent6 2 2 2 3 2" xfId="2959" xr:uid="{00000000-0005-0000-0000-000016040000}"/>
    <cellStyle name="20% - Accent6 2 2 2 4" xfId="1579" xr:uid="{00000000-0005-0000-0000-000017040000}"/>
    <cellStyle name="20% - Accent6 2 2 2 4 2" xfId="3336" xr:uid="{00000000-0005-0000-0000-000018040000}"/>
    <cellStyle name="20% - Accent6 2 2 2 5" xfId="2137" xr:uid="{00000000-0005-0000-0000-000019040000}"/>
    <cellStyle name="20% - Accent6 2 2 3" xfId="534" xr:uid="{00000000-0005-0000-0000-00001A040000}"/>
    <cellStyle name="20% - Accent6 2 2 3 2" xfId="2328" xr:uid="{00000000-0005-0000-0000-00001B040000}"/>
    <cellStyle name="20% - Accent6 2 2 4" xfId="992" xr:uid="{00000000-0005-0000-0000-00001C040000}"/>
    <cellStyle name="20% - Accent6 2 2 4 2" xfId="2762" xr:uid="{00000000-0005-0000-0000-00001D040000}"/>
    <cellStyle name="20% - Accent6 2 2 5" xfId="1378" xr:uid="{00000000-0005-0000-0000-00001E040000}"/>
    <cellStyle name="20% - Accent6 2 2 5 2" xfId="3139" xr:uid="{00000000-0005-0000-0000-00001F040000}"/>
    <cellStyle name="20% - Accent6 2 2 6" xfId="1941" xr:uid="{00000000-0005-0000-0000-000020040000}"/>
    <cellStyle name="20% - Accent6 2 3" xfId="314" xr:uid="{00000000-0005-0000-0000-000021040000}"/>
    <cellStyle name="20% - Accent6 2 3 2" xfId="718" xr:uid="{00000000-0005-0000-0000-000022040000}"/>
    <cellStyle name="20% - Accent6 2 3 2 2" xfId="2509" xr:uid="{00000000-0005-0000-0000-000023040000}"/>
    <cellStyle name="20% - Accent6 2 3 3" xfId="1167" xr:uid="{00000000-0005-0000-0000-000024040000}"/>
    <cellStyle name="20% - Accent6 2 3 3 2" xfId="2937" xr:uid="{00000000-0005-0000-0000-000025040000}"/>
    <cellStyle name="20% - Accent6 2 3 4" xfId="1556" xr:uid="{00000000-0005-0000-0000-000026040000}"/>
    <cellStyle name="20% - Accent6 2 3 4 2" xfId="3315" xr:uid="{00000000-0005-0000-0000-000027040000}"/>
    <cellStyle name="20% - Accent6 2 3 5" xfId="2115" xr:uid="{00000000-0005-0000-0000-000028040000}"/>
    <cellStyle name="20% - Accent6 2 4" xfId="522" xr:uid="{00000000-0005-0000-0000-000029040000}"/>
    <cellStyle name="20% - Accent6 2 4 2" xfId="2318" xr:uid="{00000000-0005-0000-0000-00002A040000}"/>
    <cellStyle name="20% - Accent6 2 5" xfId="963" xr:uid="{00000000-0005-0000-0000-00002B040000}"/>
    <cellStyle name="20% - Accent6 2 5 2" xfId="2739" xr:uid="{00000000-0005-0000-0000-00002C040000}"/>
    <cellStyle name="20% - Accent6 2 6" xfId="1349" xr:uid="{00000000-0005-0000-0000-00002D040000}"/>
    <cellStyle name="20% - Accent6 2 6 2" xfId="3117" xr:uid="{00000000-0005-0000-0000-00002E040000}"/>
    <cellStyle name="20% - Accent6 2 7" xfId="1744" xr:uid="{00000000-0005-0000-0000-00002F040000}"/>
    <cellStyle name="20% - Accent6 2 7 2" xfId="3496" xr:uid="{00000000-0005-0000-0000-000030040000}"/>
    <cellStyle name="20% - Accent6 2 8" xfId="1917" xr:uid="{00000000-0005-0000-0000-000031040000}"/>
    <cellStyle name="20% - Accent6 3" xfId="157" xr:uid="{00000000-0005-0000-0000-000032040000}"/>
    <cellStyle name="20% - Accent6 3 2" xfId="361" xr:uid="{00000000-0005-0000-0000-000033040000}"/>
    <cellStyle name="20% - Accent6 3 2 2" xfId="764" xr:uid="{00000000-0005-0000-0000-000034040000}"/>
    <cellStyle name="20% - Accent6 3 2 2 2" xfId="2554" xr:uid="{00000000-0005-0000-0000-000035040000}"/>
    <cellStyle name="20% - Accent6 3 2 3" xfId="1215" xr:uid="{00000000-0005-0000-0000-000036040000}"/>
    <cellStyle name="20% - Accent6 3 2 3 2" xfId="2984" xr:uid="{00000000-0005-0000-0000-000037040000}"/>
    <cellStyle name="20% - Accent6 3 2 4" xfId="1604" xr:uid="{00000000-0005-0000-0000-000038040000}"/>
    <cellStyle name="20% - Accent6 3 2 4 2" xfId="3361" xr:uid="{00000000-0005-0000-0000-000039040000}"/>
    <cellStyle name="20% - Accent6 3 2 5" xfId="2162" xr:uid="{00000000-0005-0000-0000-00003A040000}"/>
    <cellStyle name="20% - Accent6 3 3" xfId="570" xr:uid="{00000000-0005-0000-0000-00003B040000}"/>
    <cellStyle name="20% - Accent6 3 3 2" xfId="2361" xr:uid="{00000000-0005-0000-0000-00003C040000}"/>
    <cellStyle name="20% - Accent6 3 4" xfId="1017" xr:uid="{00000000-0005-0000-0000-00003D040000}"/>
    <cellStyle name="20% - Accent6 3 4 2" xfId="2787" xr:uid="{00000000-0005-0000-0000-00003E040000}"/>
    <cellStyle name="20% - Accent6 3 5" xfId="1403" xr:uid="{00000000-0005-0000-0000-00003F040000}"/>
    <cellStyle name="20% - Accent6 3 5 2" xfId="3164" xr:uid="{00000000-0005-0000-0000-000040040000}"/>
    <cellStyle name="20% - Accent6 3 6" xfId="1769" xr:uid="{00000000-0005-0000-0000-000041040000}"/>
    <cellStyle name="20% - Accent6 3 6 2" xfId="3521" xr:uid="{00000000-0005-0000-0000-000042040000}"/>
    <cellStyle name="20% - Accent6 3 7" xfId="1966" xr:uid="{00000000-0005-0000-0000-000043040000}"/>
    <cellStyle name="20% - Accent6 4" xfId="174" xr:uid="{00000000-0005-0000-0000-000044040000}"/>
    <cellStyle name="20% - Accent6 4 2" xfId="376" xr:uid="{00000000-0005-0000-0000-000045040000}"/>
    <cellStyle name="20% - Accent6 4 2 2" xfId="779" xr:uid="{00000000-0005-0000-0000-000046040000}"/>
    <cellStyle name="20% - Accent6 4 2 2 2" xfId="2569" xr:uid="{00000000-0005-0000-0000-000047040000}"/>
    <cellStyle name="20% - Accent6 4 2 3" xfId="1230" xr:uid="{00000000-0005-0000-0000-000048040000}"/>
    <cellStyle name="20% - Accent6 4 2 3 2" xfId="2999" xr:uid="{00000000-0005-0000-0000-000049040000}"/>
    <cellStyle name="20% - Accent6 4 2 4" xfId="1619" xr:uid="{00000000-0005-0000-0000-00004A040000}"/>
    <cellStyle name="20% - Accent6 4 2 4 2" xfId="3376" xr:uid="{00000000-0005-0000-0000-00004B040000}"/>
    <cellStyle name="20% - Accent6 4 2 5" xfId="2177" xr:uid="{00000000-0005-0000-0000-00004C040000}"/>
    <cellStyle name="20% - Accent6 4 3" xfId="585" xr:uid="{00000000-0005-0000-0000-00004D040000}"/>
    <cellStyle name="20% - Accent6 4 3 2" xfId="2376" xr:uid="{00000000-0005-0000-0000-00004E040000}"/>
    <cellStyle name="20% - Accent6 4 4" xfId="1032" xr:uid="{00000000-0005-0000-0000-00004F040000}"/>
    <cellStyle name="20% - Accent6 4 4 2" xfId="2802" xr:uid="{00000000-0005-0000-0000-000050040000}"/>
    <cellStyle name="20% - Accent6 4 5" xfId="1419" xr:uid="{00000000-0005-0000-0000-000051040000}"/>
    <cellStyle name="20% - Accent6 4 5 2" xfId="3179" xr:uid="{00000000-0005-0000-0000-000052040000}"/>
    <cellStyle name="20% - Accent6 4 6" xfId="1786" xr:uid="{00000000-0005-0000-0000-000053040000}"/>
    <cellStyle name="20% - Accent6 4 6 2" xfId="3538" xr:uid="{00000000-0005-0000-0000-000054040000}"/>
    <cellStyle name="20% - Accent6 4 7" xfId="1981" xr:uid="{00000000-0005-0000-0000-000055040000}"/>
    <cellStyle name="20% - Accent6 5" xfId="192" xr:uid="{00000000-0005-0000-0000-000056040000}"/>
    <cellStyle name="20% - Accent6 5 2" xfId="393" xr:uid="{00000000-0005-0000-0000-000057040000}"/>
    <cellStyle name="20% - Accent6 5 2 2" xfId="796" xr:uid="{00000000-0005-0000-0000-000058040000}"/>
    <cellStyle name="20% - Accent6 5 2 2 2" xfId="2586" xr:uid="{00000000-0005-0000-0000-000059040000}"/>
    <cellStyle name="20% - Accent6 5 2 3" xfId="1247" xr:uid="{00000000-0005-0000-0000-00005A040000}"/>
    <cellStyle name="20% - Accent6 5 2 3 2" xfId="3016" xr:uid="{00000000-0005-0000-0000-00005B040000}"/>
    <cellStyle name="20% - Accent6 5 2 4" xfId="1636" xr:uid="{00000000-0005-0000-0000-00005C040000}"/>
    <cellStyle name="20% - Accent6 5 2 4 2" xfId="3393" xr:uid="{00000000-0005-0000-0000-00005D040000}"/>
    <cellStyle name="20% - Accent6 5 2 5" xfId="2194" xr:uid="{00000000-0005-0000-0000-00005E040000}"/>
    <cellStyle name="20% - Accent6 5 3" xfId="602" xr:uid="{00000000-0005-0000-0000-00005F040000}"/>
    <cellStyle name="20% - Accent6 5 3 2" xfId="2393" xr:uid="{00000000-0005-0000-0000-000060040000}"/>
    <cellStyle name="20% - Accent6 5 4" xfId="1049" xr:uid="{00000000-0005-0000-0000-000061040000}"/>
    <cellStyle name="20% - Accent6 5 4 2" xfId="2819" xr:uid="{00000000-0005-0000-0000-000062040000}"/>
    <cellStyle name="20% - Accent6 5 5" xfId="1436" xr:uid="{00000000-0005-0000-0000-000063040000}"/>
    <cellStyle name="20% - Accent6 5 5 2" xfId="3196" xr:uid="{00000000-0005-0000-0000-000064040000}"/>
    <cellStyle name="20% - Accent6 5 6" xfId="1803" xr:uid="{00000000-0005-0000-0000-000065040000}"/>
    <cellStyle name="20% - Accent6 5 6 2" xfId="3555" xr:uid="{00000000-0005-0000-0000-000066040000}"/>
    <cellStyle name="20% - Accent6 5 7" xfId="1998" xr:uid="{00000000-0005-0000-0000-000067040000}"/>
    <cellStyle name="20% - Accent6 6" xfId="206" xr:uid="{00000000-0005-0000-0000-000068040000}"/>
    <cellStyle name="20% - Accent6 6 2" xfId="407" xr:uid="{00000000-0005-0000-0000-000069040000}"/>
    <cellStyle name="20% - Accent6 6 2 2" xfId="810" xr:uid="{00000000-0005-0000-0000-00006A040000}"/>
    <cellStyle name="20% - Accent6 6 2 2 2" xfId="2600" xr:uid="{00000000-0005-0000-0000-00006B040000}"/>
    <cellStyle name="20% - Accent6 6 2 3" xfId="1261" xr:uid="{00000000-0005-0000-0000-00006C040000}"/>
    <cellStyle name="20% - Accent6 6 2 3 2" xfId="3030" xr:uid="{00000000-0005-0000-0000-00006D040000}"/>
    <cellStyle name="20% - Accent6 6 2 4" xfId="1650" xr:uid="{00000000-0005-0000-0000-00006E040000}"/>
    <cellStyle name="20% - Accent6 6 2 4 2" xfId="3407" xr:uid="{00000000-0005-0000-0000-00006F040000}"/>
    <cellStyle name="20% - Accent6 6 2 5" xfId="2208" xr:uid="{00000000-0005-0000-0000-000070040000}"/>
    <cellStyle name="20% - Accent6 6 3" xfId="616" xr:uid="{00000000-0005-0000-0000-000071040000}"/>
    <cellStyle name="20% - Accent6 6 3 2" xfId="2407" xr:uid="{00000000-0005-0000-0000-000072040000}"/>
    <cellStyle name="20% - Accent6 6 4" xfId="1063" xr:uid="{00000000-0005-0000-0000-000073040000}"/>
    <cellStyle name="20% - Accent6 6 4 2" xfId="2833" xr:uid="{00000000-0005-0000-0000-000074040000}"/>
    <cellStyle name="20% - Accent6 6 5" xfId="1450" xr:uid="{00000000-0005-0000-0000-000075040000}"/>
    <cellStyle name="20% - Accent6 6 5 2" xfId="3210" xr:uid="{00000000-0005-0000-0000-000076040000}"/>
    <cellStyle name="20% - Accent6 6 6" xfId="1817" xr:uid="{00000000-0005-0000-0000-000077040000}"/>
    <cellStyle name="20% - Accent6 6 6 2" xfId="3569" xr:uid="{00000000-0005-0000-0000-000078040000}"/>
    <cellStyle name="20% - Accent6 6 7" xfId="2012" xr:uid="{00000000-0005-0000-0000-000079040000}"/>
    <cellStyle name="20% - Accent6 7" xfId="222" xr:uid="{00000000-0005-0000-0000-00007A040000}"/>
    <cellStyle name="20% - Accent6 7 2" xfId="422" xr:uid="{00000000-0005-0000-0000-00007B040000}"/>
    <cellStyle name="20% - Accent6 7 2 2" xfId="825" xr:uid="{00000000-0005-0000-0000-00007C040000}"/>
    <cellStyle name="20% - Accent6 7 2 2 2" xfId="2615" xr:uid="{00000000-0005-0000-0000-00007D040000}"/>
    <cellStyle name="20% - Accent6 7 2 3" xfId="1276" xr:uid="{00000000-0005-0000-0000-00007E040000}"/>
    <cellStyle name="20% - Accent6 7 2 3 2" xfId="3045" xr:uid="{00000000-0005-0000-0000-00007F040000}"/>
    <cellStyle name="20% - Accent6 7 2 4" xfId="1665" xr:uid="{00000000-0005-0000-0000-000080040000}"/>
    <cellStyle name="20% - Accent6 7 2 4 2" xfId="3422" xr:uid="{00000000-0005-0000-0000-000081040000}"/>
    <cellStyle name="20% - Accent6 7 2 5" xfId="2223" xr:uid="{00000000-0005-0000-0000-000082040000}"/>
    <cellStyle name="20% - Accent6 7 3" xfId="631" xr:uid="{00000000-0005-0000-0000-000083040000}"/>
    <cellStyle name="20% - Accent6 7 3 2" xfId="2422" xr:uid="{00000000-0005-0000-0000-000084040000}"/>
    <cellStyle name="20% - Accent6 7 4" xfId="1078" xr:uid="{00000000-0005-0000-0000-000085040000}"/>
    <cellStyle name="20% - Accent6 7 4 2" xfId="2848" xr:uid="{00000000-0005-0000-0000-000086040000}"/>
    <cellStyle name="20% - Accent6 7 5" xfId="1465" xr:uid="{00000000-0005-0000-0000-000087040000}"/>
    <cellStyle name="20% - Accent6 7 5 2" xfId="3225" xr:uid="{00000000-0005-0000-0000-000088040000}"/>
    <cellStyle name="20% - Accent6 7 6" xfId="1832" xr:uid="{00000000-0005-0000-0000-000089040000}"/>
    <cellStyle name="20% - Accent6 7 6 2" xfId="3584" xr:uid="{00000000-0005-0000-0000-00008A040000}"/>
    <cellStyle name="20% - Accent6 7 7" xfId="2027" xr:uid="{00000000-0005-0000-0000-00008B040000}"/>
    <cellStyle name="20% - Accent6 8" xfId="241" xr:uid="{00000000-0005-0000-0000-00008C040000}"/>
    <cellStyle name="20% - Accent6 8 2" xfId="440" xr:uid="{00000000-0005-0000-0000-00008D040000}"/>
    <cellStyle name="20% - Accent6 8 2 2" xfId="843" xr:uid="{00000000-0005-0000-0000-00008E040000}"/>
    <cellStyle name="20% - Accent6 8 2 2 2" xfId="2633" xr:uid="{00000000-0005-0000-0000-00008F040000}"/>
    <cellStyle name="20% - Accent6 8 2 3" xfId="1294" xr:uid="{00000000-0005-0000-0000-000090040000}"/>
    <cellStyle name="20% - Accent6 8 2 3 2" xfId="3063" xr:uid="{00000000-0005-0000-0000-000091040000}"/>
    <cellStyle name="20% - Accent6 8 2 4" xfId="1683" xr:uid="{00000000-0005-0000-0000-000092040000}"/>
    <cellStyle name="20% - Accent6 8 2 4 2" xfId="3440" xr:uid="{00000000-0005-0000-0000-000093040000}"/>
    <cellStyle name="20% - Accent6 8 2 5" xfId="2241" xr:uid="{00000000-0005-0000-0000-000094040000}"/>
    <cellStyle name="20% - Accent6 8 3" xfId="649" xr:uid="{00000000-0005-0000-0000-000095040000}"/>
    <cellStyle name="20% - Accent6 8 3 2" xfId="2440" xr:uid="{00000000-0005-0000-0000-000096040000}"/>
    <cellStyle name="20% - Accent6 8 4" xfId="1096" xr:uid="{00000000-0005-0000-0000-000097040000}"/>
    <cellStyle name="20% - Accent6 8 4 2" xfId="2866" xr:uid="{00000000-0005-0000-0000-000098040000}"/>
    <cellStyle name="20% - Accent6 8 5" xfId="1483" xr:uid="{00000000-0005-0000-0000-000099040000}"/>
    <cellStyle name="20% - Accent6 8 5 2" xfId="3243" xr:uid="{00000000-0005-0000-0000-00009A040000}"/>
    <cellStyle name="20% - Accent6 8 6" xfId="1850" xr:uid="{00000000-0005-0000-0000-00009B040000}"/>
    <cellStyle name="20% - Accent6 8 6 2" xfId="3602" xr:uid="{00000000-0005-0000-0000-00009C040000}"/>
    <cellStyle name="20% - Accent6 8 7" xfId="2045" xr:uid="{00000000-0005-0000-0000-00009D040000}"/>
    <cellStyle name="20% - Accent6 9" xfId="260" xr:uid="{00000000-0005-0000-0000-00009E040000}"/>
    <cellStyle name="20% - Accent6 9 2" xfId="458" xr:uid="{00000000-0005-0000-0000-00009F040000}"/>
    <cellStyle name="20% - Accent6 9 2 2" xfId="861" xr:uid="{00000000-0005-0000-0000-0000A0040000}"/>
    <cellStyle name="20% - Accent6 9 2 2 2" xfId="2651" xr:uid="{00000000-0005-0000-0000-0000A1040000}"/>
    <cellStyle name="20% - Accent6 9 2 3" xfId="1312" xr:uid="{00000000-0005-0000-0000-0000A2040000}"/>
    <cellStyle name="20% - Accent6 9 2 3 2" xfId="3081" xr:uid="{00000000-0005-0000-0000-0000A3040000}"/>
    <cellStyle name="20% - Accent6 9 2 4" xfId="1701" xr:uid="{00000000-0005-0000-0000-0000A4040000}"/>
    <cellStyle name="20% - Accent6 9 2 4 2" xfId="3458" xr:uid="{00000000-0005-0000-0000-0000A5040000}"/>
    <cellStyle name="20% - Accent6 9 2 5" xfId="2259" xr:uid="{00000000-0005-0000-0000-0000A6040000}"/>
    <cellStyle name="20% - Accent6 9 3" xfId="667" xr:uid="{00000000-0005-0000-0000-0000A7040000}"/>
    <cellStyle name="20% - Accent6 9 3 2" xfId="2458" xr:uid="{00000000-0005-0000-0000-0000A8040000}"/>
    <cellStyle name="20% - Accent6 9 4" xfId="1114" xr:uid="{00000000-0005-0000-0000-0000A9040000}"/>
    <cellStyle name="20% - Accent6 9 4 2" xfId="2884" xr:uid="{00000000-0005-0000-0000-0000AA040000}"/>
    <cellStyle name="20% - Accent6 9 5" xfId="1501" xr:uid="{00000000-0005-0000-0000-0000AB040000}"/>
    <cellStyle name="20% - Accent6 9 5 2" xfId="3261" xr:uid="{00000000-0005-0000-0000-0000AC040000}"/>
    <cellStyle name="20% - Accent6 9 6" xfId="1868" xr:uid="{00000000-0005-0000-0000-0000AD040000}"/>
    <cellStyle name="20% - Accent6 9 6 2" xfId="3620" xr:uid="{00000000-0005-0000-0000-0000AE040000}"/>
    <cellStyle name="20% - Accent6 9 7" xfId="2063" xr:uid="{00000000-0005-0000-0000-0000AF040000}"/>
    <cellStyle name="40% - Accent1" xfId="7" builtinId="31" customBuiltin="1"/>
    <cellStyle name="40% - Accent1 10" xfId="281" xr:uid="{00000000-0005-0000-0000-0000B1040000}"/>
    <cellStyle name="40% - Accent1 10 2" xfId="477" xr:uid="{00000000-0005-0000-0000-0000B2040000}"/>
    <cellStyle name="40% - Accent1 10 2 2" xfId="879" xr:uid="{00000000-0005-0000-0000-0000B3040000}"/>
    <cellStyle name="40% - Accent1 10 2 2 2" xfId="2669" xr:uid="{00000000-0005-0000-0000-0000B4040000}"/>
    <cellStyle name="40% - Accent1 10 2 3" xfId="1332" xr:uid="{00000000-0005-0000-0000-0000B5040000}"/>
    <cellStyle name="40% - Accent1 10 2 3 2" xfId="3101" xr:uid="{00000000-0005-0000-0000-0000B6040000}"/>
    <cellStyle name="40% - Accent1 10 2 4" xfId="1721" xr:uid="{00000000-0005-0000-0000-0000B7040000}"/>
    <cellStyle name="40% - Accent1 10 2 4 2" xfId="3477" xr:uid="{00000000-0005-0000-0000-0000B8040000}"/>
    <cellStyle name="40% - Accent1 10 2 5" xfId="2278" xr:uid="{00000000-0005-0000-0000-0000B9040000}"/>
    <cellStyle name="40% - Accent1 10 3" xfId="686" xr:uid="{00000000-0005-0000-0000-0000BA040000}"/>
    <cellStyle name="40% - Accent1 10 3 2" xfId="2477" xr:uid="{00000000-0005-0000-0000-0000BB040000}"/>
    <cellStyle name="40% - Accent1 10 4" xfId="1134" xr:uid="{00000000-0005-0000-0000-0000BC040000}"/>
    <cellStyle name="40% - Accent1 10 4 2" xfId="2905" xr:uid="{00000000-0005-0000-0000-0000BD040000}"/>
    <cellStyle name="40% - Accent1 10 5" xfId="1522" xr:uid="{00000000-0005-0000-0000-0000BE040000}"/>
    <cellStyle name="40% - Accent1 10 5 2" xfId="3282" xr:uid="{00000000-0005-0000-0000-0000BF040000}"/>
    <cellStyle name="40% - Accent1 10 6" xfId="1884" xr:uid="{00000000-0005-0000-0000-0000C0040000}"/>
    <cellStyle name="40% - Accent1 10 6 2" xfId="3636" xr:uid="{00000000-0005-0000-0000-0000C1040000}"/>
    <cellStyle name="40% - Accent1 10 7" xfId="2083" xr:uid="{00000000-0005-0000-0000-0000C2040000}"/>
    <cellStyle name="40% - Accent1 11" xfId="299" xr:uid="{00000000-0005-0000-0000-0000C3040000}"/>
    <cellStyle name="40% - Accent1 11 2" xfId="704" xr:uid="{00000000-0005-0000-0000-0000C4040000}"/>
    <cellStyle name="40% - Accent1 11 2 2" xfId="2495" xr:uid="{00000000-0005-0000-0000-0000C5040000}"/>
    <cellStyle name="40% - Accent1 11 3" xfId="1152" xr:uid="{00000000-0005-0000-0000-0000C6040000}"/>
    <cellStyle name="40% - Accent1 11 3 2" xfId="2923" xr:uid="{00000000-0005-0000-0000-0000C7040000}"/>
    <cellStyle name="40% - Accent1 11 4" xfId="1540" xr:uid="{00000000-0005-0000-0000-0000C8040000}"/>
    <cellStyle name="40% - Accent1 11 4 2" xfId="3300" xr:uid="{00000000-0005-0000-0000-0000C9040000}"/>
    <cellStyle name="40% - Accent1 11 5" xfId="2101" xr:uid="{00000000-0005-0000-0000-0000CA040000}"/>
    <cellStyle name="40% - Accent1 12" xfId="489" xr:uid="{00000000-0005-0000-0000-0000CB040000}"/>
    <cellStyle name="40% - Accent1 12 2" xfId="910" xr:uid="{00000000-0005-0000-0000-0000CC040000}"/>
    <cellStyle name="40% - Accent1 12 2 2" xfId="2699" xr:uid="{00000000-0005-0000-0000-0000CD040000}"/>
    <cellStyle name="40% - Accent1 12 3" xfId="2290" xr:uid="{00000000-0005-0000-0000-0000CE040000}"/>
    <cellStyle name="40% - Accent1 13" xfId="947" xr:uid="{00000000-0005-0000-0000-0000CF040000}"/>
    <cellStyle name="40% - Accent1 13 2" xfId="2726" xr:uid="{00000000-0005-0000-0000-0000D0040000}"/>
    <cellStyle name="40% - Accent1 14" xfId="892" xr:uid="{00000000-0005-0000-0000-0000D1040000}"/>
    <cellStyle name="40% - Accent1 14 2" xfId="2681" xr:uid="{00000000-0005-0000-0000-0000D2040000}"/>
    <cellStyle name="40% - Accent1 15" xfId="1514" xr:uid="{00000000-0005-0000-0000-0000D3040000}"/>
    <cellStyle name="40% - Accent1 15 2" xfId="3274" xr:uid="{00000000-0005-0000-0000-0000D4040000}"/>
    <cellStyle name="40% - Accent1 16" xfId="1896" xr:uid="{00000000-0005-0000-0000-0000D5040000}"/>
    <cellStyle name="40% - Accent1 17" xfId="3814" xr:uid="{00000000-0005-0000-0000-0000D6040000}"/>
    <cellStyle name="40% - Accent1 18" xfId="3830" xr:uid="{00000000-0005-0000-0000-0000D7040000}"/>
    <cellStyle name="40% - Accent1 2" xfId="103" xr:uid="{00000000-0005-0000-0000-0000D8040000}"/>
    <cellStyle name="40% - Accent1 2 2" xfId="127" xr:uid="{00000000-0005-0000-0000-0000D9040000}"/>
    <cellStyle name="40% - Accent1 2 2 2" xfId="336" xr:uid="{00000000-0005-0000-0000-0000DA040000}"/>
    <cellStyle name="40% - Accent1 2 2 2 2" xfId="738" xr:uid="{00000000-0005-0000-0000-0000DB040000}"/>
    <cellStyle name="40% - Accent1 2 2 2 2 2" xfId="2528" xr:uid="{00000000-0005-0000-0000-0000DC040000}"/>
    <cellStyle name="40% - Accent1 2 2 2 3" xfId="1189" xr:uid="{00000000-0005-0000-0000-0000DD040000}"/>
    <cellStyle name="40% - Accent1 2 2 2 3 2" xfId="2958" xr:uid="{00000000-0005-0000-0000-0000DE040000}"/>
    <cellStyle name="40% - Accent1 2 2 2 4" xfId="1578" xr:uid="{00000000-0005-0000-0000-0000DF040000}"/>
    <cellStyle name="40% - Accent1 2 2 2 4 2" xfId="3335" xr:uid="{00000000-0005-0000-0000-0000E0040000}"/>
    <cellStyle name="40% - Accent1 2 2 2 5" xfId="2136" xr:uid="{00000000-0005-0000-0000-0000E1040000}"/>
    <cellStyle name="40% - Accent1 2 2 3" xfId="535" xr:uid="{00000000-0005-0000-0000-0000E2040000}"/>
    <cellStyle name="40% - Accent1 2 2 3 2" xfId="2329" xr:uid="{00000000-0005-0000-0000-0000E3040000}"/>
    <cellStyle name="40% - Accent1 2 2 4" xfId="991" xr:uid="{00000000-0005-0000-0000-0000E4040000}"/>
    <cellStyle name="40% - Accent1 2 2 4 2" xfId="2761" xr:uid="{00000000-0005-0000-0000-0000E5040000}"/>
    <cellStyle name="40% - Accent1 2 2 5" xfId="1377" xr:uid="{00000000-0005-0000-0000-0000E6040000}"/>
    <cellStyle name="40% - Accent1 2 2 5 2" xfId="3138" xr:uid="{00000000-0005-0000-0000-0000E7040000}"/>
    <cellStyle name="40% - Accent1 2 2 6" xfId="1940" xr:uid="{00000000-0005-0000-0000-0000E8040000}"/>
    <cellStyle name="40% - Accent1 2 3" xfId="315" xr:uid="{00000000-0005-0000-0000-0000E9040000}"/>
    <cellStyle name="40% - Accent1 2 3 2" xfId="719" xr:uid="{00000000-0005-0000-0000-0000EA040000}"/>
    <cellStyle name="40% - Accent1 2 3 2 2" xfId="2510" xr:uid="{00000000-0005-0000-0000-0000EB040000}"/>
    <cellStyle name="40% - Accent1 2 3 3" xfId="1168" xr:uid="{00000000-0005-0000-0000-0000EC040000}"/>
    <cellStyle name="40% - Accent1 2 3 3 2" xfId="2938" xr:uid="{00000000-0005-0000-0000-0000ED040000}"/>
    <cellStyle name="40% - Accent1 2 3 4" xfId="1557" xr:uid="{00000000-0005-0000-0000-0000EE040000}"/>
    <cellStyle name="40% - Accent1 2 3 4 2" xfId="3316" xr:uid="{00000000-0005-0000-0000-0000EF040000}"/>
    <cellStyle name="40% - Accent1 2 3 5" xfId="2116" xr:uid="{00000000-0005-0000-0000-0000F0040000}"/>
    <cellStyle name="40% - Accent1 2 4" xfId="513" xr:uid="{00000000-0005-0000-0000-0000F1040000}"/>
    <cellStyle name="40% - Accent1 2 4 2" xfId="2309" xr:uid="{00000000-0005-0000-0000-0000F2040000}"/>
    <cellStyle name="40% - Accent1 2 5" xfId="964" xr:uid="{00000000-0005-0000-0000-0000F3040000}"/>
    <cellStyle name="40% - Accent1 2 5 2" xfId="2740" xr:uid="{00000000-0005-0000-0000-0000F4040000}"/>
    <cellStyle name="40% - Accent1 2 6" xfId="1350" xr:uid="{00000000-0005-0000-0000-0000F5040000}"/>
    <cellStyle name="40% - Accent1 2 6 2" xfId="3118" xr:uid="{00000000-0005-0000-0000-0000F6040000}"/>
    <cellStyle name="40% - Accent1 2 7" xfId="1743" xr:uid="{00000000-0005-0000-0000-0000F7040000}"/>
    <cellStyle name="40% - Accent1 2 7 2" xfId="3495" xr:uid="{00000000-0005-0000-0000-0000F8040000}"/>
    <cellStyle name="40% - Accent1 2 8" xfId="1918" xr:uid="{00000000-0005-0000-0000-0000F9040000}"/>
    <cellStyle name="40% - Accent1 3" xfId="156" xr:uid="{00000000-0005-0000-0000-0000FA040000}"/>
    <cellStyle name="40% - Accent1 3 2" xfId="360" xr:uid="{00000000-0005-0000-0000-0000FB040000}"/>
    <cellStyle name="40% - Accent1 3 2 2" xfId="763" xr:uid="{00000000-0005-0000-0000-0000FC040000}"/>
    <cellStyle name="40% - Accent1 3 2 2 2" xfId="2553" xr:uid="{00000000-0005-0000-0000-0000FD040000}"/>
    <cellStyle name="40% - Accent1 3 2 3" xfId="1214" xr:uid="{00000000-0005-0000-0000-0000FE040000}"/>
    <cellStyle name="40% - Accent1 3 2 3 2" xfId="2983" xr:uid="{00000000-0005-0000-0000-0000FF040000}"/>
    <cellStyle name="40% - Accent1 3 2 4" xfId="1603" xr:uid="{00000000-0005-0000-0000-000000050000}"/>
    <cellStyle name="40% - Accent1 3 2 4 2" xfId="3360" xr:uid="{00000000-0005-0000-0000-000001050000}"/>
    <cellStyle name="40% - Accent1 3 2 5" xfId="2161" xr:uid="{00000000-0005-0000-0000-000002050000}"/>
    <cellStyle name="40% - Accent1 3 3" xfId="569" xr:uid="{00000000-0005-0000-0000-000003050000}"/>
    <cellStyle name="40% - Accent1 3 3 2" xfId="2360" xr:uid="{00000000-0005-0000-0000-000004050000}"/>
    <cellStyle name="40% - Accent1 3 4" xfId="1016" xr:uid="{00000000-0005-0000-0000-000005050000}"/>
    <cellStyle name="40% - Accent1 3 4 2" xfId="2786" xr:uid="{00000000-0005-0000-0000-000006050000}"/>
    <cellStyle name="40% - Accent1 3 5" xfId="1402" xr:uid="{00000000-0005-0000-0000-000007050000}"/>
    <cellStyle name="40% - Accent1 3 5 2" xfId="3163" xr:uid="{00000000-0005-0000-0000-000008050000}"/>
    <cellStyle name="40% - Accent1 3 6" xfId="1768" xr:uid="{00000000-0005-0000-0000-000009050000}"/>
    <cellStyle name="40% - Accent1 3 6 2" xfId="3520" xr:uid="{00000000-0005-0000-0000-00000A050000}"/>
    <cellStyle name="40% - Accent1 3 7" xfId="1965" xr:uid="{00000000-0005-0000-0000-00000B050000}"/>
    <cellStyle name="40% - Accent1 4" xfId="173" xr:uid="{00000000-0005-0000-0000-00000C050000}"/>
    <cellStyle name="40% - Accent1 4 2" xfId="375" xr:uid="{00000000-0005-0000-0000-00000D050000}"/>
    <cellStyle name="40% - Accent1 4 2 2" xfId="778" xr:uid="{00000000-0005-0000-0000-00000E050000}"/>
    <cellStyle name="40% - Accent1 4 2 2 2" xfId="2568" xr:uid="{00000000-0005-0000-0000-00000F050000}"/>
    <cellStyle name="40% - Accent1 4 2 3" xfId="1229" xr:uid="{00000000-0005-0000-0000-000010050000}"/>
    <cellStyle name="40% - Accent1 4 2 3 2" xfId="2998" xr:uid="{00000000-0005-0000-0000-000011050000}"/>
    <cellStyle name="40% - Accent1 4 2 4" xfId="1618" xr:uid="{00000000-0005-0000-0000-000012050000}"/>
    <cellStyle name="40% - Accent1 4 2 4 2" xfId="3375" xr:uid="{00000000-0005-0000-0000-000013050000}"/>
    <cellStyle name="40% - Accent1 4 2 5" xfId="2176" xr:uid="{00000000-0005-0000-0000-000014050000}"/>
    <cellStyle name="40% - Accent1 4 3" xfId="584" xr:uid="{00000000-0005-0000-0000-000015050000}"/>
    <cellStyle name="40% - Accent1 4 3 2" xfId="2375" xr:uid="{00000000-0005-0000-0000-000016050000}"/>
    <cellStyle name="40% - Accent1 4 4" xfId="1031" xr:uid="{00000000-0005-0000-0000-000017050000}"/>
    <cellStyle name="40% - Accent1 4 4 2" xfId="2801" xr:uid="{00000000-0005-0000-0000-000018050000}"/>
    <cellStyle name="40% - Accent1 4 5" xfId="1418" xr:uid="{00000000-0005-0000-0000-000019050000}"/>
    <cellStyle name="40% - Accent1 4 5 2" xfId="3178" xr:uid="{00000000-0005-0000-0000-00001A050000}"/>
    <cellStyle name="40% - Accent1 4 6" xfId="1785" xr:uid="{00000000-0005-0000-0000-00001B050000}"/>
    <cellStyle name="40% - Accent1 4 6 2" xfId="3537" xr:uid="{00000000-0005-0000-0000-00001C050000}"/>
    <cellStyle name="40% - Accent1 4 7" xfId="1980" xr:uid="{00000000-0005-0000-0000-00001D050000}"/>
    <cellStyle name="40% - Accent1 5" xfId="191" xr:uid="{00000000-0005-0000-0000-00001E050000}"/>
    <cellStyle name="40% - Accent1 5 2" xfId="392" xr:uid="{00000000-0005-0000-0000-00001F050000}"/>
    <cellStyle name="40% - Accent1 5 2 2" xfId="795" xr:uid="{00000000-0005-0000-0000-000020050000}"/>
    <cellStyle name="40% - Accent1 5 2 2 2" xfId="2585" xr:uid="{00000000-0005-0000-0000-000021050000}"/>
    <cellStyle name="40% - Accent1 5 2 3" xfId="1246" xr:uid="{00000000-0005-0000-0000-000022050000}"/>
    <cellStyle name="40% - Accent1 5 2 3 2" xfId="3015" xr:uid="{00000000-0005-0000-0000-000023050000}"/>
    <cellStyle name="40% - Accent1 5 2 4" xfId="1635" xr:uid="{00000000-0005-0000-0000-000024050000}"/>
    <cellStyle name="40% - Accent1 5 2 4 2" xfId="3392" xr:uid="{00000000-0005-0000-0000-000025050000}"/>
    <cellStyle name="40% - Accent1 5 2 5" xfId="2193" xr:uid="{00000000-0005-0000-0000-000026050000}"/>
    <cellStyle name="40% - Accent1 5 3" xfId="601" xr:uid="{00000000-0005-0000-0000-000027050000}"/>
    <cellStyle name="40% - Accent1 5 3 2" xfId="2392" xr:uid="{00000000-0005-0000-0000-000028050000}"/>
    <cellStyle name="40% - Accent1 5 4" xfId="1048" xr:uid="{00000000-0005-0000-0000-000029050000}"/>
    <cellStyle name="40% - Accent1 5 4 2" xfId="2818" xr:uid="{00000000-0005-0000-0000-00002A050000}"/>
    <cellStyle name="40% - Accent1 5 5" xfId="1435" xr:uid="{00000000-0005-0000-0000-00002B050000}"/>
    <cellStyle name="40% - Accent1 5 5 2" xfId="3195" xr:uid="{00000000-0005-0000-0000-00002C050000}"/>
    <cellStyle name="40% - Accent1 5 6" xfId="1802" xr:uid="{00000000-0005-0000-0000-00002D050000}"/>
    <cellStyle name="40% - Accent1 5 6 2" xfId="3554" xr:uid="{00000000-0005-0000-0000-00002E050000}"/>
    <cellStyle name="40% - Accent1 5 7" xfId="1997" xr:uid="{00000000-0005-0000-0000-00002F050000}"/>
    <cellStyle name="40% - Accent1 6" xfId="205" xr:uid="{00000000-0005-0000-0000-000030050000}"/>
    <cellStyle name="40% - Accent1 6 2" xfId="406" xr:uid="{00000000-0005-0000-0000-000031050000}"/>
    <cellStyle name="40% - Accent1 6 2 2" xfId="809" xr:uid="{00000000-0005-0000-0000-000032050000}"/>
    <cellStyle name="40% - Accent1 6 2 2 2" xfId="2599" xr:uid="{00000000-0005-0000-0000-000033050000}"/>
    <cellStyle name="40% - Accent1 6 2 3" xfId="1260" xr:uid="{00000000-0005-0000-0000-000034050000}"/>
    <cellStyle name="40% - Accent1 6 2 3 2" xfId="3029" xr:uid="{00000000-0005-0000-0000-000035050000}"/>
    <cellStyle name="40% - Accent1 6 2 4" xfId="1649" xr:uid="{00000000-0005-0000-0000-000036050000}"/>
    <cellStyle name="40% - Accent1 6 2 4 2" xfId="3406" xr:uid="{00000000-0005-0000-0000-000037050000}"/>
    <cellStyle name="40% - Accent1 6 2 5" xfId="2207" xr:uid="{00000000-0005-0000-0000-000038050000}"/>
    <cellStyle name="40% - Accent1 6 3" xfId="615" xr:uid="{00000000-0005-0000-0000-000039050000}"/>
    <cellStyle name="40% - Accent1 6 3 2" xfId="2406" xr:uid="{00000000-0005-0000-0000-00003A050000}"/>
    <cellStyle name="40% - Accent1 6 4" xfId="1062" xr:uid="{00000000-0005-0000-0000-00003B050000}"/>
    <cellStyle name="40% - Accent1 6 4 2" xfId="2832" xr:uid="{00000000-0005-0000-0000-00003C050000}"/>
    <cellStyle name="40% - Accent1 6 5" xfId="1449" xr:uid="{00000000-0005-0000-0000-00003D050000}"/>
    <cellStyle name="40% - Accent1 6 5 2" xfId="3209" xr:uid="{00000000-0005-0000-0000-00003E050000}"/>
    <cellStyle name="40% - Accent1 6 6" xfId="1816" xr:uid="{00000000-0005-0000-0000-00003F050000}"/>
    <cellStyle name="40% - Accent1 6 6 2" xfId="3568" xr:uid="{00000000-0005-0000-0000-000040050000}"/>
    <cellStyle name="40% - Accent1 6 7" xfId="2011" xr:uid="{00000000-0005-0000-0000-000041050000}"/>
    <cellStyle name="40% - Accent1 7" xfId="223" xr:uid="{00000000-0005-0000-0000-000042050000}"/>
    <cellStyle name="40% - Accent1 7 2" xfId="423" xr:uid="{00000000-0005-0000-0000-000043050000}"/>
    <cellStyle name="40% - Accent1 7 2 2" xfId="826" xr:uid="{00000000-0005-0000-0000-000044050000}"/>
    <cellStyle name="40% - Accent1 7 2 2 2" xfId="2616" xr:uid="{00000000-0005-0000-0000-000045050000}"/>
    <cellStyle name="40% - Accent1 7 2 3" xfId="1277" xr:uid="{00000000-0005-0000-0000-000046050000}"/>
    <cellStyle name="40% - Accent1 7 2 3 2" xfId="3046" xr:uid="{00000000-0005-0000-0000-000047050000}"/>
    <cellStyle name="40% - Accent1 7 2 4" xfId="1666" xr:uid="{00000000-0005-0000-0000-000048050000}"/>
    <cellStyle name="40% - Accent1 7 2 4 2" xfId="3423" xr:uid="{00000000-0005-0000-0000-000049050000}"/>
    <cellStyle name="40% - Accent1 7 2 5" xfId="2224" xr:uid="{00000000-0005-0000-0000-00004A050000}"/>
    <cellStyle name="40% - Accent1 7 3" xfId="632" xr:uid="{00000000-0005-0000-0000-00004B050000}"/>
    <cellStyle name="40% - Accent1 7 3 2" xfId="2423" xr:uid="{00000000-0005-0000-0000-00004C050000}"/>
    <cellStyle name="40% - Accent1 7 4" xfId="1079" xr:uid="{00000000-0005-0000-0000-00004D050000}"/>
    <cellStyle name="40% - Accent1 7 4 2" xfId="2849" xr:uid="{00000000-0005-0000-0000-00004E050000}"/>
    <cellStyle name="40% - Accent1 7 5" xfId="1466" xr:uid="{00000000-0005-0000-0000-00004F050000}"/>
    <cellStyle name="40% - Accent1 7 5 2" xfId="3226" xr:uid="{00000000-0005-0000-0000-000050050000}"/>
    <cellStyle name="40% - Accent1 7 6" xfId="1833" xr:uid="{00000000-0005-0000-0000-000051050000}"/>
    <cellStyle name="40% - Accent1 7 6 2" xfId="3585" xr:uid="{00000000-0005-0000-0000-000052050000}"/>
    <cellStyle name="40% - Accent1 7 7" xfId="2028" xr:uid="{00000000-0005-0000-0000-000053050000}"/>
    <cellStyle name="40% - Accent1 8" xfId="242" xr:uid="{00000000-0005-0000-0000-000054050000}"/>
    <cellStyle name="40% - Accent1 8 2" xfId="441" xr:uid="{00000000-0005-0000-0000-000055050000}"/>
    <cellStyle name="40% - Accent1 8 2 2" xfId="844" xr:uid="{00000000-0005-0000-0000-000056050000}"/>
    <cellStyle name="40% - Accent1 8 2 2 2" xfId="2634" xr:uid="{00000000-0005-0000-0000-000057050000}"/>
    <cellStyle name="40% - Accent1 8 2 3" xfId="1295" xr:uid="{00000000-0005-0000-0000-000058050000}"/>
    <cellStyle name="40% - Accent1 8 2 3 2" xfId="3064" xr:uid="{00000000-0005-0000-0000-000059050000}"/>
    <cellStyle name="40% - Accent1 8 2 4" xfId="1684" xr:uid="{00000000-0005-0000-0000-00005A050000}"/>
    <cellStyle name="40% - Accent1 8 2 4 2" xfId="3441" xr:uid="{00000000-0005-0000-0000-00005B050000}"/>
    <cellStyle name="40% - Accent1 8 2 5" xfId="2242" xr:uid="{00000000-0005-0000-0000-00005C050000}"/>
    <cellStyle name="40% - Accent1 8 3" xfId="650" xr:uid="{00000000-0005-0000-0000-00005D050000}"/>
    <cellStyle name="40% - Accent1 8 3 2" xfId="2441" xr:uid="{00000000-0005-0000-0000-00005E050000}"/>
    <cellStyle name="40% - Accent1 8 4" xfId="1097" xr:uid="{00000000-0005-0000-0000-00005F050000}"/>
    <cellStyle name="40% - Accent1 8 4 2" xfId="2867" xr:uid="{00000000-0005-0000-0000-000060050000}"/>
    <cellStyle name="40% - Accent1 8 5" xfId="1484" xr:uid="{00000000-0005-0000-0000-000061050000}"/>
    <cellStyle name="40% - Accent1 8 5 2" xfId="3244" xr:uid="{00000000-0005-0000-0000-000062050000}"/>
    <cellStyle name="40% - Accent1 8 6" xfId="1851" xr:uid="{00000000-0005-0000-0000-000063050000}"/>
    <cellStyle name="40% - Accent1 8 6 2" xfId="3603" xr:uid="{00000000-0005-0000-0000-000064050000}"/>
    <cellStyle name="40% - Accent1 8 7" xfId="2046" xr:uid="{00000000-0005-0000-0000-000065050000}"/>
    <cellStyle name="40% - Accent1 9" xfId="261" xr:uid="{00000000-0005-0000-0000-000066050000}"/>
    <cellStyle name="40% - Accent1 9 2" xfId="459" xr:uid="{00000000-0005-0000-0000-000067050000}"/>
    <cellStyle name="40% - Accent1 9 2 2" xfId="862" xr:uid="{00000000-0005-0000-0000-000068050000}"/>
    <cellStyle name="40% - Accent1 9 2 2 2" xfId="2652" xr:uid="{00000000-0005-0000-0000-000069050000}"/>
    <cellStyle name="40% - Accent1 9 2 3" xfId="1313" xr:uid="{00000000-0005-0000-0000-00006A050000}"/>
    <cellStyle name="40% - Accent1 9 2 3 2" xfId="3082" xr:uid="{00000000-0005-0000-0000-00006B050000}"/>
    <cellStyle name="40% - Accent1 9 2 4" xfId="1702" xr:uid="{00000000-0005-0000-0000-00006C050000}"/>
    <cellStyle name="40% - Accent1 9 2 4 2" xfId="3459" xr:uid="{00000000-0005-0000-0000-00006D050000}"/>
    <cellStyle name="40% - Accent1 9 2 5" xfId="2260" xr:uid="{00000000-0005-0000-0000-00006E050000}"/>
    <cellStyle name="40% - Accent1 9 3" xfId="668" xr:uid="{00000000-0005-0000-0000-00006F050000}"/>
    <cellStyle name="40% - Accent1 9 3 2" xfId="2459" xr:uid="{00000000-0005-0000-0000-000070050000}"/>
    <cellStyle name="40% - Accent1 9 4" xfId="1115" xr:uid="{00000000-0005-0000-0000-000071050000}"/>
    <cellStyle name="40% - Accent1 9 4 2" xfId="2885" xr:uid="{00000000-0005-0000-0000-000072050000}"/>
    <cellStyle name="40% - Accent1 9 5" xfId="1502" xr:uid="{00000000-0005-0000-0000-000073050000}"/>
    <cellStyle name="40% - Accent1 9 5 2" xfId="3262" xr:uid="{00000000-0005-0000-0000-000074050000}"/>
    <cellStyle name="40% - Accent1 9 6" xfId="1869" xr:uid="{00000000-0005-0000-0000-000075050000}"/>
    <cellStyle name="40% - Accent1 9 6 2" xfId="3621" xr:uid="{00000000-0005-0000-0000-000076050000}"/>
    <cellStyle name="40% - Accent1 9 7" xfId="2064" xr:uid="{00000000-0005-0000-0000-000077050000}"/>
    <cellStyle name="40% - Accent2" xfId="8" builtinId="35" customBuiltin="1"/>
    <cellStyle name="40% - Accent2 10" xfId="283" xr:uid="{00000000-0005-0000-0000-000079050000}"/>
    <cellStyle name="40% - Accent2 10 2" xfId="479" xr:uid="{00000000-0005-0000-0000-00007A050000}"/>
    <cellStyle name="40% - Accent2 10 2 2" xfId="881" xr:uid="{00000000-0005-0000-0000-00007B050000}"/>
    <cellStyle name="40% - Accent2 10 2 2 2" xfId="2671" xr:uid="{00000000-0005-0000-0000-00007C050000}"/>
    <cellStyle name="40% - Accent2 10 2 3" xfId="1334" xr:uid="{00000000-0005-0000-0000-00007D050000}"/>
    <cellStyle name="40% - Accent2 10 2 3 2" xfId="3103" xr:uid="{00000000-0005-0000-0000-00007E050000}"/>
    <cellStyle name="40% - Accent2 10 2 4" xfId="1723" xr:uid="{00000000-0005-0000-0000-00007F050000}"/>
    <cellStyle name="40% - Accent2 10 2 4 2" xfId="3479" xr:uid="{00000000-0005-0000-0000-000080050000}"/>
    <cellStyle name="40% - Accent2 10 2 5" xfId="2280" xr:uid="{00000000-0005-0000-0000-000081050000}"/>
    <cellStyle name="40% - Accent2 10 3" xfId="688" xr:uid="{00000000-0005-0000-0000-000082050000}"/>
    <cellStyle name="40% - Accent2 10 3 2" xfId="2479" xr:uid="{00000000-0005-0000-0000-000083050000}"/>
    <cellStyle name="40% - Accent2 10 4" xfId="1136" xr:uid="{00000000-0005-0000-0000-000084050000}"/>
    <cellStyle name="40% - Accent2 10 4 2" xfId="2907" xr:uid="{00000000-0005-0000-0000-000085050000}"/>
    <cellStyle name="40% - Accent2 10 5" xfId="1524" xr:uid="{00000000-0005-0000-0000-000086050000}"/>
    <cellStyle name="40% - Accent2 10 5 2" xfId="3284" xr:uid="{00000000-0005-0000-0000-000087050000}"/>
    <cellStyle name="40% - Accent2 10 6" xfId="1886" xr:uid="{00000000-0005-0000-0000-000088050000}"/>
    <cellStyle name="40% - Accent2 10 6 2" xfId="3638" xr:uid="{00000000-0005-0000-0000-000089050000}"/>
    <cellStyle name="40% - Accent2 10 7" xfId="2085" xr:uid="{00000000-0005-0000-0000-00008A050000}"/>
    <cellStyle name="40% - Accent2 11" xfId="300" xr:uid="{00000000-0005-0000-0000-00008B050000}"/>
    <cellStyle name="40% - Accent2 11 2" xfId="705" xr:uid="{00000000-0005-0000-0000-00008C050000}"/>
    <cellStyle name="40% - Accent2 11 2 2" xfId="2496" xr:uid="{00000000-0005-0000-0000-00008D050000}"/>
    <cellStyle name="40% - Accent2 11 3" xfId="1153" xr:uid="{00000000-0005-0000-0000-00008E050000}"/>
    <cellStyle name="40% - Accent2 11 3 2" xfId="2924" xr:uid="{00000000-0005-0000-0000-00008F050000}"/>
    <cellStyle name="40% - Accent2 11 4" xfId="1541" xr:uid="{00000000-0005-0000-0000-000090050000}"/>
    <cellStyle name="40% - Accent2 11 4 2" xfId="3301" xr:uid="{00000000-0005-0000-0000-000091050000}"/>
    <cellStyle name="40% - Accent2 11 5" xfId="2102" xr:uid="{00000000-0005-0000-0000-000092050000}"/>
    <cellStyle name="40% - Accent2 12" xfId="491" xr:uid="{00000000-0005-0000-0000-000093050000}"/>
    <cellStyle name="40% - Accent2 12 2" xfId="914" xr:uid="{00000000-0005-0000-0000-000094050000}"/>
    <cellStyle name="40% - Accent2 12 2 2" xfId="2702" xr:uid="{00000000-0005-0000-0000-000095050000}"/>
    <cellStyle name="40% - Accent2 12 3" xfId="2292" xr:uid="{00000000-0005-0000-0000-000096050000}"/>
    <cellStyle name="40% - Accent2 13" xfId="900" xr:uid="{00000000-0005-0000-0000-000097050000}"/>
    <cellStyle name="40% - Accent2 13 2" xfId="2689" xr:uid="{00000000-0005-0000-0000-000098050000}"/>
    <cellStyle name="40% - Accent2 14" xfId="1326" xr:uid="{00000000-0005-0000-0000-000099050000}"/>
    <cellStyle name="40% - Accent2 14 2" xfId="3095" xr:uid="{00000000-0005-0000-0000-00009A050000}"/>
    <cellStyle name="40% - Accent2 15" xfId="948" xr:uid="{00000000-0005-0000-0000-00009B050000}"/>
    <cellStyle name="40% - Accent2 15 2" xfId="2727" xr:uid="{00000000-0005-0000-0000-00009C050000}"/>
    <cellStyle name="40% - Accent2 16" xfId="1898" xr:uid="{00000000-0005-0000-0000-00009D050000}"/>
    <cellStyle name="40% - Accent2 17" xfId="3815" xr:uid="{00000000-0005-0000-0000-00009E050000}"/>
    <cellStyle name="40% - Accent2 18" xfId="3831" xr:uid="{00000000-0005-0000-0000-00009F050000}"/>
    <cellStyle name="40% - Accent2 2" xfId="104" xr:uid="{00000000-0005-0000-0000-0000A0050000}"/>
    <cellStyle name="40% - Accent2 2 2" xfId="126" xr:uid="{00000000-0005-0000-0000-0000A1050000}"/>
    <cellStyle name="40% - Accent2 2 2 2" xfId="335" xr:uid="{00000000-0005-0000-0000-0000A2050000}"/>
    <cellStyle name="40% - Accent2 2 2 2 2" xfId="737" xr:uid="{00000000-0005-0000-0000-0000A3050000}"/>
    <cellStyle name="40% - Accent2 2 2 2 2 2" xfId="2527" xr:uid="{00000000-0005-0000-0000-0000A4050000}"/>
    <cellStyle name="40% - Accent2 2 2 2 3" xfId="1188" xr:uid="{00000000-0005-0000-0000-0000A5050000}"/>
    <cellStyle name="40% - Accent2 2 2 2 3 2" xfId="2957" xr:uid="{00000000-0005-0000-0000-0000A6050000}"/>
    <cellStyle name="40% - Accent2 2 2 2 4" xfId="1577" xr:uid="{00000000-0005-0000-0000-0000A7050000}"/>
    <cellStyle name="40% - Accent2 2 2 2 4 2" xfId="3334" xr:uid="{00000000-0005-0000-0000-0000A8050000}"/>
    <cellStyle name="40% - Accent2 2 2 2 5" xfId="2135" xr:uid="{00000000-0005-0000-0000-0000A9050000}"/>
    <cellStyle name="40% - Accent2 2 2 3" xfId="536" xr:uid="{00000000-0005-0000-0000-0000AA050000}"/>
    <cellStyle name="40% - Accent2 2 2 3 2" xfId="2330" xr:uid="{00000000-0005-0000-0000-0000AB050000}"/>
    <cellStyle name="40% - Accent2 2 2 4" xfId="990" xr:uid="{00000000-0005-0000-0000-0000AC050000}"/>
    <cellStyle name="40% - Accent2 2 2 4 2" xfId="2760" xr:uid="{00000000-0005-0000-0000-0000AD050000}"/>
    <cellStyle name="40% - Accent2 2 2 5" xfId="1376" xr:uid="{00000000-0005-0000-0000-0000AE050000}"/>
    <cellStyle name="40% - Accent2 2 2 5 2" xfId="3137" xr:uid="{00000000-0005-0000-0000-0000AF050000}"/>
    <cellStyle name="40% - Accent2 2 2 6" xfId="1939" xr:uid="{00000000-0005-0000-0000-0000B0050000}"/>
    <cellStyle name="40% - Accent2 2 3" xfId="316" xr:uid="{00000000-0005-0000-0000-0000B1050000}"/>
    <cellStyle name="40% - Accent2 2 3 2" xfId="720" xr:uid="{00000000-0005-0000-0000-0000B2050000}"/>
    <cellStyle name="40% - Accent2 2 3 2 2" xfId="2511" xr:uid="{00000000-0005-0000-0000-0000B3050000}"/>
    <cellStyle name="40% - Accent2 2 3 3" xfId="1169" xr:uid="{00000000-0005-0000-0000-0000B4050000}"/>
    <cellStyle name="40% - Accent2 2 3 3 2" xfId="2939" xr:uid="{00000000-0005-0000-0000-0000B5050000}"/>
    <cellStyle name="40% - Accent2 2 3 4" xfId="1558" xr:uid="{00000000-0005-0000-0000-0000B6050000}"/>
    <cellStyle name="40% - Accent2 2 3 4 2" xfId="3317" xr:uid="{00000000-0005-0000-0000-0000B7050000}"/>
    <cellStyle name="40% - Accent2 2 3 5" xfId="2117" xr:uid="{00000000-0005-0000-0000-0000B8050000}"/>
    <cellStyle name="40% - Accent2 2 4" xfId="515" xr:uid="{00000000-0005-0000-0000-0000B9050000}"/>
    <cellStyle name="40% - Accent2 2 4 2" xfId="2311" xr:uid="{00000000-0005-0000-0000-0000BA050000}"/>
    <cellStyle name="40% - Accent2 2 5" xfId="965" xr:uid="{00000000-0005-0000-0000-0000BB050000}"/>
    <cellStyle name="40% - Accent2 2 5 2" xfId="2741" xr:uid="{00000000-0005-0000-0000-0000BC050000}"/>
    <cellStyle name="40% - Accent2 2 6" xfId="1351" xr:uid="{00000000-0005-0000-0000-0000BD050000}"/>
    <cellStyle name="40% - Accent2 2 6 2" xfId="3119" xr:uid="{00000000-0005-0000-0000-0000BE050000}"/>
    <cellStyle name="40% - Accent2 2 7" xfId="1742" xr:uid="{00000000-0005-0000-0000-0000BF050000}"/>
    <cellStyle name="40% - Accent2 2 7 2" xfId="3494" xr:uid="{00000000-0005-0000-0000-0000C0050000}"/>
    <cellStyle name="40% - Accent2 2 8" xfId="1919" xr:uid="{00000000-0005-0000-0000-0000C1050000}"/>
    <cellStyle name="40% - Accent2 3" xfId="155" xr:uid="{00000000-0005-0000-0000-0000C2050000}"/>
    <cellStyle name="40% - Accent2 3 2" xfId="359" xr:uid="{00000000-0005-0000-0000-0000C3050000}"/>
    <cellStyle name="40% - Accent2 3 2 2" xfId="762" xr:uid="{00000000-0005-0000-0000-0000C4050000}"/>
    <cellStyle name="40% - Accent2 3 2 2 2" xfId="2552" xr:uid="{00000000-0005-0000-0000-0000C5050000}"/>
    <cellStyle name="40% - Accent2 3 2 3" xfId="1213" xr:uid="{00000000-0005-0000-0000-0000C6050000}"/>
    <cellStyle name="40% - Accent2 3 2 3 2" xfId="2982" xr:uid="{00000000-0005-0000-0000-0000C7050000}"/>
    <cellStyle name="40% - Accent2 3 2 4" xfId="1602" xr:uid="{00000000-0005-0000-0000-0000C8050000}"/>
    <cellStyle name="40% - Accent2 3 2 4 2" xfId="3359" xr:uid="{00000000-0005-0000-0000-0000C9050000}"/>
    <cellStyle name="40% - Accent2 3 2 5" xfId="2160" xr:uid="{00000000-0005-0000-0000-0000CA050000}"/>
    <cellStyle name="40% - Accent2 3 3" xfId="568" xr:uid="{00000000-0005-0000-0000-0000CB050000}"/>
    <cellStyle name="40% - Accent2 3 3 2" xfId="2359" xr:uid="{00000000-0005-0000-0000-0000CC050000}"/>
    <cellStyle name="40% - Accent2 3 4" xfId="1015" xr:uid="{00000000-0005-0000-0000-0000CD050000}"/>
    <cellStyle name="40% - Accent2 3 4 2" xfId="2785" xr:uid="{00000000-0005-0000-0000-0000CE050000}"/>
    <cellStyle name="40% - Accent2 3 5" xfId="1401" xr:uid="{00000000-0005-0000-0000-0000CF050000}"/>
    <cellStyle name="40% - Accent2 3 5 2" xfId="3162" xr:uid="{00000000-0005-0000-0000-0000D0050000}"/>
    <cellStyle name="40% - Accent2 3 6" xfId="1767" xr:uid="{00000000-0005-0000-0000-0000D1050000}"/>
    <cellStyle name="40% - Accent2 3 6 2" xfId="3519" xr:uid="{00000000-0005-0000-0000-0000D2050000}"/>
    <cellStyle name="40% - Accent2 3 7" xfId="1964" xr:uid="{00000000-0005-0000-0000-0000D3050000}"/>
    <cellStyle name="40% - Accent2 4" xfId="172" xr:uid="{00000000-0005-0000-0000-0000D4050000}"/>
    <cellStyle name="40% - Accent2 4 2" xfId="374" xr:uid="{00000000-0005-0000-0000-0000D5050000}"/>
    <cellStyle name="40% - Accent2 4 2 2" xfId="777" xr:uid="{00000000-0005-0000-0000-0000D6050000}"/>
    <cellStyle name="40% - Accent2 4 2 2 2" xfId="2567" xr:uid="{00000000-0005-0000-0000-0000D7050000}"/>
    <cellStyle name="40% - Accent2 4 2 3" xfId="1228" xr:uid="{00000000-0005-0000-0000-0000D8050000}"/>
    <cellStyle name="40% - Accent2 4 2 3 2" xfId="2997" xr:uid="{00000000-0005-0000-0000-0000D9050000}"/>
    <cellStyle name="40% - Accent2 4 2 4" xfId="1617" xr:uid="{00000000-0005-0000-0000-0000DA050000}"/>
    <cellStyle name="40% - Accent2 4 2 4 2" xfId="3374" xr:uid="{00000000-0005-0000-0000-0000DB050000}"/>
    <cellStyle name="40% - Accent2 4 2 5" xfId="2175" xr:uid="{00000000-0005-0000-0000-0000DC050000}"/>
    <cellStyle name="40% - Accent2 4 3" xfId="583" xr:uid="{00000000-0005-0000-0000-0000DD050000}"/>
    <cellStyle name="40% - Accent2 4 3 2" xfId="2374" xr:uid="{00000000-0005-0000-0000-0000DE050000}"/>
    <cellStyle name="40% - Accent2 4 4" xfId="1030" xr:uid="{00000000-0005-0000-0000-0000DF050000}"/>
    <cellStyle name="40% - Accent2 4 4 2" xfId="2800" xr:uid="{00000000-0005-0000-0000-0000E0050000}"/>
    <cellStyle name="40% - Accent2 4 5" xfId="1417" xr:uid="{00000000-0005-0000-0000-0000E1050000}"/>
    <cellStyle name="40% - Accent2 4 5 2" xfId="3177" xr:uid="{00000000-0005-0000-0000-0000E2050000}"/>
    <cellStyle name="40% - Accent2 4 6" xfId="1784" xr:uid="{00000000-0005-0000-0000-0000E3050000}"/>
    <cellStyle name="40% - Accent2 4 6 2" xfId="3536" xr:uid="{00000000-0005-0000-0000-0000E4050000}"/>
    <cellStyle name="40% - Accent2 4 7" xfId="1979" xr:uid="{00000000-0005-0000-0000-0000E5050000}"/>
    <cellStyle name="40% - Accent2 5" xfId="190" xr:uid="{00000000-0005-0000-0000-0000E6050000}"/>
    <cellStyle name="40% - Accent2 5 2" xfId="391" xr:uid="{00000000-0005-0000-0000-0000E7050000}"/>
    <cellStyle name="40% - Accent2 5 2 2" xfId="794" xr:uid="{00000000-0005-0000-0000-0000E8050000}"/>
    <cellStyle name="40% - Accent2 5 2 2 2" xfId="2584" xr:uid="{00000000-0005-0000-0000-0000E9050000}"/>
    <cellStyle name="40% - Accent2 5 2 3" xfId="1245" xr:uid="{00000000-0005-0000-0000-0000EA050000}"/>
    <cellStyle name="40% - Accent2 5 2 3 2" xfId="3014" xr:uid="{00000000-0005-0000-0000-0000EB050000}"/>
    <cellStyle name="40% - Accent2 5 2 4" xfId="1634" xr:uid="{00000000-0005-0000-0000-0000EC050000}"/>
    <cellStyle name="40% - Accent2 5 2 4 2" xfId="3391" xr:uid="{00000000-0005-0000-0000-0000ED050000}"/>
    <cellStyle name="40% - Accent2 5 2 5" xfId="2192" xr:uid="{00000000-0005-0000-0000-0000EE050000}"/>
    <cellStyle name="40% - Accent2 5 3" xfId="600" xr:uid="{00000000-0005-0000-0000-0000EF050000}"/>
    <cellStyle name="40% - Accent2 5 3 2" xfId="2391" xr:uid="{00000000-0005-0000-0000-0000F0050000}"/>
    <cellStyle name="40% - Accent2 5 4" xfId="1047" xr:uid="{00000000-0005-0000-0000-0000F1050000}"/>
    <cellStyle name="40% - Accent2 5 4 2" xfId="2817" xr:uid="{00000000-0005-0000-0000-0000F2050000}"/>
    <cellStyle name="40% - Accent2 5 5" xfId="1434" xr:uid="{00000000-0005-0000-0000-0000F3050000}"/>
    <cellStyle name="40% - Accent2 5 5 2" xfId="3194" xr:uid="{00000000-0005-0000-0000-0000F4050000}"/>
    <cellStyle name="40% - Accent2 5 6" xfId="1801" xr:uid="{00000000-0005-0000-0000-0000F5050000}"/>
    <cellStyle name="40% - Accent2 5 6 2" xfId="3553" xr:uid="{00000000-0005-0000-0000-0000F6050000}"/>
    <cellStyle name="40% - Accent2 5 7" xfId="1996" xr:uid="{00000000-0005-0000-0000-0000F7050000}"/>
    <cellStyle name="40% - Accent2 6" xfId="204" xr:uid="{00000000-0005-0000-0000-0000F8050000}"/>
    <cellStyle name="40% - Accent2 6 2" xfId="405" xr:uid="{00000000-0005-0000-0000-0000F9050000}"/>
    <cellStyle name="40% - Accent2 6 2 2" xfId="808" xr:uid="{00000000-0005-0000-0000-0000FA050000}"/>
    <cellStyle name="40% - Accent2 6 2 2 2" xfId="2598" xr:uid="{00000000-0005-0000-0000-0000FB050000}"/>
    <cellStyle name="40% - Accent2 6 2 3" xfId="1259" xr:uid="{00000000-0005-0000-0000-0000FC050000}"/>
    <cellStyle name="40% - Accent2 6 2 3 2" xfId="3028" xr:uid="{00000000-0005-0000-0000-0000FD050000}"/>
    <cellStyle name="40% - Accent2 6 2 4" xfId="1648" xr:uid="{00000000-0005-0000-0000-0000FE050000}"/>
    <cellStyle name="40% - Accent2 6 2 4 2" xfId="3405" xr:uid="{00000000-0005-0000-0000-0000FF050000}"/>
    <cellStyle name="40% - Accent2 6 2 5" xfId="2206" xr:uid="{00000000-0005-0000-0000-000000060000}"/>
    <cellStyle name="40% - Accent2 6 3" xfId="614" xr:uid="{00000000-0005-0000-0000-000001060000}"/>
    <cellStyle name="40% - Accent2 6 3 2" xfId="2405" xr:uid="{00000000-0005-0000-0000-000002060000}"/>
    <cellStyle name="40% - Accent2 6 4" xfId="1061" xr:uid="{00000000-0005-0000-0000-000003060000}"/>
    <cellStyle name="40% - Accent2 6 4 2" xfId="2831" xr:uid="{00000000-0005-0000-0000-000004060000}"/>
    <cellStyle name="40% - Accent2 6 5" xfId="1448" xr:uid="{00000000-0005-0000-0000-000005060000}"/>
    <cellStyle name="40% - Accent2 6 5 2" xfId="3208" xr:uid="{00000000-0005-0000-0000-000006060000}"/>
    <cellStyle name="40% - Accent2 6 6" xfId="1815" xr:uid="{00000000-0005-0000-0000-000007060000}"/>
    <cellStyle name="40% - Accent2 6 6 2" xfId="3567" xr:uid="{00000000-0005-0000-0000-000008060000}"/>
    <cellStyle name="40% - Accent2 6 7" xfId="2010" xr:uid="{00000000-0005-0000-0000-000009060000}"/>
    <cellStyle name="40% - Accent2 7" xfId="224" xr:uid="{00000000-0005-0000-0000-00000A060000}"/>
    <cellStyle name="40% - Accent2 7 2" xfId="424" xr:uid="{00000000-0005-0000-0000-00000B060000}"/>
    <cellStyle name="40% - Accent2 7 2 2" xfId="827" xr:uid="{00000000-0005-0000-0000-00000C060000}"/>
    <cellStyle name="40% - Accent2 7 2 2 2" xfId="2617" xr:uid="{00000000-0005-0000-0000-00000D060000}"/>
    <cellStyle name="40% - Accent2 7 2 3" xfId="1278" xr:uid="{00000000-0005-0000-0000-00000E060000}"/>
    <cellStyle name="40% - Accent2 7 2 3 2" xfId="3047" xr:uid="{00000000-0005-0000-0000-00000F060000}"/>
    <cellStyle name="40% - Accent2 7 2 4" xfId="1667" xr:uid="{00000000-0005-0000-0000-000010060000}"/>
    <cellStyle name="40% - Accent2 7 2 4 2" xfId="3424" xr:uid="{00000000-0005-0000-0000-000011060000}"/>
    <cellStyle name="40% - Accent2 7 2 5" xfId="2225" xr:uid="{00000000-0005-0000-0000-000012060000}"/>
    <cellStyle name="40% - Accent2 7 3" xfId="633" xr:uid="{00000000-0005-0000-0000-000013060000}"/>
    <cellStyle name="40% - Accent2 7 3 2" xfId="2424" xr:uid="{00000000-0005-0000-0000-000014060000}"/>
    <cellStyle name="40% - Accent2 7 4" xfId="1080" xr:uid="{00000000-0005-0000-0000-000015060000}"/>
    <cellStyle name="40% - Accent2 7 4 2" xfId="2850" xr:uid="{00000000-0005-0000-0000-000016060000}"/>
    <cellStyle name="40% - Accent2 7 5" xfId="1467" xr:uid="{00000000-0005-0000-0000-000017060000}"/>
    <cellStyle name="40% - Accent2 7 5 2" xfId="3227" xr:uid="{00000000-0005-0000-0000-000018060000}"/>
    <cellStyle name="40% - Accent2 7 6" xfId="1834" xr:uid="{00000000-0005-0000-0000-000019060000}"/>
    <cellStyle name="40% - Accent2 7 6 2" xfId="3586" xr:uid="{00000000-0005-0000-0000-00001A060000}"/>
    <cellStyle name="40% - Accent2 7 7" xfId="2029" xr:uid="{00000000-0005-0000-0000-00001B060000}"/>
    <cellStyle name="40% - Accent2 8" xfId="243" xr:uid="{00000000-0005-0000-0000-00001C060000}"/>
    <cellStyle name="40% - Accent2 8 2" xfId="442" xr:uid="{00000000-0005-0000-0000-00001D060000}"/>
    <cellStyle name="40% - Accent2 8 2 2" xfId="845" xr:uid="{00000000-0005-0000-0000-00001E060000}"/>
    <cellStyle name="40% - Accent2 8 2 2 2" xfId="2635" xr:uid="{00000000-0005-0000-0000-00001F060000}"/>
    <cellStyle name="40% - Accent2 8 2 3" xfId="1296" xr:uid="{00000000-0005-0000-0000-000020060000}"/>
    <cellStyle name="40% - Accent2 8 2 3 2" xfId="3065" xr:uid="{00000000-0005-0000-0000-000021060000}"/>
    <cellStyle name="40% - Accent2 8 2 4" xfId="1685" xr:uid="{00000000-0005-0000-0000-000022060000}"/>
    <cellStyle name="40% - Accent2 8 2 4 2" xfId="3442" xr:uid="{00000000-0005-0000-0000-000023060000}"/>
    <cellStyle name="40% - Accent2 8 2 5" xfId="2243" xr:uid="{00000000-0005-0000-0000-000024060000}"/>
    <cellStyle name="40% - Accent2 8 3" xfId="651" xr:uid="{00000000-0005-0000-0000-000025060000}"/>
    <cellStyle name="40% - Accent2 8 3 2" xfId="2442" xr:uid="{00000000-0005-0000-0000-000026060000}"/>
    <cellStyle name="40% - Accent2 8 4" xfId="1098" xr:uid="{00000000-0005-0000-0000-000027060000}"/>
    <cellStyle name="40% - Accent2 8 4 2" xfId="2868" xr:uid="{00000000-0005-0000-0000-000028060000}"/>
    <cellStyle name="40% - Accent2 8 5" xfId="1485" xr:uid="{00000000-0005-0000-0000-000029060000}"/>
    <cellStyle name="40% - Accent2 8 5 2" xfId="3245" xr:uid="{00000000-0005-0000-0000-00002A060000}"/>
    <cellStyle name="40% - Accent2 8 6" xfId="1852" xr:uid="{00000000-0005-0000-0000-00002B060000}"/>
    <cellStyle name="40% - Accent2 8 6 2" xfId="3604" xr:uid="{00000000-0005-0000-0000-00002C060000}"/>
    <cellStyle name="40% - Accent2 8 7" xfId="2047" xr:uid="{00000000-0005-0000-0000-00002D060000}"/>
    <cellStyle name="40% - Accent2 9" xfId="262" xr:uid="{00000000-0005-0000-0000-00002E060000}"/>
    <cellStyle name="40% - Accent2 9 2" xfId="460" xr:uid="{00000000-0005-0000-0000-00002F060000}"/>
    <cellStyle name="40% - Accent2 9 2 2" xfId="863" xr:uid="{00000000-0005-0000-0000-000030060000}"/>
    <cellStyle name="40% - Accent2 9 2 2 2" xfId="2653" xr:uid="{00000000-0005-0000-0000-000031060000}"/>
    <cellStyle name="40% - Accent2 9 2 3" xfId="1314" xr:uid="{00000000-0005-0000-0000-000032060000}"/>
    <cellStyle name="40% - Accent2 9 2 3 2" xfId="3083" xr:uid="{00000000-0005-0000-0000-000033060000}"/>
    <cellStyle name="40% - Accent2 9 2 4" xfId="1703" xr:uid="{00000000-0005-0000-0000-000034060000}"/>
    <cellStyle name="40% - Accent2 9 2 4 2" xfId="3460" xr:uid="{00000000-0005-0000-0000-000035060000}"/>
    <cellStyle name="40% - Accent2 9 2 5" xfId="2261" xr:uid="{00000000-0005-0000-0000-000036060000}"/>
    <cellStyle name="40% - Accent2 9 3" xfId="669" xr:uid="{00000000-0005-0000-0000-000037060000}"/>
    <cellStyle name="40% - Accent2 9 3 2" xfId="2460" xr:uid="{00000000-0005-0000-0000-000038060000}"/>
    <cellStyle name="40% - Accent2 9 4" xfId="1116" xr:uid="{00000000-0005-0000-0000-000039060000}"/>
    <cellStyle name="40% - Accent2 9 4 2" xfId="2886" xr:uid="{00000000-0005-0000-0000-00003A060000}"/>
    <cellStyle name="40% - Accent2 9 5" xfId="1503" xr:uid="{00000000-0005-0000-0000-00003B060000}"/>
    <cellStyle name="40% - Accent2 9 5 2" xfId="3263" xr:uid="{00000000-0005-0000-0000-00003C060000}"/>
    <cellStyle name="40% - Accent2 9 6" xfId="1870" xr:uid="{00000000-0005-0000-0000-00003D060000}"/>
    <cellStyle name="40% - Accent2 9 6 2" xfId="3622" xr:uid="{00000000-0005-0000-0000-00003E060000}"/>
    <cellStyle name="40% - Accent2 9 7" xfId="2065" xr:uid="{00000000-0005-0000-0000-00003F060000}"/>
    <cellStyle name="40% - Accent3" xfId="9" builtinId="39" customBuiltin="1"/>
    <cellStyle name="40% - Accent3 10" xfId="285" xr:uid="{00000000-0005-0000-0000-000041060000}"/>
    <cellStyle name="40% - Accent3 10 2" xfId="481" xr:uid="{00000000-0005-0000-0000-000042060000}"/>
    <cellStyle name="40% - Accent3 10 2 2" xfId="883" xr:uid="{00000000-0005-0000-0000-000043060000}"/>
    <cellStyle name="40% - Accent3 10 2 2 2" xfId="2673" xr:uid="{00000000-0005-0000-0000-000044060000}"/>
    <cellStyle name="40% - Accent3 10 2 3" xfId="1336" xr:uid="{00000000-0005-0000-0000-000045060000}"/>
    <cellStyle name="40% - Accent3 10 2 3 2" xfId="3105" xr:uid="{00000000-0005-0000-0000-000046060000}"/>
    <cellStyle name="40% - Accent3 10 2 4" xfId="1725" xr:uid="{00000000-0005-0000-0000-000047060000}"/>
    <cellStyle name="40% - Accent3 10 2 4 2" xfId="3481" xr:uid="{00000000-0005-0000-0000-000048060000}"/>
    <cellStyle name="40% - Accent3 10 2 5" xfId="2282" xr:uid="{00000000-0005-0000-0000-000049060000}"/>
    <cellStyle name="40% - Accent3 10 3" xfId="690" xr:uid="{00000000-0005-0000-0000-00004A060000}"/>
    <cellStyle name="40% - Accent3 10 3 2" xfId="2481" xr:uid="{00000000-0005-0000-0000-00004B060000}"/>
    <cellStyle name="40% - Accent3 10 4" xfId="1138" xr:uid="{00000000-0005-0000-0000-00004C060000}"/>
    <cellStyle name="40% - Accent3 10 4 2" xfId="2909" xr:uid="{00000000-0005-0000-0000-00004D060000}"/>
    <cellStyle name="40% - Accent3 10 5" xfId="1526" xr:uid="{00000000-0005-0000-0000-00004E060000}"/>
    <cellStyle name="40% - Accent3 10 5 2" xfId="3286" xr:uid="{00000000-0005-0000-0000-00004F060000}"/>
    <cellStyle name="40% - Accent3 10 6" xfId="1888" xr:uid="{00000000-0005-0000-0000-000050060000}"/>
    <cellStyle name="40% - Accent3 10 6 2" xfId="3640" xr:uid="{00000000-0005-0000-0000-000051060000}"/>
    <cellStyle name="40% - Accent3 10 7" xfId="2087" xr:uid="{00000000-0005-0000-0000-000052060000}"/>
    <cellStyle name="40% - Accent3 11" xfId="301" xr:uid="{00000000-0005-0000-0000-000053060000}"/>
    <cellStyle name="40% - Accent3 11 2" xfId="706" xr:uid="{00000000-0005-0000-0000-000054060000}"/>
    <cellStyle name="40% - Accent3 11 2 2" xfId="2497" xr:uid="{00000000-0005-0000-0000-000055060000}"/>
    <cellStyle name="40% - Accent3 11 3" xfId="1154" xr:uid="{00000000-0005-0000-0000-000056060000}"/>
    <cellStyle name="40% - Accent3 11 3 2" xfId="2925" xr:uid="{00000000-0005-0000-0000-000057060000}"/>
    <cellStyle name="40% - Accent3 11 4" xfId="1542" xr:uid="{00000000-0005-0000-0000-000058060000}"/>
    <cellStyle name="40% - Accent3 11 4 2" xfId="3302" xr:uid="{00000000-0005-0000-0000-000059060000}"/>
    <cellStyle name="40% - Accent3 11 5" xfId="2103" xr:uid="{00000000-0005-0000-0000-00005A060000}"/>
    <cellStyle name="40% - Accent3 12" xfId="493" xr:uid="{00000000-0005-0000-0000-00005B060000}"/>
    <cellStyle name="40% - Accent3 12 2" xfId="918" xr:uid="{00000000-0005-0000-0000-00005C060000}"/>
    <cellStyle name="40% - Accent3 12 2 2" xfId="2706" xr:uid="{00000000-0005-0000-0000-00005D060000}"/>
    <cellStyle name="40% - Accent3 12 3" xfId="2294" xr:uid="{00000000-0005-0000-0000-00005E060000}"/>
    <cellStyle name="40% - Accent3 13" xfId="945" xr:uid="{00000000-0005-0000-0000-00005F060000}"/>
    <cellStyle name="40% - Accent3 13 2" xfId="2724" xr:uid="{00000000-0005-0000-0000-000060060000}"/>
    <cellStyle name="40% - Accent3 14" xfId="952" xr:uid="{00000000-0005-0000-0000-000061060000}"/>
    <cellStyle name="40% - Accent3 14 2" xfId="2730" xr:uid="{00000000-0005-0000-0000-000062060000}"/>
    <cellStyle name="40% - Accent3 15" xfId="896" xr:uid="{00000000-0005-0000-0000-000063060000}"/>
    <cellStyle name="40% - Accent3 15 2" xfId="2685" xr:uid="{00000000-0005-0000-0000-000064060000}"/>
    <cellStyle name="40% - Accent3 16" xfId="1900" xr:uid="{00000000-0005-0000-0000-000065060000}"/>
    <cellStyle name="40% - Accent3 17" xfId="3816" xr:uid="{00000000-0005-0000-0000-000066060000}"/>
    <cellStyle name="40% - Accent3 18" xfId="3832" xr:uid="{00000000-0005-0000-0000-000067060000}"/>
    <cellStyle name="40% - Accent3 2" xfId="105" xr:uid="{00000000-0005-0000-0000-000068060000}"/>
    <cellStyle name="40% - Accent3 2 2" xfId="125" xr:uid="{00000000-0005-0000-0000-000069060000}"/>
    <cellStyle name="40% - Accent3 2 2 2" xfId="334" xr:uid="{00000000-0005-0000-0000-00006A060000}"/>
    <cellStyle name="40% - Accent3 2 2 2 2" xfId="736" xr:uid="{00000000-0005-0000-0000-00006B060000}"/>
    <cellStyle name="40% - Accent3 2 2 2 2 2" xfId="2526" xr:uid="{00000000-0005-0000-0000-00006C060000}"/>
    <cellStyle name="40% - Accent3 2 2 2 3" xfId="1187" xr:uid="{00000000-0005-0000-0000-00006D060000}"/>
    <cellStyle name="40% - Accent3 2 2 2 3 2" xfId="2956" xr:uid="{00000000-0005-0000-0000-00006E060000}"/>
    <cellStyle name="40% - Accent3 2 2 2 4" xfId="1576" xr:uid="{00000000-0005-0000-0000-00006F060000}"/>
    <cellStyle name="40% - Accent3 2 2 2 4 2" xfId="3333" xr:uid="{00000000-0005-0000-0000-000070060000}"/>
    <cellStyle name="40% - Accent3 2 2 2 5" xfId="2134" xr:uid="{00000000-0005-0000-0000-000071060000}"/>
    <cellStyle name="40% - Accent3 2 2 3" xfId="537" xr:uid="{00000000-0005-0000-0000-000072060000}"/>
    <cellStyle name="40% - Accent3 2 2 3 2" xfId="2331" xr:uid="{00000000-0005-0000-0000-000073060000}"/>
    <cellStyle name="40% - Accent3 2 2 4" xfId="989" xr:uid="{00000000-0005-0000-0000-000074060000}"/>
    <cellStyle name="40% - Accent3 2 2 4 2" xfId="2759" xr:uid="{00000000-0005-0000-0000-000075060000}"/>
    <cellStyle name="40% - Accent3 2 2 5" xfId="1375" xr:uid="{00000000-0005-0000-0000-000076060000}"/>
    <cellStyle name="40% - Accent3 2 2 5 2" xfId="3136" xr:uid="{00000000-0005-0000-0000-000077060000}"/>
    <cellStyle name="40% - Accent3 2 2 6" xfId="1938" xr:uid="{00000000-0005-0000-0000-000078060000}"/>
    <cellStyle name="40% - Accent3 2 3" xfId="317" xr:uid="{00000000-0005-0000-0000-000079060000}"/>
    <cellStyle name="40% - Accent3 2 3 2" xfId="721" xr:uid="{00000000-0005-0000-0000-00007A060000}"/>
    <cellStyle name="40% - Accent3 2 3 2 2" xfId="2512" xr:uid="{00000000-0005-0000-0000-00007B060000}"/>
    <cellStyle name="40% - Accent3 2 3 3" xfId="1170" xr:uid="{00000000-0005-0000-0000-00007C060000}"/>
    <cellStyle name="40% - Accent3 2 3 3 2" xfId="2940" xr:uid="{00000000-0005-0000-0000-00007D060000}"/>
    <cellStyle name="40% - Accent3 2 3 4" xfId="1559" xr:uid="{00000000-0005-0000-0000-00007E060000}"/>
    <cellStyle name="40% - Accent3 2 3 4 2" xfId="3318" xr:uid="{00000000-0005-0000-0000-00007F060000}"/>
    <cellStyle name="40% - Accent3 2 3 5" xfId="2118" xr:uid="{00000000-0005-0000-0000-000080060000}"/>
    <cellStyle name="40% - Accent3 2 4" xfId="517" xr:uid="{00000000-0005-0000-0000-000081060000}"/>
    <cellStyle name="40% - Accent3 2 4 2" xfId="2313" xr:uid="{00000000-0005-0000-0000-000082060000}"/>
    <cellStyle name="40% - Accent3 2 5" xfId="966" xr:uid="{00000000-0005-0000-0000-000083060000}"/>
    <cellStyle name="40% - Accent3 2 5 2" xfId="2742" xr:uid="{00000000-0005-0000-0000-000084060000}"/>
    <cellStyle name="40% - Accent3 2 6" xfId="1352" xr:uid="{00000000-0005-0000-0000-000085060000}"/>
    <cellStyle name="40% - Accent3 2 6 2" xfId="3120" xr:uid="{00000000-0005-0000-0000-000086060000}"/>
    <cellStyle name="40% - Accent3 2 7" xfId="1741" xr:uid="{00000000-0005-0000-0000-000087060000}"/>
    <cellStyle name="40% - Accent3 2 7 2" xfId="3493" xr:uid="{00000000-0005-0000-0000-000088060000}"/>
    <cellStyle name="40% - Accent3 2 8" xfId="1920" xr:uid="{00000000-0005-0000-0000-000089060000}"/>
    <cellStyle name="40% - Accent3 3" xfId="154" xr:uid="{00000000-0005-0000-0000-00008A060000}"/>
    <cellStyle name="40% - Accent3 3 2" xfId="358" xr:uid="{00000000-0005-0000-0000-00008B060000}"/>
    <cellStyle name="40% - Accent3 3 2 2" xfId="761" xr:uid="{00000000-0005-0000-0000-00008C060000}"/>
    <cellStyle name="40% - Accent3 3 2 2 2" xfId="2551" xr:uid="{00000000-0005-0000-0000-00008D060000}"/>
    <cellStyle name="40% - Accent3 3 2 3" xfId="1212" xr:uid="{00000000-0005-0000-0000-00008E060000}"/>
    <cellStyle name="40% - Accent3 3 2 3 2" xfId="2981" xr:uid="{00000000-0005-0000-0000-00008F060000}"/>
    <cellStyle name="40% - Accent3 3 2 4" xfId="1601" xr:uid="{00000000-0005-0000-0000-000090060000}"/>
    <cellStyle name="40% - Accent3 3 2 4 2" xfId="3358" xr:uid="{00000000-0005-0000-0000-000091060000}"/>
    <cellStyle name="40% - Accent3 3 2 5" xfId="2159" xr:uid="{00000000-0005-0000-0000-000092060000}"/>
    <cellStyle name="40% - Accent3 3 3" xfId="567" xr:uid="{00000000-0005-0000-0000-000093060000}"/>
    <cellStyle name="40% - Accent3 3 3 2" xfId="2358" xr:uid="{00000000-0005-0000-0000-000094060000}"/>
    <cellStyle name="40% - Accent3 3 4" xfId="1014" xr:uid="{00000000-0005-0000-0000-000095060000}"/>
    <cellStyle name="40% - Accent3 3 4 2" xfId="2784" xr:uid="{00000000-0005-0000-0000-000096060000}"/>
    <cellStyle name="40% - Accent3 3 5" xfId="1400" xr:uid="{00000000-0005-0000-0000-000097060000}"/>
    <cellStyle name="40% - Accent3 3 5 2" xfId="3161" xr:uid="{00000000-0005-0000-0000-000098060000}"/>
    <cellStyle name="40% - Accent3 3 6" xfId="1766" xr:uid="{00000000-0005-0000-0000-000099060000}"/>
    <cellStyle name="40% - Accent3 3 6 2" xfId="3518" xr:uid="{00000000-0005-0000-0000-00009A060000}"/>
    <cellStyle name="40% - Accent3 3 7" xfId="1963" xr:uid="{00000000-0005-0000-0000-00009B060000}"/>
    <cellStyle name="40% - Accent3 4" xfId="171" xr:uid="{00000000-0005-0000-0000-00009C060000}"/>
    <cellStyle name="40% - Accent3 4 2" xfId="373" xr:uid="{00000000-0005-0000-0000-00009D060000}"/>
    <cellStyle name="40% - Accent3 4 2 2" xfId="776" xr:uid="{00000000-0005-0000-0000-00009E060000}"/>
    <cellStyle name="40% - Accent3 4 2 2 2" xfId="2566" xr:uid="{00000000-0005-0000-0000-00009F060000}"/>
    <cellStyle name="40% - Accent3 4 2 3" xfId="1227" xr:uid="{00000000-0005-0000-0000-0000A0060000}"/>
    <cellStyle name="40% - Accent3 4 2 3 2" xfId="2996" xr:uid="{00000000-0005-0000-0000-0000A1060000}"/>
    <cellStyle name="40% - Accent3 4 2 4" xfId="1616" xr:uid="{00000000-0005-0000-0000-0000A2060000}"/>
    <cellStyle name="40% - Accent3 4 2 4 2" xfId="3373" xr:uid="{00000000-0005-0000-0000-0000A3060000}"/>
    <cellStyle name="40% - Accent3 4 2 5" xfId="2174" xr:uid="{00000000-0005-0000-0000-0000A4060000}"/>
    <cellStyle name="40% - Accent3 4 3" xfId="582" xr:uid="{00000000-0005-0000-0000-0000A5060000}"/>
    <cellStyle name="40% - Accent3 4 3 2" xfId="2373" xr:uid="{00000000-0005-0000-0000-0000A6060000}"/>
    <cellStyle name="40% - Accent3 4 4" xfId="1029" xr:uid="{00000000-0005-0000-0000-0000A7060000}"/>
    <cellStyle name="40% - Accent3 4 4 2" xfId="2799" xr:uid="{00000000-0005-0000-0000-0000A8060000}"/>
    <cellStyle name="40% - Accent3 4 5" xfId="1416" xr:uid="{00000000-0005-0000-0000-0000A9060000}"/>
    <cellStyle name="40% - Accent3 4 5 2" xfId="3176" xr:uid="{00000000-0005-0000-0000-0000AA060000}"/>
    <cellStyle name="40% - Accent3 4 6" xfId="1783" xr:uid="{00000000-0005-0000-0000-0000AB060000}"/>
    <cellStyle name="40% - Accent3 4 6 2" xfId="3535" xr:uid="{00000000-0005-0000-0000-0000AC060000}"/>
    <cellStyle name="40% - Accent3 4 7" xfId="1978" xr:uid="{00000000-0005-0000-0000-0000AD060000}"/>
    <cellStyle name="40% - Accent3 5" xfId="189" xr:uid="{00000000-0005-0000-0000-0000AE060000}"/>
    <cellStyle name="40% - Accent3 5 2" xfId="390" xr:uid="{00000000-0005-0000-0000-0000AF060000}"/>
    <cellStyle name="40% - Accent3 5 2 2" xfId="793" xr:uid="{00000000-0005-0000-0000-0000B0060000}"/>
    <cellStyle name="40% - Accent3 5 2 2 2" xfId="2583" xr:uid="{00000000-0005-0000-0000-0000B1060000}"/>
    <cellStyle name="40% - Accent3 5 2 3" xfId="1244" xr:uid="{00000000-0005-0000-0000-0000B2060000}"/>
    <cellStyle name="40% - Accent3 5 2 3 2" xfId="3013" xr:uid="{00000000-0005-0000-0000-0000B3060000}"/>
    <cellStyle name="40% - Accent3 5 2 4" xfId="1633" xr:uid="{00000000-0005-0000-0000-0000B4060000}"/>
    <cellStyle name="40% - Accent3 5 2 4 2" xfId="3390" xr:uid="{00000000-0005-0000-0000-0000B5060000}"/>
    <cellStyle name="40% - Accent3 5 2 5" xfId="2191" xr:uid="{00000000-0005-0000-0000-0000B6060000}"/>
    <cellStyle name="40% - Accent3 5 3" xfId="599" xr:uid="{00000000-0005-0000-0000-0000B7060000}"/>
    <cellStyle name="40% - Accent3 5 3 2" xfId="2390" xr:uid="{00000000-0005-0000-0000-0000B8060000}"/>
    <cellStyle name="40% - Accent3 5 4" xfId="1046" xr:uid="{00000000-0005-0000-0000-0000B9060000}"/>
    <cellStyle name="40% - Accent3 5 4 2" xfId="2816" xr:uid="{00000000-0005-0000-0000-0000BA060000}"/>
    <cellStyle name="40% - Accent3 5 5" xfId="1433" xr:uid="{00000000-0005-0000-0000-0000BB060000}"/>
    <cellStyle name="40% - Accent3 5 5 2" xfId="3193" xr:uid="{00000000-0005-0000-0000-0000BC060000}"/>
    <cellStyle name="40% - Accent3 5 6" xfId="1800" xr:uid="{00000000-0005-0000-0000-0000BD060000}"/>
    <cellStyle name="40% - Accent3 5 6 2" xfId="3552" xr:uid="{00000000-0005-0000-0000-0000BE060000}"/>
    <cellStyle name="40% - Accent3 5 7" xfId="1995" xr:uid="{00000000-0005-0000-0000-0000BF060000}"/>
    <cellStyle name="40% - Accent3 6" xfId="203" xr:uid="{00000000-0005-0000-0000-0000C0060000}"/>
    <cellStyle name="40% - Accent3 6 2" xfId="404" xr:uid="{00000000-0005-0000-0000-0000C1060000}"/>
    <cellStyle name="40% - Accent3 6 2 2" xfId="807" xr:uid="{00000000-0005-0000-0000-0000C2060000}"/>
    <cellStyle name="40% - Accent3 6 2 2 2" xfId="2597" xr:uid="{00000000-0005-0000-0000-0000C3060000}"/>
    <cellStyle name="40% - Accent3 6 2 3" xfId="1258" xr:uid="{00000000-0005-0000-0000-0000C4060000}"/>
    <cellStyle name="40% - Accent3 6 2 3 2" xfId="3027" xr:uid="{00000000-0005-0000-0000-0000C5060000}"/>
    <cellStyle name="40% - Accent3 6 2 4" xfId="1647" xr:uid="{00000000-0005-0000-0000-0000C6060000}"/>
    <cellStyle name="40% - Accent3 6 2 4 2" xfId="3404" xr:uid="{00000000-0005-0000-0000-0000C7060000}"/>
    <cellStyle name="40% - Accent3 6 2 5" xfId="2205" xr:uid="{00000000-0005-0000-0000-0000C8060000}"/>
    <cellStyle name="40% - Accent3 6 3" xfId="613" xr:uid="{00000000-0005-0000-0000-0000C9060000}"/>
    <cellStyle name="40% - Accent3 6 3 2" xfId="2404" xr:uid="{00000000-0005-0000-0000-0000CA060000}"/>
    <cellStyle name="40% - Accent3 6 4" xfId="1060" xr:uid="{00000000-0005-0000-0000-0000CB060000}"/>
    <cellStyle name="40% - Accent3 6 4 2" xfId="2830" xr:uid="{00000000-0005-0000-0000-0000CC060000}"/>
    <cellStyle name="40% - Accent3 6 5" xfId="1447" xr:uid="{00000000-0005-0000-0000-0000CD060000}"/>
    <cellStyle name="40% - Accent3 6 5 2" xfId="3207" xr:uid="{00000000-0005-0000-0000-0000CE060000}"/>
    <cellStyle name="40% - Accent3 6 6" xfId="1814" xr:uid="{00000000-0005-0000-0000-0000CF060000}"/>
    <cellStyle name="40% - Accent3 6 6 2" xfId="3566" xr:uid="{00000000-0005-0000-0000-0000D0060000}"/>
    <cellStyle name="40% - Accent3 6 7" xfId="2009" xr:uid="{00000000-0005-0000-0000-0000D1060000}"/>
    <cellStyle name="40% - Accent3 7" xfId="225" xr:uid="{00000000-0005-0000-0000-0000D2060000}"/>
    <cellStyle name="40% - Accent3 7 2" xfId="425" xr:uid="{00000000-0005-0000-0000-0000D3060000}"/>
    <cellStyle name="40% - Accent3 7 2 2" xfId="828" xr:uid="{00000000-0005-0000-0000-0000D4060000}"/>
    <cellStyle name="40% - Accent3 7 2 2 2" xfId="2618" xr:uid="{00000000-0005-0000-0000-0000D5060000}"/>
    <cellStyle name="40% - Accent3 7 2 3" xfId="1279" xr:uid="{00000000-0005-0000-0000-0000D6060000}"/>
    <cellStyle name="40% - Accent3 7 2 3 2" xfId="3048" xr:uid="{00000000-0005-0000-0000-0000D7060000}"/>
    <cellStyle name="40% - Accent3 7 2 4" xfId="1668" xr:uid="{00000000-0005-0000-0000-0000D8060000}"/>
    <cellStyle name="40% - Accent3 7 2 4 2" xfId="3425" xr:uid="{00000000-0005-0000-0000-0000D9060000}"/>
    <cellStyle name="40% - Accent3 7 2 5" xfId="2226" xr:uid="{00000000-0005-0000-0000-0000DA060000}"/>
    <cellStyle name="40% - Accent3 7 3" xfId="634" xr:uid="{00000000-0005-0000-0000-0000DB060000}"/>
    <cellStyle name="40% - Accent3 7 3 2" xfId="2425" xr:uid="{00000000-0005-0000-0000-0000DC060000}"/>
    <cellStyle name="40% - Accent3 7 4" xfId="1081" xr:uid="{00000000-0005-0000-0000-0000DD060000}"/>
    <cellStyle name="40% - Accent3 7 4 2" xfId="2851" xr:uid="{00000000-0005-0000-0000-0000DE060000}"/>
    <cellStyle name="40% - Accent3 7 5" xfId="1468" xr:uid="{00000000-0005-0000-0000-0000DF060000}"/>
    <cellStyle name="40% - Accent3 7 5 2" xfId="3228" xr:uid="{00000000-0005-0000-0000-0000E0060000}"/>
    <cellStyle name="40% - Accent3 7 6" xfId="1835" xr:uid="{00000000-0005-0000-0000-0000E1060000}"/>
    <cellStyle name="40% - Accent3 7 6 2" xfId="3587" xr:uid="{00000000-0005-0000-0000-0000E2060000}"/>
    <cellStyle name="40% - Accent3 7 7" xfId="2030" xr:uid="{00000000-0005-0000-0000-0000E3060000}"/>
    <cellStyle name="40% - Accent3 8" xfId="244" xr:uid="{00000000-0005-0000-0000-0000E4060000}"/>
    <cellStyle name="40% - Accent3 8 2" xfId="443" xr:uid="{00000000-0005-0000-0000-0000E5060000}"/>
    <cellStyle name="40% - Accent3 8 2 2" xfId="846" xr:uid="{00000000-0005-0000-0000-0000E6060000}"/>
    <cellStyle name="40% - Accent3 8 2 2 2" xfId="2636" xr:uid="{00000000-0005-0000-0000-0000E7060000}"/>
    <cellStyle name="40% - Accent3 8 2 3" xfId="1297" xr:uid="{00000000-0005-0000-0000-0000E8060000}"/>
    <cellStyle name="40% - Accent3 8 2 3 2" xfId="3066" xr:uid="{00000000-0005-0000-0000-0000E9060000}"/>
    <cellStyle name="40% - Accent3 8 2 4" xfId="1686" xr:uid="{00000000-0005-0000-0000-0000EA060000}"/>
    <cellStyle name="40% - Accent3 8 2 4 2" xfId="3443" xr:uid="{00000000-0005-0000-0000-0000EB060000}"/>
    <cellStyle name="40% - Accent3 8 2 5" xfId="2244" xr:uid="{00000000-0005-0000-0000-0000EC060000}"/>
    <cellStyle name="40% - Accent3 8 3" xfId="652" xr:uid="{00000000-0005-0000-0000-0000ED060000}"/>
    <cellStyle name="40% - Accent3 8 3 2" xfId="2443" xr:uid="{00000000-0005-0000-0000-0000EE060000}"/>
    <cellStyle name="40% - Accent3 8 4" xfId="1099" xr:uid="{00000000-0005-0000-0000-0000EF060000}"/>
    <cellStyle name="40% - Accent3 8 4 2" xfId="2869" xr:uid="{00000000-0005-0000-0000-0000F0060000}"/>
    <cellStyle name="40% - Accent3 8 5" xfId="1486" xr:uid="{00000000-0005-0000-0000-0000F1060000}"/>
    <cellStyle name="40% - Accent3 8 5 2" xfId="3246" xr:uid="{00000000-0005-0000-0000-0000F2060000}"/>
    <cellStyle name="40% - Accent3 8 6" xfId="1853" xr:uid="{00000000-0005-0000-0000-0000F3060000}"/>
    <cellStyle name="40% - Accent3 8 6 2" xfId="3605" xr:uid="{00000000-0005-0000-0000-0000F4060000}"/>
    <cellStyle name="40% - Accent3 8 7" xfId="2048" xr:uid="{00000000-0005-0000-0000-0000F5060000}"/>
    <cellStyle name="40% - Accent3 9" xfId="263" xr:uid="{00000000-0005-0000-0000-0000F6060000}"/>
    <cellStyle name="40% - Accent3 9 2" xfId="461" xr:uid="{00000000-0005-0000-0000-0000F7060000}"/>
    <cellStyle name="40% - Accent3 9 2 2" xfId="864" xr:uid="{00000000-0005-0000-0000-0000F8060000}"/>
    <cellStyle name="40% - Accent3 9 2 2 2" xfId="2654" xr:uid="{00000000-0005-0000-0000-0000F9060000}"/>
    <cellStyle name="40% - Accent3 9 2 3" xfId="1315" xr:uid="{00000000-0005-0000-0000-0000FA060000}"/>
    <cellStyle name="40% - Accent3 9 2 3 2" xfId="3084" xr:uid="{00000000-0005-0000-0000-0000FB060000}"/>
    <cellStyle name="40% - Accent3 9 2 4" xfId="1704" xr:uid="{00000000-0005-0000-0000-0000FC060000}"/>
    <cellStyle name="40% - Accent3 9 2 4 2" xfId="3461" xr:uid="{00000000-0005-0000-0000-0000FD060000}"/>
    <cellStyle name="40% - Accent3 9 2 5" xfId="2262" xr:uid="{00000000-0005-0000-0000-0000FE060000}"/>
    <cellStyle name="40% - Accent3 9 3" xfId="670" xr:uid="{00000000-0005-0000-0000-0000FF060000}"/>
    <cellStyle name="40% - Accent3 9 3 2" xfId="2461" xr:uid="{00000000-0005-0000-0000-000000070000}"/>
    <cellStyle name="40% - Accent3 9 4" xfId="1117" xr:uid="{00000000-0005-0000-0000-000001070000}"/>
    <cellStyle name="40% - Accent3 9 4 2" xfId="2887" xr:uid="{00000000-0005-0000-0000-000002070000}"/>
    <cellStyle name="40% - Accent3 9 5" xfId="1504" xr:uid="{00000000-0005-0000-0000-000003070000}"/>
    <cellStyle name="40% - Accent3 9 5 2" xfId="3264" xr:uid="{00000000-0005-0000-0000-000004070000}"/>
    <cellStyle name="40% - Accent3 9 6" xfId="1871" xr:uid="{00000000-0005-0000-0000-000005070000}"/>
    <cellStyle name="40% - Accent3 9 6 2" xfId="3623" xr:uid="{00000000-0005-0000-0000-000006070000}"/>
    <cellStyle name="40% - Accent3 9 7" xfId="2066" xr:uid="{00000000-0005-0000-0000-000007070000}"/>
    <cellStyle name="40% - Accent4" xfId="10" builtinId="43" customBuiltin="1"/>
    <cellStyle name="40% - Accent4 10" xfId="287" xr:uid="{00000000-0005-0000-0000-000009070000}"/>
    <cellStyle name="40% - Accent4 10 2" xfId="483" xr:uid="{00000000-0005-0000-0000-00000A070000}"/>
    <cellStyle name="40% - Accent4 10 2 2" xfId="885" xr:uid="{00000000-0005-0000-0000-00000B070000}"/>
    <cellStyle name="40% - Accent4 10 2 2 2" xfId="2675" xr:uid="{00000000-0005-0000-0000-00000C070000}"/>
    <cellStyle name="40% - Accent4 10 2 3" xfId="1338" xr:uid="{00000000-0005-0000-0000-00000D070000}"/>
    <cellStyle name="40% - Accent4 10 2 3 2" xfId="3107" xr:uid="{00000000-0005-0000-0000-00000E070000}"/>
    <cellStyle name="40% - Accent4 10 2 4" xfId="1727" xr:uid="{00000000-0005-0000-0000-00000F070000}"/>
    <cellStyle name="40% - Accent4 10 2 4 2" xfId="3483" xr:uid="{00000000-0005-0000-0000-000010070000}"/>
    <cellStyle name="40% - Accent4 10 2 5" xfId="2284" xr:uid="{00000000-0005-0000-0000-000011070000}"/>
    <cellStyle name="40% - Accent4 10 3" xfId="692" xr:uid="{00000000-0005-0000-0000-000012070000}"/>
    <cellStyle name="40% - Accent4 10 3 2" xfId="2483" xr:uid="{00000000-0005-0000-0000-000013070000}"/>
    <cellStyle name="40% - Accent4 10 4" xfId="1140" xr:uid="{00000000-0005-0000-0000-000014070000}"/>
    <cellStyle name="40% - Accent4 10 4 2" xfId="2911" xr:uid="{00000000-0005-0000-0000-000015070000}"/>
    <cellStyle name="40% - Accent4 10 5" xfId="1528" xr:uid="{00000000-0005-0000-0000-000016070000}"/>
    <cellStyle name="40% - Accent4 10 5 2" xfId="3288" xr:uid="{00000000-0005-0000-0000-000017070000}"/>
    <cellStyle name="40% - Accent4 10 6" xfId="1890" xr:uid="{00000000-0005-0000-0000-000018070000}"/>
    <cellStyle name="40% - Accent4 10 6 2" xfId="3642" xr:uid="{00000000-0005-0000-0000-000019070000}"/>
    <cellStyle name="40% - Accent4 10 7" xfId="2089" xr:uid="{00000000-0005-0000-0000-00001A070000}"/>
    <cellStyle name="40% - Accent4 11" xfId="302" xr:uid="{00000000-0005-0000-0000-00001B070000}"/>
    <cellStyle name="40% - Accent4 11 2" xfId="707" xr:uid="{00000000-0005-0000-0000-00001C070000}"/>
    <cellStyle name="40% - Accent4 11 2 2" xfId="2498" xr:uid="{00000000-0005-0000-0000-00001D070000}"/>
    <cellStyle name="40% - Accent4 11 3" xfId="1155" xr:uid="{00000000-0005-0000-0000-00001E070000}"/>
    <cellStyle name="40% - Accent4 11 3 2" xfId="2926" xr:uid="{00000000-0005-0000-0000-00001F070000}"/>
    <cellStyle name="40% - Accent4 11 4" xfId="1543" xr:uid="{00000000-0005-0000-0000-000020070000}"/>
    <cellStyle name="40% - Accent4 11 4 2" xfId="3303" xr:uid="{00000000-0005-0000-0000-000021070000}"/>
    <cellStyle name="40% - Accent4 11 5" xfId="2104" xr:uid="{00000000-0005-0000-0000-000022070000}"/>
    <cellStyle name="40% - Accent4 12" xfId="495" xr:uid="{00000000-0005-0000-0000-000023070000}"/>
    <cellStyle name="40% - Accent4 12 2" xfId="922" xr:uid="{00000000-0005-0000-0000-000024070000}"/>
    <cellStyle name="40% - Accent4 12 2 2" xfId="2710" xr:uid="{00000000-0005-0000-0000-000025070000}"/>
    <cellStyle name="40% - Accent4 12 3" xfId="2296" xr:uid="{00000000-0005-0000-0000-000026070000}"/>
    <cellStyle name="40% - Accent4 13" xfId="957" xr:uid="{00000000-0005-0000-0000-000027070000}"/>
    <cellStyle name="40% - Accent4 13 2" xfId="2735" xr:uid="{00000000-0005-0000-0000-000028070000}"/>
    <cellStyle name="40% - Accent4 14" xfId="955" xr:uid="{00000000-0005-0000-0000-000029070000}"/>
    <cellStyle name="40% - Accent4 14 2" xfId="2733" xr:uid="{00000000-0005-0000-0000-00002A070000}"/>
    <cellStyle name="40% - Accent4 15" xfId="895" xr:uid="{00000000-0005-0000-0000-00002B070000}"/>
    <cellStyle name="40% - Accent4 15 2" xfId="2684" xr:uid="{00000000-0005-0000-0000-00002C070000}"/>
    <cellStyle name="40% - Accent4 16" xfId="1902" xr:uid="{00000000-0005-0000-0000-00002D070000}"/>
    <cellStyle name="40% - Accent4 17" xfId="3817" xr:uid="{00000000-0005-0000-0000-00002E070000}"/>
    <cellStyle name="40% - Accent4 18" xfId="3833" xr:uid="{00000000-0005-0000-0000-00002F070000}"/>
    <cellStyle name="40% - Accent4 2" xfId="106" xr:uid="{00000000-0005-0000-0000-000030070000}"/>
    <cellStyle name="40% - Accent4 2 2" xfId="124" xr:uid="{00000000-0005-0000-0000-000031070000}"/>
    <cellStyle name="40% - Accent4 2 2 2" xfId="333" xr:uid="{00000000-0005-0000-0000-000032070000}"/>
    <cellStyle name="40% - Accent4 2 2 2 2" xfId="735" xr:uid="{00000000-0005-0000-0000-000033070000}"/>
    <cellStyle name="40% - Accent4 2 2 2 2 2" xfId="2525" xr:uid="{00000000-0005-0000-0000-000034070000}"/>
    <cellStyle name="40% - Accent4 2 2 2 3" xfId="1186" xr:uid="{00000000-0005-0000-0000-000035070000}"/>
    <cellStyle name="40% - Accent4 2 2 2 3 2" xfId="2955" xr:uid="{00000000-0005-0000-0000-000036070000}"/>
    <cellStyle name="40% - Accent4 2 2 2 4" xfId="1575" xr:uid="{00000000-0005-0000-0000-000037070000}"/>
    <cellStyle name="40% - Accent4 2 2 2 4 2" xfId="3332" xr:uid="{00000000-0005-0000-0000-000038070000}"/>
    <cellStyle name="40% - Accent4 2 2 2 5" xfId="2133" xr:uid="{00000000-0005-0000-0000-000039070000}"/>
    <cellStyle name="40% - Accent4 2 2 3" xfId="538" xr:uid="{00000000-0005-0000-0000-00003A070000}"/>
    <cellStyle name="40% - Accent4 2 2 3 2" xfId="2332" xr:uid="{00000000-0005-0000-0000-00003B070000}"/>
    <cellStyle name="40% - Accent4 2 2 4" xfId="988" xr:uid="{00000000-0005-0000-0000-00003C070000}"/>
    <cellStyle name="40% - Accent4 2 2 4 2" xfId="2758" xr:uid="{00000000-0005-0000-0000-00003D070000}"/>
    <cellStyle name="40% - Accent4 2 2 5" xfId="1374" xr:uid="{00000000-0005-0000-0000-00003E070000}"/>
    <cellStyle name="40% - Accent4 2 2 5 2" xfId="3135" xr:uid="{00000000-0005-0000-0000-00003F070000}"/>
    <cellStyle name="40% - Accent4 2 2 6" xfId="1937" xr:uid="{00000000-0005-0000-0000-000040070000}"/>
    <cellStyle name="40% - Accent4 2 3" xfId="318" xr:uid="{00000000-0005-0000-0000-000041070000}"/>
    <cellStyle name="40% - Accent4 2 3 2" xfId="722" xr:uid="{00000000-0005-0000-0000-000042070000}"/>
    <cellStyle name="40% - Accent4 2 3 2 2" xfId="2513" xr:uid="{00000000-0005-0000-0000-000043070000}"/>
    <cellStyle name="40% - Accent4 2 3 3" xfId="1171" xr:uid="{00000000-0005-0000-0000-000044070000}"/>
    <cellStyle name="40% - Accent4 2 3 3 2" xfId="2941" xr:uid="{00000000-0005-0000-0000-000045070000}"/>
    <cellStyle name="40% - Accent4 2 3 4" xfId="1560" xr:uid="{00000000-0005-0000-0000-000046070000}"/>
    <cellStyle name="40% - Accent4 2 3 4 2" xfId="3319" xr:uid="{00000000-0005-0000-0000-000047070000}"/>
    <cellStyle name="40% - Accent4 2 3 5" xfId="2119" xr:uid="{00000000-0005-0000-0000-000048070000}"/>
    <cellStyle name="40% - Accent4 2 4" xfId="519" xr:uid="{00000000-0005-0000-0000-000049070000}"/>
    <cellStyle name="40% - Accent4 2 4 2" xfId="2315" xr:uid="{00000000-0005-0000-0000-00004A070000}"/>
    <cellStyle name="40% - Accent4 2 5" xfId="967" xr:uid="{00000000-0005-0000-0000-00004B070000}"/>
    <cellStyle name="40% - Accent4 2 5 2" xfId="2743" xr:uid="{00000000-0005-0000-0000-00004C070000}"/>
    <cellStyle name="40% - Accent4 2 6" xfId="1353" xr:uid="{00000000-0005-0000-0000-00004D070000}"/>
    <cellStyle name="40% - Accent4 2 6 2" xfId="3121" xr:uid="{00000000-0005-0000-0000-00004E070000}"/>
    <cellStyle name="40% - Accent4 2 7" xfId="1740" xr:uid="{00000000-0005-0000-0000-00004F070000}"/>
    <cellStyle name="40% - Accent4 2 7 2" xfId="3492" xr:uid="{00000000-0005-0000-0000-000050070000}"/>
    <cellStyle name="40% - Accent4 2 8" xfId="1921" xr:uid="{00000000-0005-0000-0000-000051070000}"/>
    <cellStyle name="40% - Accent4 3" xfId="153" xr:uid="{00000000-0005-0000-0000-000052070000}"/>
    <cellStyle name="40% - Accent4 3 2" xfId="357" xr:uid="{00000000-0005-0000-0000-000053070000}"/>
    <cellStyle name="40% - Accent4 3 2 2" xfId="760" xr:uid="{00000000-0005-0000-0000-000054070000}"/>
    <cellStyle name="40% - Accent4 3 2 2 2" xfId="2550" xr:uid="{00000000-0005-0000-0000-000055070000}"/>
    <cellStyle name="40% - Accent4 3 2 3" xfId="1211" xr:uid="{00000000-0005-0000-0000-000056070000}"/>
    <cellStyle name="40% - Accent4 3 2 3 2" xfId="2980" xr:uid="{00000000-0005-0000-0000-000057070000}"/>
    <cellStyle name="40% - Accent4 3 2 4" xfId="1600" xr:uid="{00000000-0005-0000-0000-000058070000}"/>
    <cellStyle name="40% - Accent4 3 2 4 2" xfId="3357" xr:uid="{00000000-0005-0000-0000-000059070000}"/>
    <cellStyle name="40% - Accent4 3 2 5" xfId="2158" xr:uid="{00000000-0005-0000-0000-00005A070000}"/>
    <cellStyle name="40% - Accent4 3 3" xfId="566" xr:uid="{00000000-0005-0000-0000-00005B070000}"/>
    <cellStyle name="40% - Accent4 3 3 2" xfId="2357" xr:uid="{00000000-0005-0000-0000-00005C070000}"/>
    <cellStyle name="40% - Accent4 3 4" xfId="1013" xr:uid="{00000000-0005-0000-0000-00005D070000}"/>
    <cellStyle name="40% - Accent4 3 4 2" xfId="2783" xr:uid="{00000000-0005-0000-0000-00005E070000}"/>
    <cellStyle name="40% - Accent4 3 5" xfId="1399" xr:uid="{00000000-0005-0000-0000-00005F070000}"/>
    <cellStyle name="40% - Accent4 3 5 2" xfId="3160" xr:uid="{00000000-0005-0000-0000-000060070000}"/>
    <cellStyle name="40% - Accent4 3 6" xfId="1765" xr:uid="{00000000-0005-0000-0000-000061070000}"/>
    <cellStyle name="40% - Accent4 3 6 2" xfId="3517" xr:uid="{00000000-0005-0000-0000-000062070000}"/>
    <cellStyle name="40% - Accent4 3 7" xfId="1962" xr:uid="{00000000-0005-0000-0000-000063070000}"/>
    <cellStyle name="40% - Accent4 4" xfId="170" xr:uid="{00000000-0005-0000-0000-000064070000}"/>
    <cellStyle name="40% - Accent4 4 2" xfId="372" xr:uid="{00000000-0005-0000-0000-000065070000}"/>
    <cellStyle name="40% - Accent4 4 2 2" xfId="775" xr:uid="{00000000-0005-0000-0000-000066070000}"/>
    <cellStyle name="40% - Accent4 4 2 2 2" xfId="2565" xr:uid="{00000000-0005-0000-0000-000067070000}"/>
    <cellStyle name="40% - Accent4 4 2 3" xfId="1226" xr:uid="{00000000-0005-0000-0000-000068070000}"/>
    <cellStyle name="40% - Accent4 4 2 3 2" xfId="2995" xr:uid="{00000000-0005-0000-0000-000069070000}"/>
    <cellStyle name="40% - Accent4 4 2 4" xfId="1615" xr:uid="{00000000-0005-0000-0000-00006A070000}"/>
    <cellStyle name="40% - Accent4 4 2 4 2" xfId="3372" xr:uid="{00000000-0005-0000-0000-00006B070000}"/>
    <cellStyle name="40% - Accent4 4 2 5" xfId="2173" xr:uid="{00000000-0005-0000-0000-00006C070000}"/>
    <cellStyle name="40% - Accent4 4 3" xfId="581" xr:uid="{00000000-0005-0000-0000-00006D070000}"/>
    <cellStyle name="40% - Accent4 4 3 2" xfId="2372" xr:uid="{00000000-0005-0000-0000-00006E070000}"/>
    <cellStyle name="40% - Accent4 4 4" xfId="1028" xr:uid="{00000000-0005-0000-0000-00006F070000}"/>
    <cellStyle name="40% - Accent4 4 4 2" xfId="2798" xr:uid="{00000000-0005-0000-0000-000070070000}"/>
    <cellStyle name="40% - Accent4 4 5" xfId="1415" xr:uid="{00000000-0005-0000-0000-000071070000}"/>
    <cellStyle name="40% - Accent4 4 5 2" xfId="3175" xr:uid="{00000000-0005-0000-0000-000072070000}"/>
    <cellStyle name="40% - Accent4 4 6" xfId="1782" xr:uid="{00000000-0005-0000-0000-000073070000}"/>
    <cellStyle name="40% - Accent4 4 6 2" xfId="3534" xr:uid="{00000000-0005-0000-0000-000074070000}"/>
    <cellStyle name="40% - Accent4 4 7" xfId="1977" xr:uid="{00000000-0005-0000-0000-000075070000}"/>
    <cellStyle name="40% - Accent4 5" xfId="188" xr:uid="{00000000-0005-0000-0000-000076070000}"/>
    <cellStyle name="40% - Accent4 5 2" xfId="389" xr:uid="{00000000-0005-0000-0000-000077070000}"/>
    <cellStyle name="40% - Accent4 5 2 2" xfId="792" xr:uid="{00000000-0005-0000-0000-000078070000}"/>
    <cellStyle name="40% - Accent4 5 2 2 2" xfId="2582" xr:uid="{00000000-0005-0000-0000-000079070000}"/>
    <cellStyle name="40% - Accent4 5 2 3" xfId="1243" xr:uid="{00000000-0005-0000-0000-00007A070000}"/>
    <cellStyle name="40% - Accent4 5 2 3 2" xfId="3012" xr:uid="{00000000-0005-0000-0000-00007B070000}"/>
    <cellStyle name="40% - Accent4 5 2 4" xfId="1632" xr:uid="{00000000-0005-0000-0000-00007C070000}"/>
    <cellStyle name="40% - Accent4 5 2 4 2" xfId="3389" xr:uid="{00000000-0005-0000-0000-00007D070000}"/>
    <cellStyle name="40% - Accent4 5 2 5" xfId="2190" xr:uid="{00000000-0005-0000-0000-00007E070000}"/>
    <cellStyle name="40% - Accent4 5 3" xfId="598" xr:uid="{00000000-0005-0000-0000-00007F070000}"/>
    <cellStyle name="40% - Accent4 5 3 2" xfId="2389" xr:uid="{00000000-0005-0000-0000-000080070000}"/>
    <cellStyle name="40% - Accent4 5 4" xfId="1045" xr:uid="{00000000-0005-0000-0000-000081070000}"/>
    <cellStyle name="40% - Accent4 5 4 2" xfId="2815" xr:uid="{00000000-0005-0000-0000-000082070000}"/>
    <cellStyle name="40% - Accent4 5 5" xfId="1432" xr:uid="{00000000-0005-0000-0000-000083070000}"/>
    <cellStyle name="40% - Accent4 5 5 2" xfId="3192" xr:uid="{00000000-0005-0000-0000-000084070000}"/>
    <cellStyle name="40% - Accent4 5 6" xfId="1799" xr:uid="{00000000-0005-0000-0000-000085070000}"/>
    <cellStyle name="40% - Accent4 5 6 2" xfId="3551" xr:uid="{00000000-0005-0000-0000-000086070000}"/>
    <cellStyle name="40% - Accent4 5 7" xfId="1994" xr:uid="{00000000-0005-0000-0000-000087070000}"/>
    <cellStyle name="40% - Accent4 6" xfId="202" xr:uid="{00000000-0005-0000-0000-000088070000}"/>
    <cellStyle name="40% - Accent4 6 2" xfId="403" xr:uid="{00000000-0005-0000-0000-000089070000}"/>
    <cellStyle name="40% - Accent4 6 2 2" xfId="806" xr:uid="{00000000-0005-0000-0000-00008A070000}"/>
    <cellStyle name="40% - Accent4 6 2 2 2" xfId="2596" xr:uid="{00000000-0005-0000-0000-00008B070000}"/>
    <cellStyle name="40% - Accent4 6 2 3" xfId="1257" xr:uid="{00000000-0005-0000-0000-00008C070000}"/>
    <cellStyle name="40% - Accent4 6 2 3 2" xfId="3026" xr:uid="{00000000-0005-0000-0000-00008D070000}"/>
    <cellStyle name="40% - Accent4 6 2 4" xfId="1646" xr:uid="{00000000-0005-0000-0000-00008E070000}"/>
    <cellStyle name="40% - Accent4 6 2 4 2" xfId="3403" xr:uid="{00000000-0005-0000-0000-00008F070000}"/>
    <cellStyle name="40% - Accent4 6 2 5" xfId="2204" xr:uid="{00000000-0005-0000-0000-000090070000}"/>
    <cellStyle name="40% - Accent4 6 3" xfId="612" xr:uid="{00000000-0005-0000-0000-000091070000}"/>
    <cellStyle name="40% - Accent4 6 3 2" xfId="2403" xr:uid="{00000000-0005-0000-0000-000092070000}"/>
    <cellStyle name="40% - Accent4 6 4" xfId="1059" xr:uid="{00000000-0005-0000-0000-000093070000}"/>
    <cellStyle name="40% - Accent4 6 4 2" xfId="2829" xr:uid="{00000000-0005-0000-0000-000094070000}"/>
    <cellStyle name="40% - Accent4 6 5" xfId="1446" xr:uid="{00000000-0005-0000-0000-000095070000}"/>
    <cellStyle name="40% - Accent4 6 5 2" xfId="3206" xr:uid="{00000000-0005-0000-0000-000096070000}"/>
    <cellStyle name="40% - Accent4 6 6" xfId="1813" xr:uid="{00000000-0005-0000-0000-000097070000}"/>
    <cellStyle name="40% - Accent4 6 6 2" xfId="3565" xr:uid="{00000000-0005-0000-0000-000098070000}"/>
    <cellStyle name="40% - Accent4 6 7" xfId="2008" xr:uid="{00000000-0005-0000-0000-000099070000}"/>
    <cellStyle name="40% - Accent4 7" xfId="226" xr:uid="{00000000-0005-0000-0000-00009A070000}"/>
    <cellStyle name="40% - Accent4 7 2" xfId="426" xr:uid="{00000000-0005-0000-0000-00009B070000}"/>
    <cellStyle name="40% - Accent4 7 2 2" xfId="829" xr:uid="{00000000-0005-0000-0000-00009C070000}"/>
    <cellStyle name="40% - Accent4 7 2 2 2" xfId="2619" xr:uid="{00000000-0005-0000-0000-00009D070000}"/>
    <cellStyle name="40% - Accent4 7 2 3" xfId="1280" xr:uid="{00000000-0005-0000-0000-00009E070000}"/>
    <cellStyle name="40% - Accent4 7 2 3 2" xfId="3049" xr:uid="{00000000-0005-0000-0000-00009F070000}"/>
    <cellStyle name="40% - Accent4 7 2 4" xfId="1669" xr:uid="{00000000-0005-0000-0000-0000A0070000}"/>
    <cellStyle name="40% - Accent4 7 2 4 2" xfId="3426" xr:uid="{00000000-0005-0000-0000-0000A1070000}"/>
    <cellStyle name="40% - Accent4 7 2 5" xfId="2227" xr:uid="{00000000-0005-0000-0000-0000A2070000}"/>
    <cellStyle name="40% - Accent4 7 3" xfId="635" xr:uid="{00000000-0005-0000-0000-0000A3070000}"/>
    <cellStyle name="40% - Accent4 7 3 2" xfId="2426" xr:uid="{00000000-0005-0000-0000-0000A4070000}"/>
    <cellStyle name="40% - Accent4 7 4" xfId="1082" xr:uid="{00000000-0005-0000-0000-0000A5070000}"/>
    <cellStyle name="40% - Accent4 7 4 2" xfId="2852" xr:uid="{00000000-0005-0000-0000-0000A6070000}"/>
    <cellStyle name="40% - Accent4 7 5" xfId="1469" xr:uid="{00000000-0005-0000-0000-0000A7070000}"/>
    <cellStyle name="40% - Accent4 7 5 2" xfId="3229" xr:uid="{00000000-0005-0000-0000-0000A8070000}"/>
    <cellStyle name="40% - Accent4 7 6" xfId="1836" xr:uid="{00000000-0005-0000-0000-0000A9070000}"/>
    <cellStyle name="40% - Accent4 7 6 2" xfId="3588" xr:uid="{00000000-0005-0000-0000-0000AA070000}"/>
    <cellStyle name="40% - Accent4 7 7" xfId="2031" xr:uid="{00000000-0005-0000-0000-0000AB070000}"/>
    <cellStyle name="40% - Accent4 8" xfId="245" xr:uid="{00000000-0005-0000-0000-0000AC070000}"/>
    <cellStyle name="40% - Accent4 8 2" xfId="444" xr:uid="{00000000-0005-0000-0000-0000AD070000}"/>
    <cellStyle name="40% - Accent4 8 2 2" xfId="847" xr:uid="{00000000-0005-0000-0000-0000AE070000}"/>
    <cellStyle name="40% - Accent4 8 2 2 2" xfId="2637" xr:uid="{00000000-0005-0000-0000-0000AF070000}"/>
    <cellStyle name="40% - Accent4 8 2 3" xfId="1298" xr:uid="{00000000-0005-0000-0000-0000B0070000}"/>
    <cellStyle name="40% - Accent4 8 2 3 2" xfId="3067" xr:uid="{00000000-0005-0000-0000-0000B1070000}"/>
    <cellStyle name="40% - Accent4 8 2 4" xfId="1687" xr:uid="{00000000-0005-0000-0000-0000B2070000}"/>
    <cellStyle name="40% - Accent4 8 2 4 2" xfId="3444" xr:uid="{00000000-0005-0000-0000-0000B3070000}"/>
    <cellStyle name="40% - Accent4 8 2 5" xfId="2245" xr:uid="{00000000-0005-0000-0000-0000B4070000}"/>
    <cellStyle name="40% - Accent4 8 3" xfId="653" xr:uid="{00000000-0005-0000-0000-0000B5070000}"/>
    <cellStyle name="40% - Accent4 8 3 2" xfId="2444" xr:uid="{00000000-0005-0000-0000-0000B6070000}"/>
    <cellStyle name="40% - Accent4 8 4" xfId="1100" xr:uid="{00000000-0005-0000-0000-0000B7070000}"/>
    <cellStyle name="40% - Accent4 8 4 2" xfId="2870" xr:uid="{00000000-0005-0000-0000-0000B8070000}"/>
    <cellStyle name="40% - Accent4 8 5" xfId="1487" xr:uid="{00000000-0005-0000-0000-0000B9070000}"/>
    <cellStyle name="40% - Accent4 8 5 2" xfId="3247" xr:uid="{00000000-0005-0000-0000-0000BA070000}"/>
    <cellStyle name="40% - Accent4 8 6" xfId="1854" xr:uid="{00000000-0005-0000-0000-0000BB070000}"/>
    <cellStyle name="40% - Accent4 8 6 2" xfId="3606" xr:uid="{00000000-0005-0000-0000-0000BC070000}"/>
    <cellStyle name="40% - Accent4 8 7" xfId="2049" xr:uid="{00000000-0005-0000-0000-0000BD070000}"/>
    <cellStyle name="40% - Accent4 9" xfId="264" xr:uid="{00000000-0005-0000-0000-0000BE070000}"/>
    <cellStyle name="40% - Accent4 9 2" xfId="462" xr:uid="{00000000-0005-0000-0000-0000BF070000}"/>
    <cellStyle name="40% - Accent4 9 2 2" xfId="865" xr:uid="{00000000-0005-0000-0000-0000C0070000}"/>
    <cellStyle name="40% - Accent4 9 2 2 2" xfId="2655" xr:uid="{00000000-0005-0000-0000-0000C1070000}"/>
    <cellStyle name="40% - Accent4 9 2 3" xfId="1316" xr:uid="{00000000-0005-0000-0000-0000C2070000}"/>
    <cellStyle name="40% - Accent4 9 2 3 2" xfId="3085" xr:uid="{00000000-0005-0000-0000-0000C3070000}"/>
    <cellStyle name="40% - Accent4 9 2 4" xfId="1705" xr:uid="{00000000-0005-0000-0000-0000C4070000}"/>
    <cellStyle name="40% - Accent4 9 2 4 2" xfId="3462" xr:uid="{00000000-0005-0000-0000-0000C5070000}"/>
    <cellStyle name="40% - Accent4 9 2 5" xfId="2263" xr:uid="{00000000-0005-0000-0000-0000C6070000}"/>
    <cellStyle name="40% - Accent4 9 3" xfId="671" xr:uid="{00000000-0005-0000-0000-0000C7070000}"/>
    <cellStyle name="40% - Accent4 9 3 2" xfId="2462" xr:uid="{00000000-0005-0000-0000-0000C8070000}"/>
    <cellStyle name="40% - Accent4 9 4" xfId="1118" xr:uid="{00000000-0005-0000-0000-0000C9070000}"/>
    <cellStyle name="40% - Accent4 9 4 2" xfId="2888" xr:uid="{00000000-0005-0000-0000-0000CA070000}"/>
    <cellStyle name="40% - Accent4 9 5" xfId="1505" xr:uid="{00000000-0005-0000-0000-0000CB070000}"/>
    <cellStyle name="40% - Accent4 9 5 2" xfId="3265" xr:uid="{00000000-0005-0000-0000-0000CC070000}"/>
    <cellStyle name="40% - Accent4 9 6" xfId="1872" xr:uid="{00000000-0005-0000-0000-0000CD070000}"/>
    <cellStyle name="40% - Accent4 9 6 2" xfId="3624" xr:uid="{00000000-0005-0000-0000-0000CE070000}"/>
    <cellStyle name="40% - Accent4 9 7" xfId="2067" xr:uid="{00000000-0005-0000-0000-0000CF070000}"/>
    <cellStyle name="40% - Accent5" xfId="11" builtinId="47" customBuiltin="1"/>
    <cellStyle name="40% - Accent5 10" xfId="289" xr:uid="{00000000-0005-0000-0000-0000D1070000}"/>
    <cellStyle name="40% - Accent5 10 2" xfId="485" xr:uid="{00000000-0005-0000-0000-0000D2070000}"/>
    <cellStyle name="40% - Accent5 10 2 2" xfId="887" xr:uid="{00000000-0005-0000-0000-0000D3070000}"/>
    <cellStyle name="40% - Accent5 10 2 2 2" xfId="2677" xr:uid="{00000000-0005-0000-0000-0000D4070000}"/>
    <cellStyle name="40% - Accent5 10 2 3" xfId="1340" xr:uid="{00000000-0005-0000-0000-0000D5070000}"/>
    <cellStyle name="40% - Accent5 10 2 3 2" xfId="3109" xr:uid="{00000000-0005-0000-0000-0000D6070000}"/>
    <cellStyle name="40% - Accent5 10 2 4" xfId="1729" xr:uid="{00000000-0005-0000-0000-0000D7070000}"/>
    <cellStyle name="40% - Accent5 10 2 4 2" xfId="3485" xr:uid="{00000000-0005-0000-0000-0000D8070000}"/>
    <cellStyle name="40% - Accent5 10 2 5" xfId="2286" xr:uid="{00000000-0005-0000-0000-0000D9070000}"/>
    <cellStyle name="40% - Accent5 10 3" xfId="694" xr:uid="{00000000-0005-0000-0000-0000DA070000}"/>
    <cellStyle name="40% - Accent5 10 3 2" xfId="2485" xr:uid="{00000000-0005-0000-0000-0000DB070000}"/>
    <cellStyle name="40% - Accent5 10 4" xfId="1142" xr:uid="{00000000-0005-0000-0000-0000DC070000}"/>
    <cellStyle name="40% - Accent5 10 4 2" xfId="2913" xr:uid="{00000000-0005-0000-0000-0000DD070000}"/>
    <cellStyle name="40% - Accent5 10 5" xfId="1530" xr:uid="{00000000-0005-0000-0000-0000DE070000}"/>
    <cellStyle name="40% - Accent5 10 5 2" xfId="3290" xr:uid="{00000000-0005-0000-0000-0000DF070000}"/>
    <cellStyle name="40% - Accent5 10 6" xfId="1892" xr:uid="{00000000-0005-0000-0000-0000E0070000}"/>
    <cellStyle name="40% - Accent5 10 6 2" xfId="3644" xr:uid="{00000000-0005-0000-0000-0000E1070000}"/>
    <cellStyle name="40% - Accent5 10 7" xfId="2091" xr:uid="{00000000-0005-0000-0000-0000E2070000}"/>
    <cellStyle name="40% - Accent5 11" xfId="303" xr:uid="{00000000-0005-0000-0000-0000E3070000}"/>
    <cellStyle name="40% - Accent5 11 2" xfId="708" xr:uid="{00000000-0005-0000-0000-0000E4070000}"/>
    <cellStyle name="40% - Accent5 11 2 2" xfId="2499" xr:uid="{00000000-0005-0000-0000-0000E5070000}"/>
    <cellStyle name="40% - Accent5 11 3" xfId="1156" xr:uid="{00000000-0005-0000-0000-0000E6070000}"/>
    <cellStyle name="40% - Accent5 11 3 2" xfId="2927" xr:uid="{00000000-0005-0000-0000-0000E7070000}"/>
    <cellStyle name="40% - Accent5 11 4" xfId="1544" xr:uid="{00000000-0005-0000-0000-0000E8070000}"/>
    <cellStyle name="40% - Accent5 11 4 2" xfId="3304" xr:uid="{00000000-0005-0000-0000-0000E9070000}"/>
    <cellStyle name="40% - Accent5 11 5" xfId="2105" xr:uid="{00000000-0005-0000-0000-0000EA070000}"/>
    <cellStyle name="40% - Accent5 12" xfId="497" xr:uid="{00000000-0005-0000-0000-0000EB070000}"/>
    <cellStyle name="40% - Accent5 12 2" xfId="926" xr:uid="{00000000-0005-0000-0000-0000EC070000}"/>
    <cellStyle name="40% - Accent5 12 2 2" xfId="2714" xr:uid="{00000000-0005-0000-0000-0000ED070000}"/>
    <cellStyle name="40% - Accent5 12 3" xfId="2298" xr:uid="{00000000-0005-0000-0000-0000EE070000}"/>
    <cellStyle name="40% - Accent5 13" xfId="905" xr:uid="{00000000-0005-0000-0000-0000EF070000}"/>
    <cellStyle name="40% - Accent5 13 2" xfId="2694" xr:uid="{00000000-0005-0000-0000-0000F0070000}"/>
    <cellStyle name="40% - Accent5 14" xfId="902" xr:uid="{00000000-0005-0000-0000-0000F1070000}"/>
    <cellStyle name="40% - Accent5 14 2" xfId="2691" xr:uid="{00000000-0005-0000-0000-0000F2070000}"/>
    <cellStyle name="40% - Accent5 15" xfId="1127" xr:uid="{00000000-0005-0000-0000-0000F3070000}"/>
    <cellStyle name="40% - Accent5 15 2" xfId="2897" xr:uid="{00000000-0005-0000-0000-0000F4070000}"/>
    <cellStyle name="40% - Accent5 16" xfId="1904" xr:uid="{00000000-0005-0000-0000-0000F5070000}"/>
    <cellStyle name="40% - Accent5 17" xfId="3818" xr:uid="{00000000-0005-0000-0000-0000F6070000}"/>
    <cellStyle name="40% - Accent5 18" xfId="3834" xr:uid="{00000000-0005-0000-0000-0000F7070000}"/>
    <cellStyle name="40% - Accent5 2" xfId="107" xr:uid="{00000000-0005-0000-0000-0000F8070000}"/>
    <cellStyle name="40% - Accent5 2 2" xfId="123" xr:uid="{00000000-0005-0000-0000-0000F9070000}"/>
    <cellStyle name="40% - Accent5 2 2 2" xfId="332" xr:uid="{00000000-0005-0000-0000-0000FA070000}"/>
    <cellStyle name="40% - Accent5 2 2 2 2" xfId="734" xr:uid="{00000000-0005-0000-0000-0000FB070000}"/>
    <cellStyle name="40% - Accent5 2 2 2 2 2" xfId="2524" xr:uid="{00000000-0005-0000-0000-0000FC070000}"/>
    <cellStyle name="40% - Accent5 2 2 2 3" xfId="1185" xr:uid="{00000000-0005-0000-0000-0000FD070000}"/>
    <cellStyle name="40% - Accent5 2 2 2 3 2" xfId="2954" xr:uid="{00000000-0005-0000-0000-0000FE070000}"/>
    <cellStyle name="40% - Accent5 2 2 2 4" xfId="1574" xr:uid="{00000000-0005-0000-0000-0000FF070000}"/>
    <cellStyle name="40% - Accent5 2 2 2 4 2" xfId="3331" xr:uid="{00000000-0005-0000-0000-000000080000}"/>
    <cellStyle name="40% - Accent5 2 2 2 5" xfId="2132" xr:uid="{00000000-0005-0000-0000-000001080000}"/>
    <cellStyle name="40% - Accent5 2 2 3" xfId="539" xr:uid="{00000000-0005-0000-0000-000002080000}"/>
    <cellStyle name="40% - Accent5 2 2 3 2" xfId="2333" xr:uid="{00000000-0005-0000-0000-000003080000}"/>
    <cellStyle name="40% - Accent5 2 2 4" xfId="987" xr:uid="{00000000-0005-0000-0000-000004080000}"/>
    <cellStyle name="40% - Accent5 2 2 4 2" xfId="2757" xr:uid="{00000000-0005-0000-0000-000005080000}"/>
    <cellStyle name="40% - Accent5 2 2 5" xfId="1373" xr:uid="{00000000-0005-0000-0000-000006080000}"/>
    <cellStyle name="40% - Accent5 2 2 5 2" xfId="3134" xr:uid="{00000000-0005-0000-0000-000007080000}"/>
    <cellStyle name="40% - Accent5 2 2 6" xfId="1936" xr:uid="{00000000-0005-0000-0000-000008080000}"/>
    <cellStyle name="40% - Accent5 2 3" xfId="319" xr:uid="{00000000-0005-0000-0000-000009080000}"/>
    <cellStyle name="40% - Accent5 2 3 2" xfId="723" xr:uid="{00000000-0005-0000-0000-00000A080000}"/>
    <cellStyle name="40% - Accent5 2 3 2 2" xfId="2514" xr:uid="{00000000-0005-0000-0000-00000B080000}"/>
    <cellStyle name="40% - Accent5 2 3 3" xfId="1172" xr:uid="{00000000-0005-0000-0000-00000C080000}"/>
    <cellStyle name="40% - Accent5 2 3 3 2" xfId="2942" xr:uid="{00000000-0005-0000-0000-00000D080000}"/>
    <cellStyle name="40% - Accent5 2 3 4" xfId="1561" xr:uid="{00000000-0005-0000-0000-00000E080000}"/>
    <cellStyle name="40% - Accent5 2 3 4 2" xfId="3320" xr:uid="{00000000-0005-0000-0000-00000F080000}"/>
    <cellStyle name="40% - Accent5 2 3 5" xfId="2120" xr:uid="{00000000-0005-0000-0000-000010080000}"/>
    <cellStyle name="40% - Accent5 2 4" xfId="521" xr:uid="{00000000-0005-0000-0000-000011080000}"/>
    <cellStyle name="40% - Accent5 2 4 2" xfId="2317" xr:uid="{00000000-0005-0000-0000-000012080000}"/>
    <cellStyle name="40% - Accent5 2 5" xfId="968" xr:uid="{00000000-0005-0000-0000-000013080000}"/>
    <cellStyle name="40% - Accent5 2 5 2" xfId="2744" xr:uid="{00000000-0005-0000-0000-000014080000}"/>
    <cellStyle name="40% - Accent5 2 6" xfId="1354" xr:uid="{00000000-0005-0000-0000-000015080000}"/>
    <cellStyle name="40% - Accent5 2 6 2" xfId="3122" xr:uid="{00000000-0005-0000-0000-000016080000}"/>
    <cellStyle name="40% - Accent5 2 7" xfId="1739" xr:uid="{00000000-0005-0000-0000-000017080000}"/>
    <cellStyle name="40% - Accent5 2 7 2" xfId="3491" xr:uid="{00000000-0005-0000-0000-000018080000}"/>
    <cellStyle name="40% - Accent5 2 8" xfId="1922" xr:uid="{00000000-0005-0000-0000-000019080000}"/>
    <cellStyle name="40% - Accent5 3" xfId="152" xr:uid="{00000000-0005-0000-0000-00001A080000}"/>
    <cellStyle name="40% - Accent5 3 2" xfId="356" xr:uid="{00000000-0005-0000-0000-00001B080000}"/>
    <cellStyle name="40% - Accent5 3 2 2" xfId="759" xr:uid="{00000000-0005-0000-0000-00001C080000}"/>
    <cellStyle name="40% - Accent5 3 2 2 2" xfId="2549" xr:uid="{00000000-0005-0000-0000-00001D080000}"/>
    <cellStyle name="40% - Accent5 3 2 3" xfId="1210" xr:uid="{00000000-0005-0000-0000-00001E080000}"/>
    <cellStyle name="40% - Accent5 3 2 3 2" xfId="2979" xr:uid="{00000000-0005-0000-0000-00001F080000}"/>
    <cellStyle name="40% - Accent5 3 2 4" xfId="1599" xr:uid="{00000000-0005-0000-0000-000020080000}"/>
    <cellStyle name="40% - Accent5 3 2 4 2" xfId="3356" xr:uid="{00000000-0005-0000-0000-000021080000}"/>
    <cellStyle name="40% - Accent5 3 2 5" xfId="2157" xr:uid="{00000000-0005-0000-0000-000022080000}"/>
    <cellStyle name="40% - Accent5 3 3" xfId="565" xr:uid="{00000000-0005-0000-0000-000023080000}"/>
    <cellStyle name="40% - Accent5 3 3 2" xfId="2356" xr:uid="{00000000-0005-0000-0000-000024080000}"/>
    <cellStyle name="40% - Accent5 3 4" xfId="1012" xr:uid="{00000000-0005-0000-0000-000025080000}"/>
    <cellStyle name="40% - Accent5 3 4 2" xfId="2782" xr:uid="{00000000-0005-0000-0000-000026080000}"/>
    <cellStyle name="40% - Accent5 3 5" xfId="1398" xr:uid="{00000000-0005-0000-0000-000027080000}"/>
    <cellStyle name="40% - Accent5 3 5 2" xfId="3159" xr:uid="{00000000-0005-0000-0000-000028080000}"/>
    <cellStyle name="40% - Accent5 3 6" xfId="1764" xr:uid="{00000000-0005-0000-0000-000029080000}"/>
    <cellStyle name="40% - Accent5 3 6 2" xfId="3516" xr:uid="{00000000-0005-0000-0000-00002A080000}"/>
    <cellStyle name="40% - Accent5 3 7" xfId="1961" xr:uid="{00000000-0005-0000-0000-00002B080000}"/>
    <cellStyle name="40% - Accent5 4" xfId="169" xr:uid="{00000000-0005-0000-0000-00002C080000}"/>
    <cellStyle name="40% - Accent5 4 2" xfId="371" xr:uid="{00000000-0005-0000-0000-00002D080000}"/>
    <cellStyle name="40% - Accent5 4 2 2" xfId="774" xr:uid="{00000000-0005-0000-0000-00002E080000}"/>
    <cellStyle name="40% - Accent5 4 2 2 2" xfId="2564" xr:uid="{00000000-0005-0000-0000-00002F080000}"/>
    <cellStyle name="40% - Accent5 4 2 3" xfId="1225" xr:uid="{00000000-0005-0000-0000-000030080000}"/>
    <cellStyle name="40% - Accent5 4 2 3 2" xfId="2994" xr:uid="{00000000-0005-0000-0000-000031080000}"/>
    <cellStyle name="40% - Accent5 4 2 4" xfId="1614" xr:uid="{00000000-0005-0000-0000-000032080000}"/>
    <cellStyle name="40% - Accent5 4 2 4 2" xfId="3371" xr:uid="{00000000-0005-0000-0000-000033080000}"/>
    <cellStyle name="40% - Accent5 4 2 5" xfId="2172" xr:uid="{00000000-0005-0000-0000-000034080000}"/>
    <cellStyle name="40% - Accent5 4 3" xfId="580" xr:uid="{00000000-0005-0000-0000-000035080000}"/>
    <cellStyle name="40% - Accent5 4 3 2" xfId="2371" xr:uid="{00000000-0005-0000-0000-000036080000}"/>
    <cellStyle name="40% - Accent5 4 4" xfId="1027" xr:uid="{00000000-0005-0000-0000-000037080000}"/>
    <cellStyle name="40% - Accent5 4 4 2" xfId="2797" xr:uid="{00000000-0005-0000-0000-000038080000}"/>
    <cellStyle name="40% - Accent5 4 5" xfId="1414" xr:uid="{00000000-0005-0000-0000-000039080000}"/>
    <cellStyle name="40% - Accent5 4 5 2" xfId="3174" xr:uid="{00000000-0005-0000-0000-00003A080000}"/>
    <cellStyle name="40% - Accent5 4 6" xfId="1781" xr:uid="{00000000-0005-0000-0000-00003B080000}"/>
    <cellStyle name="40% - Accent5 4 6 2" xfId="3533" xr:uid="{00000000-0005-0000-0000-00003C080000}"/>
    <cellStyle name="40% - Accent5 4 7" xfId="1976" xr:uid="{00000000-0005-0000-0000-00003D080000}"/>
    <cellStyle name="40% - Accent5 5" xfId="187" xr:uid="{00000000-0005-0000-0000-00003E080000}"/>
    <cellStyle name="40% - Accent5 5 2" xfId="388" xr:uid="{00000000-0005-0000-0000-00003F080000}"/>
    <cellStyle name="40% - Accent5 5 2 2" xfId="791" xr:uid="{00000000-0005-0000-0000-000040080000}"/>
    <cellStyle name="40% - Accent5 5 2 2 2" xfId="2581" xr:uid="{00000000-0005-0000-0000-000041080000}"/>
    <cellStyle name="40% - Accent5 5 2 3" xfId="1242" xr:uid="{00000000-0005-0000-0000-000042080000}"/>
    <cellStyle name="40% - Accent5 5 2 3 2" xfId="3011" xr:uid="{00000000-0005-0000-0000-000043080000}"/>
    <cellStyle name="40% - Accent5 5 2 4" xfId="1631" xr:uid="{00000000-0005-0000-0000-000044080000}"/>
    <cellStyle name="40% - Accent5 5 2 4 2" xfId="3388" xr:uid="{00000000-0005-0000-0000-000045080000}"/>
    <cellStyle name="40% - Accent5 5 2 5" xfId="2189" xr:uid="{00000000-0005-0000-0000-000046080000}"/>
    <cellStyle name="40% - Accent5 5 3" xfId="597" xr:uid="{00000000-0005-0000-0000-000047080000}"/>
    <cellStyle name="40% - Accent5 5 3 2" xfId="2388" xr:uid="{00000000-0005-0000-0000-000048080000}"/>
    <cellStyle name="40% - Accent5 5 4" xfId="1044" xr:uid="{00000000-0005-0000-0000-000049080000}"/>
    <cellStyle name="40% - Accent5 5 4 2" xfId="2814" xr:uid="{00000000-0005-0000-0000-00004A080000}"/>
    <cellStyle name="40% - Accent5 5 5" xfId="1431" xr:uid="{00000000-0005-0000-0000-00004B080000}"/>
    <cellStyle name="40% - Accent5 5 5 2" xfId="3191" xr:uid="{00000000-0005-0000-0000-00004C080000}"/>
    <cellStyle name="40% - Accent5 5 6" xfId="1798" xr:uid="{00000000-0005-0000-0000-00004D080000}"/>
    <cellStyle name="40% - Accent5 5 6 2" xfId="3550" xr:uid="{00000000-0005-0000-0000-00004E080000}"/>
    <cellStyle name="40% - Accent5 5 7" xfId="1993" xr:uid="{00000000-0005-0000-0000-00004F080000}"/>
    <cellStyle name="40% - Accent5 6" xfId="201" xr:uid="{00000000-0005-0000-0000-000050080000}"/>
    <cellStyle name="40% - Accent5 6 2" xfId="402" xr:uid="{00000000-0005-0000-0000-000051080000}"/>
    <cellStyle name="40% - Accent5 6 2 2" xfId="805" xr:uid="{00000000-0005-0000-0000-000052080000}"/>
    <cellStyle name="40% - Accent5 6 2 2 2" xfId="2595" xr:uid="{00000000-0005-0000-0000-000053080000}"/>
    <cellStyle name="40% - Accent5 6 2 3" xfId="1256" xr:uid="{00000000-0005-0000-0000-000054080000}"/>
    <cellStyle name="40% - Accent5 6 2 3 2" xfId="3025" xr:uid="{00000000-0005-0000-0000-000055080000}"/>
    <cellStyle name="40% - Accent5 6 2 4" xfId="1645" xr:uid="{00000000-0005-0000-0000-000056080000}"/>
    <cellStyle name="40% - Accent5 6 2 4 2" xfId="3402" xr:uid="{00000000-0005-0000-0000-000057080000}"/>
    <cellStyle name="40% - Accent5 6 2 5" xfId="2203" xr:uid="{00000000-0005-0000-0000-000058080000}"/>
    <cellStyle name="40% - Accent5 6 3" xfId="611" xr:uid="{00000000-0005-0000-0000-000059080000}"/>
    <cellStyle name="40% - Accent5 6 3 2" xfId="2402" xr:uid="{00000000-0005-0000-0000-00005A080000}"/>
    <cellStyle name="40% - Accent5 6 4" xfId="1058" xr:uid="{00000000-0005-0000-0000-00005B080000}"/>
    <cellStyle name="40% - Accent5 6 4 2" xfId="2828" xr:uid="{00000000-0005-0000-0000-00005C080000}"/>
    <cellStyle name="40% - Accent5 6 5" xfId="1445" xr:uid="{00000000-0005-0000-0000-00005D080000}"/>
    <cellStyle name="40% - Accent5 6 5 2" xfId="3205" xr:uid="{00000000-0005-0000-0000-00005E080000}"/>
    <cellStyle name="40% - Accent5 6 6" xfId="1812" xr:uid="{00000000-0005-0000-0000-00005F080000}"/>
    <cellStyle name="40% - Accent5 6 6 2" xfId="3564" xr:uid="{00000000-0005-0000-0000-000060080000}"/>
    <cellStyle name="40% - Accent5 6 7" xfId="2007" xr:uid="{00000000-0005-0000-0000-000061080000}"/>
    <cellStyle name="40% - Accent5 7" xfId="227" xr:uid="{00000000-0005-0000-0000-000062080000}"/>
    <cellStyle name="40% - Accent5 7 2" xfId="427" xr:uid="{00000000-0005-0000-0000-000063080000}"/>
    <cellStyle name="40% - Accent5 7 2 2" xfId="830" xr:uid="{00000000-0005-0000-0000-000064080000}"/>
    <cellStyle name="40% - Accent5 7 2 2 2" xfId="2620" xr:uid="{00000000-0005-0000-0000-000065080000}"/>
    <cellStyle name="40% - Accent5 7 2 3" xfId="1281" xr:uid="{00000000-0005-0000-0000-000066080000}"/>
    <cellStyle name="40% - Accent5 7 2 3 2" xfId="3050" xr:uid="{00000000-0005-0000-0000-000067080000}"/>
    <cellStyle name="40% - Accent5 7 2 4" xfId="1670" xr:uid="{00000000-0005-0000-0000-000068080000}"/>
    <cellStyle name="40% - Accent5 7 2 4 2" xfId="3427" xr:uid="{00000000-0005-0000-0000-000069080000}"/>
    <cellStyle name="40% - Accent5 7 2 5" xfId="2228" xr:uid="{00000000-0005-0000-0000-00006A080000}"/>
    <cellStyle name="40% - Accent5 7 3" xfId="636" xr:uid="{00000000-0005-0000-0000-00006B080000}"/>
    <cellStyle name="40% - Accent5 7 3 2" xfId="2427" xr:uid="{00000000-0005-0000-0000-00006C080000}"/>
    <cellStyle name="40% - Accent5 7 4" xfId="1083" xr:uid="{00000000-0005-0000-0000-00006D080000}"/>
    <cellStyle name="40% - Accent5 7 4 2" xfId="2853" xr:uid="{00000000-0005-0000-0000-00006E080000}"/>
    <cellStyle name="40% - Accent5 7 5" xfId="1470" xr:uid="{00000000-0005-0000-0000-00006F080000}"/>
    <cellStyle name="40% - Accent5 7 5 2" xfId="3230" xr:uid="{00000000-0005-0000-0000-000070080000}"/>
    <cellStyle name="40% - Accent5 7 6" xfId="1837" xr:uid="{00000000-0005-0000-0000-000071080000}"/>
    <cellStyle name="40% - Accent5 7 6 2" xfId="3589" xr:uid="{00000000-0005-0000-0000-000072080000}"/>
    <cellStyle name="40% - Accent5 7 7" xfId="2032" xr:uid="{00000000-0005-0000-0000-000073080000}"/>
    <cellStyle name="40% - Accent5 8" xfId="246" xr:uid="{00000000-0005-0000-0000-000074080000}"/>
    <cellStyle name="40% - Accent5 8 2" xfId="445" xr:uid="{00000000-0005-0000-0000-000075080000}"/>
    <cellStyle name="40% - Accent5 8 2 2" xfId="848" xr:uid="{00000000-0005-0000-0000-000076080000}"/>
    <cellStyle name="40% - Accent5 8 2 2 2" xfId="2638" xr:uid="{00000000-0005-0000-0000-000077080000}"/>
    <cellStyle name="40% - Accent5 8 2 3" xfId="1299" xr:uid="{00000000-0005-0000-0000-000078080000}"/>
    <cellStyle name="40% - Accent5 8 2 3 2" xfId="3068" xr:uid="{00000000-0005-0000-0000-000079080000}"/>
    <cellStyle name="40% - Accent5 8 2 4" xfId="1688" xr:uid="{00000000-0005-0000-0000-00007A080000}"/>
    <cellStyle name="40% - Accent5 8 2 4 2" xfId="3445" xr:uid="{00000000-0005-0000-0000-00007B080000}"/>
    <cellStyle name="40% - Accent5 8 2 5" xfId="2246" xr:uid="{00000000-0005-0000-0000-00007C080000}"/>
    <cellStyle name="40% - Accent5 8 3" xfId="654" xr:uid="{00000000-0005-0000-0000-00007D080000}"/>
    <cellStyle name="40% - Accent5 8 3 2" xfId="2445" xr:uid="{00000000-0005-0000-0000-00007E080000}"/>
    <cellStyle name="40% - Accent5 8 4" xfId="1101" xr:uid="{00000000-0005-0000-0000-00007F080000}"/>
    <cellStyle name="40% - Accent5 8 4 2" xfId="2871" xr:uid="{00000000-0005-0000-0000-000080080000}"/>
    <cellStyle name="40% - Accent5 8 5" xfId="1488" xr:uid="{00000000-0005-0000-0000-000081080000}"/>
    <cellStyle name="40% - Accent5 8 5 2" xfId="3248" xr:uid="{00000000-0005-0000-0000-000082080000}"/>
    <cellStyle name="40% - Accent5 8 6" xfId="1855" xr:uid="{00000000-0005-0000-0000-000083080000}"/>
    <cellStyle name="40% - Accent5 8 6 2" xfId="3607" xr:uid="{00000000-0005-0000-0000-000084080000}"/>
    <cellStyle name="40% - Accent5 8 7" xfId="2050" xr:uid="{00000000-0005-0000-0000-000085080000}"/>
    <cellStyle name="40% - Accent5 9" xfId="265" xr:uid="{00000000-0005-0000-0000-000086080000}"/>
    <cellStyle name="40% - Accent5 9 2" xfId="463" xr:uid="{00000000-0005-0000-0000-000087080000}"/>
    <cellStyle name="40% - Accent5 9 2 2" xfId="866" xr:uid="{00000000-0005-0000-0000-000088080000}"/>
    <cellStyle name="40% - Accent5 9 2 2 2" xfId="2656" xr:uid="{00000000-0005-0000-0000-000089080000}"/>
    <cellStyle name="40% - Accent5 9 2 3" xfId="1317" xr:uid="{00000000-0005-0000-0000-00008A080000}"/>
    <cellStyle name="40% - Accent5 9 2 3 2" xfId="3086" xr:uid="{00000000-0005-0000-0000-00008B080000}"/>
    <cellStyle name="40% - Accent5 9 2 4" xfId="1706" xr:uid="{00000000-0005-0000-0000-00008C080000}"/>
    <cellStyle name="40% - Accent5 9 2 4 2" xfId="3463" xr:uid="{00000000-0005-0000-0000-00008D080000}"/>
    <cellStyle name="40% - Accent5 9 2 5" xfId="2264" xr:uid="{00000000-0005-0000-0000-00008E080000}"/>
    <cellStyle name="40% - Accent5 9 3" xfId="672" xr:uid="{00000000-0005-0000-0000-00008F080000}"/>
    <cellStyle name="40% - Accent5 9 3 2" xfId="2463" xr:uid="{00000000-0005-0000-0000-000090080000}"/>
    <cellStyle name="40% - Accent5 9 4" xfId="1119" xr:uid="{00000000-0005-0000-0000-000091080000}"/>
    <cellStyle name="40% - Accent5 9 4 2" xfId="2889" xr:uid="{00000000-0005-0000-0000-000092080000}"/>
    <cellStyle name="40% - Accent5 9 5" xfId="1506" xr:uid="{00000000-0005-0000-0000-000093080000}"/>
    <cellStyle name="40% - Accent5 9 5 2" xfId="3266" xr:uid="{00000000-0005-0000-0000-000094080000}"/>
    <cellStyle name="40% - Accent5 9 6" xfId="1873" xr:uid="{00000000-0005-0000-0000-000095080000}"/>
    <cellStyle name="40% - Accent5 9 6 2" xfId="3625" xr:uid="{00000000-0005-0000-0000-000096080000}"/>
    <cellStyle name="40% - Accent5 9 7" xfId="2068" xr:uid="{00000000-0005-0000-0000-000097080000}"/>
    <cellStyle name="40% - Accent6" xfId="12" builtinId="51" customBuiltin="1"/>
    <cellStyle name="40% - Accent6 10" xfId="291" xr:uid="{00000000-0005-0000-0000-000099080000}"/>
    <cellStyle name="40% - Accent6 10 2" xfId="487" xr:uid="{00000000-0005-0000-0000-00009A080000}"/>
    <cellStyle name="40% - Accent6 10 2 2" xfId="889" xr:uid="{00000000-0005-0000-0000-00009B080000}"/>
    <cellStyle name="40% - Accent6 10 2 2 2" xfId="2679" xr:uid="{00000000-0005-0000-0000-00009C080000}"/>
    <cellStyle name="40% - Accent6 10 2 3" xfId="1342" xr:uid="{00000000-0005-0000-0000-00009D080000}"/>
    <cellStyle name="40% - Accent6 10 2 3 2" xfId="3111" xr:uid="{00000000-0005-0000-0000-00009E080000}"/>
    <cellStyle name="40% - Accent6 10 2 4" xfId="1731" xr:uid="{00000000-0005-0000-0000-00009F080000}"/>
    <cellStyle name="40% - Accent6 10 2 4 2" xfId="3487" xr:uid="{00000000-0005-0000-0000-0000A0080000}"/>
    <cellStyle name="40% - Accent6 10 2 5" xfId="2288" xr:uid="{00000000-0005-0000-0000-0000A1080000}"/>
    <cellStyle name="40% - Accent6 10 3" xfId="696" xr:uid="{00000000-0005-0000-0000-0000A2080000}"/>
    <cellStyle name="40% - Accent6 10 3 2" xfId="2487" xr:uid="{00000000-0005-0000-0000-0000A3080000}"/>
    <cellStyle name="40% - Accent6 10 4" xfId="1144" xr:uid="{00000000-0005-0000-0000-0000A4080000}"/>
    <cellStyle name="40% - Accent6 10 4 2" xfId="2915" xr:uid="{00000000-0005-0000-0000-0000A5080000}"/>
    <cellStyle name="40% - Accent6 10 5" xfId="1532" xr:uid="{00000000-0005-0000-0000-0000A6080000}"/>
    <cellStyle name="40% - Accent6 10 5 2" xfId="3292" xr:uid="{00000000-0005-0000-0000-0000A7080000}"/>
    <cellStyle name="40% - Accent6 10 6" xfId="1894" xr:uid="{00000000-0005-0000-0000-0000A8080000}"/>
    <cellStyle name="40% - Accent6 10 6 2" xfId="3646" xr:uid="{00000000-0005-0000-0000-0000A9080000}"/>
    <cellStyle name="40% - Accent6 10 7" xfId="2093" xr:uid="{00000000-0005-0000-0000-0000AA080000}"/>
    <cellStyle name="40% - Accent6 11" xfId="304" xr:uid="{00000000-0005-0000-0000-0000AB080000}"/>
    <cellStyle name="40% - Accent6 11 2" xfId="709" xr:uid="{00000000-0005-0000-0000-0000AC080000}"/>
    <cellStyle name="40% - Accent6 11 2 2" xfId="2500" xr:uid="{00000000-0005-0000-0000-0000AD080000}"/>
    <cellStyle name="40% - Accent6 11 3" xfId="1157" xr:uid="{00000000-0005-0000-0000-0000AE080000}"/>
    <cellStyle name="40% - Accent6 11 3 2" xfId="2928" xr:uid="{00000000-0005-0000-0000-0000AF080000}"/>
    <cellStyle name="40% - Accent6 11 4" xfId="1545" xr:uid="{00000000-0005-0000-0000-0000B0080000}"/>
    <cellStyle name="40% - Accent6 11 4 2" xfId="3305" xr:uid="{00000000-0005-0000-0000-0000B1080000}"/>
    <cellStyle name="40% - Accent6 11 5" xfId="2106" xr:uid="{00000000-0005-0000-0000-0000B2080000}"/>
    <cellStyle name="40% - Accent6 12" xfId="499" xr:uid="{00000000-0005-0000-0000-0000B3080000}"/>
    <cellStyle name="40% - Accent6 12 2" xfId="929" xr:uid="{00000000-0005-0000-0000-0000B4080000}"/>
    <cellStyle name="40% - Accent6 12 2 2" xfId="2716" xr:uid="{00000000-0005-0000-0000-0000B5080000}"/>
    <cellStyle name="40% - Accent6 12 3" xfId="2300" xr:uid="{00000000-0005-0000-0000-0000B6080000}"/>
    <cellStyle name="40% - Accent6 13" xfId="920" xr:uid="{00000000-0005-0000-0000-0000B7080000}"/>
    <cellStyle name="40% - Accent6 13 2" xfId="2708" xr:uid="{00000000-0005-0000-0000-0000B8080000}"/>
    <cellStyle name="40% - Accent6 14" xfId="916" xr:uid="{00000000-0005-0000-0000-0000B9080000}"/>
    <cellStyle name="40% - Accent6 14 2" xfId="2704" xr:uid="{00000000-0005-0000-0000-0000BA080000}"/>
    <cellStyle name="40% - Accent6 15" xfId="894" xr:uid="{00000000-0005-0000-0000-0000BB080000}"/>
    <cellStyle name="40% - Accent6 15 2" xfId="2683" xr:uid="{00000000-0005-0000-0000-0000BC080000}"/>
    <cellStyle name="40% - Accent6 16" xfId="1906" xr:uid="{00000000-0005-0000-0000-0000BD080000}"/>
    <cellStyle name="40% - Accent6 17" xfId="3819" xr:uid="{00000000-0005-0000-0000-0000BE080000}"/>
    <cellStyle name="40% - Accent6 18" xfId="3835" xr:uid="{00000000-0005-0000-0000-0000BF080000}"/>
    <cellStyle name="40% - Accent6 2" xfId="108" xr:uid="{00000000-0005-0000-0000-0000C0080000}"/>
    <cellStyle name="40% - Accent6 2 2" xfId="122" xr:uid="{00000000-0005-0000-0000-0000C1080000}"/>
    <cellStyle name="40% - Accent6 2 2 2" xfId="331" xr:uid="{00000000-0005-0000-0000-0000C2080000}"/>
    <cellStyle name="40% - Accent6 2 2 2 2" xfId="733" xr:uid="{00000000-0005-0000-0000-0000C3080000}"/>
    <cellStyle name="40% - Accent6 2 2 2 2 2" xfId="2523" xr:uid="{00000000-0005-0000-0000-0000C4080000}"/>
    <cellStyle name="40% - Accent6 2 2 2 3" xfId="1184" xr:uid="{00000000-0005-0000-0000-0000C5080000}"/>
    <cellStyle name="40% - Accent6 2 2 2 3 2" xfId="2953" xr:uid="{00000000-0005-0000-0000-0000C6080000}"/>
    <cellStyle name="40% - Accent6 2 2 2 4" xfId="1573" xr:uid="{00000000-0005-0000-0000-0000C7080000}"/>
    <cellStyle name="40% - Accent6 2 2 2 4 2" xfId="3330" xr:uid="{00000000-0005-0000-0000-0000C8080000}"/>
    <cellStyle name="40% - Accent6 2 2 2 5" xfId="2131" xr:uid="{00000000-0005-0000-0000-0000C9080000}"/>
    <cellStyle name="40% - Accent6 2 2 3" xfId="540" xr:uid="{00000000-0005-0000-0000-0000CA080000}"/>
    <cellStyle name="40% - Accent6 2 2 3 2" xfId="2334" xr:uid="{00000000-0005-0000-0000-0000CB080000}"/>
    <cellStyle name="40% - Accent6 2 2 4" xfId="986" xr:uid="{00000000-0005-0000-0000-0000CC080000}"/>
    <cellStyle name="40% - Accent6 2 2 4 2" xfId="2756" xr:uid="{00000000-0005-0000-0000-0000CD080000}"/>
    <cellStyle name="40% - Accent6 2 2 5" xfId="1372" xr:uid="{00000000-0005-0000-0000-0000CE080000}"/>
    <cellStyle name="40% - Accent6 2 2 5 2" xfId="3133" xr:uid="{00000000-0005-0000-0000-0000CF080000}"/>
    <cellStyle name="40% - Accent6 2 2 6" xfId="1935" xr:uid="{00000000-0005-0000-0000-0000D0080000}"/>
    <cellStyle name="40% - Accent6 2 3" xfId="320" xr:uid="{00000000-0005-0000-0000-0000D1080000}"/>
    <cellStyle name="40% - Accent6 2 3 2" xfId="724" xr:uid="{00000000-0005-0000-0000-0000D2080000}"/>
    <cellStyle name="40% - Accent6 2 3 2 2" xfId="2515" xr:uid="{00000000-0005-0000-0000-0000D3080000}"/>
    <cellStyle name="40% - Accent6 2 3 3" xfId="1173" xr:uid="{00000000-0005-0000-0000-0000D4080000}"/>
    <cellStyle name="40% - Accent6 2 3 3 2" xfId="2943" xr:uid="{00000000-0005-0000-0000-0000D5080000}"/>
    <cellStyle name="40% - Accent6 2 3 4" xfId="1562" xr:uid="{00000000-0005-0000-0000-0000D6080000}"/>
    <cellStyle name="40% - Accent6 2 3 4 2" xfId="3321" xr:uid="{00000000-0005-0000-0000-0000D7080000}"/>
    <cellStyle name="40% - Accent6 2 3 5" xfId="2121" xr:uid="{00000000-0005-0000-0000-0000D8080000}"/>
    <cellStyle name="40% - Accent6 2 4" xfId="523" xr:uid="{00000000-0005-0000-0000-0000D9080000}"/>
    <cellStyle name="40% - Accent6 2 4 2" xfId="2319" xr:uid="{00000000-0005-0000-0000-0000DA080000}"/>
    <cellStyle name="40% - Accent6 2 5" xfId="969" xr:uid="{00000000-0005-0000-0000-0000DB080000}"/>
    <cellStyle name="40% - Accent6 2 5 2" xfId="2745" xr:uid="{00000000-0005-0000-0000-0000DC080000}"/>
    <cellStyle name="40% - Accent6 2 6" xfId="1355" xr:uid="{00000000-0005-0000-0000-0000DD080000}"/>
    <cellStyle name="40% - Accent6 2 6 2" xfId="3123" xr:uid="{00000000-0005-0000-0000-0000DE080000}"/>
    <cellStyle name="40% - Accent6 2 7" xfId="1738" xr:uid="{00000000-0005-0000-0000-0000DF080000}"/>
    <cellStyle name="40% - Accent6 2 7 2" xfId="3490" xr:uid="{00000000-0005-0000-0000-0000E0080000}"/>
    <cellStyle name="40% - Accent6 2 8" xfId="1923" xr:uid="{00000000-0005-0000-0000-0000E1080000}"/>
    <cellStyle name="40% - Accent6 3" xfId="151" xr:uid="{00000000-0005-0000-0000-0000E2080000}"/>
    <cellStyle name="40% - Accent6 3 2" xfId="355" xr:uid="{00000000-0005-0000-0000-0000E3080000}"/>
    <cellStyle name="40% - Accent6 3 2 2" xfId="758" xr:uid="{00000000-0005-0000-0000-0000E4080000}"/>
    <cellStyle name="40% - Accent6 3 2 2 2" xfId="2548" xr:uid="{00000000-0005-0000-0000-0000E5080000}"/>
    <cellStyle name="40% - Accent6 3 2 3" xfId="1209" xr:uid="{00000000-0005-0000-0000-0000E6080000}"/>
    <cellStyle name="40% - Accent6 3 2 3 2" xfId="2978" xr:uid="{00000000-0005-0000-0000-0000E7080000}"/>
    <cellStyle name="40% - Accent6 3 2 4" xfId="1598" xr:uid="{00000000-0005-0000-0000-0000E8080000}"/>
    <cellStyle name="40% - Accent6 3 2 4 2" xfId="3355" xr:uid="{00000000-0005-0000-0000-0000E9080000}"/>
    <cellStyle name="40% - Accent6 3 2 5" xfId="2156" xr:uid="{00000000-0005-0000-0000-0000EA080000}"/>
    <cellStyle name="40% - Accent6 3 3" xfId="564" xr:uid="{00000000-0005-0000-0000-0000EB080000}"/>
    <cellStyle name="40% - Accent6 3 3 2" xfId="2355" xr:uid="{00000000-0005-0000-0000-0000EC080000}"/>
    <cellStyle name="40% - Accent6 3 4" xfId="1011" xr:uid="{00000000-0005-0000-0000-0000ED080000}"/>
    <cellStyle name="40% - Accent6 3 4 2" xfId="2781" xr:uid="{00000000-0005-0000-0000-0000EE080000}"/>
    <cellStyle name="40% - Accent6 3 5" xfId="1397" xr:uid="{00000000-0005-0000-0000-0000EF080000}"/>
    <cellStyle name="40% - Accent6 3 5 2" xfId="3158" xr:uid="{00000000-0005-0000-0000-0000F0080000}"/>
    <cellStyle name="40% - Accent6 3 6" xfId="1763" xr:uid="{00000000-0005-0000-0000-0000F1080000}"/>
    <cellStyle name="40% - Accent6 3 6 2" xfId="3515" xr:uid="{00000000-0005-0000-0000-0000F2080000}"/>
    <cellStyle name="40% - Accent6 3 7" xfId="1960" xr:uid="{00000000-0005-0000-0000-0000F3080000}"/>
    <cellStyle name="40% - Accent6 4" xfId="168" xr:uid="{00000000-0005-0000-0000-0000F4080000}"/>
    <cellStyle name="40% - Accent6 4 2" xfId="370" xr:uid="{00000000-0005-0000-0000-0000F5080000}"/>
    <cellStyle name="40% - Accent6 4 2 2" xfId="773" xr:uid="{00000000-0005-0000-0000-0000F6080000}"/>
    <cellStyle name="40% - Accent6 4 2 2 2" xfId="2563" xr:uid="{00000000-0005-0000-0000-0000F7080000}"/>
    <cellStyle name="40% - Accent6 4 2 3" xfId="1224" xr:uid="{00000000-0005-0000-0000-0000F8080000}"/>
    <cellStyle name="40% - Accent6 4 2 3 2" xfId="2993" xr:uid="{00000000-0005-0000-0000-0000F9080000}"/>
    <cellStyle name="40% - Accent6 4 2 4" xfId="1613" xr:uid="{00000000-0005-0000-0000-0000FA080000}"/>
    <cellStyle name="40% - Accent6 4 2 4 2" xfId="3370" xr:uid="{00000000-0005-0000-0000-0000FB080000}"/>
    <cellStyle name="40% - Accent6 4 2 5" xfId="2171" xr:uid="{00000000-0005-0000-0000-0000FC080000}"/>
    <cellStyle name="40% - Accent6 4 3" xfId="579" xr:uid="{00000000-0005-0000-0000-0000FD080000}"/>
    <cellStyle name="40% - Accent6 4 3 2" xfId="2370" xr:uid="{00000000-0005-0000-0000-0000FE080000}"/>
    <cellStyle name="40% - Accent6 4 4" xfId="1026" xr:uid="{00000000-0005-0000-0000-0000FF080000}"/>
    <cellStyle name="40% - Accent6 4 4 2" xfId="2796" xr:uid="{00000000-0005-0000-0000-000000090000}"/>
    <cellStyle name="40% - Accent6 4 5" xfId="1413" xr:uid="{00000000-0005-0000-0000-000001090000}"/>
    <cellStyle name="40% - Accent6 4 5 2" xfId="3173" xr:uid="{00000000-0005-0000-0000-000002090000}"/>
    <cellStyle name="40% - Accent6 4 6" xfId="1780" xr:uid="{00000000-0005-0000-0000-000003090000}"/>
    <cellStyle name="40% - Accent6 4 6 2" xfId="3532" xr:uid="{00000000-0005-0000-0000-000004090000}"/>
    <cellStyle name="40% - Accent6 4 7" xfId="1975" xr:uid="{00000000-0005-0000-0000-000005090000}"/>
    <cellStyle name="40% - Accent6 5" xfId="186" xr:uid="{00000000-0005-0000-0000-000006090000}"/>
    <cellStyle name="40% - Accent6 5 2" xfId="387" xr:uid="{00000000-0005-0000-0000-000007090000}"/>
    <cellStyle name="40% - Accent6 5 2 2" xfId="790" xr:uid="{00000000-0005-0000-0000-000008090000}"/>
    <cellStyle name="40% - Accent6 5 2 2 2" xfId="2580" xr:uid="{00000000-0005-0000-0000-000009090000}"/>
    <cellStyle name="40% - Accent6 5 2 3" xfId="1241" xr:uid="{00000000-0005-0000-0000-00000A090000}"/>
    <cellStyle name="40% - Accent6 5 2 3 2" xfId="3010" xr:uid="{00000000-0005-0000-0000-00000B090000}"/>
    <cellStyle name="40% - Accent6 5 2 4" xfId="1630" xr:uid="{00000000-0005-0000-0000-00000C090000}"/>
    <cellStyle name="40% - Accent6 5 2 4 2" xfId="3387" xr:uid="{00000000-0005-0000-0000-00000D090000}"/>
    <cellStyle name="40% - Accent6 5 2 5" xfId="2188" xr:uid="{00000000-0005-0000-0000-00000E090000}"/>
    <cellStyle name="40% - Accent6 5 3" xfId="596" xr:uid="{00000000-0005-0000-0000-00000F090000}"/>
    <cellStyle name="40% - Accent6 5 3 2" xfId="2387" xr:uid="{00000000-0005-0000-0000-000010090000}"/>
    <cellStyle name="40% - Accent6 5 4" xfId="1043" xr:uid="{00000000-0005-0000-0000-000011090000}"/>
    <cellStyle name="40% - Accent6 5 4 2" xfId="2813" xr:uid="{00000000-0005-0000-0000-000012090000}"/>
    <cellStyle name="40% - Accent6 5 5" xfId="1430" xr:uid="{00000000-0005-0000-0000-000013090000}"/>
    <cellStyle name="40% - Accent6 5 5 2" xfId="3190" xr:uid="{00000000-0005-0000-0000-000014090000}"/>
    <cellStyle name="40% - Accent6 5 6" xfId="1797" xr:uid="{00000000-0005-0000-0000-000015090000}"/>
    <cellStyle name="40% - Accent6 5 6 2" xfId="3549" xr:uid="{00000000-0005-0000-0000-000016090000}"/>
    <cellStyle name="40% - Accent6 5 7" xfId="1992" xr:uid="{00000000-0005-0000-0000-000017090000}"/>
    <cellStyle name="40% - Accent6 6" xfId="200" xr:uid="{00000000-0005-0000-0000-000018090000}"/>
    <cellStyle name="40% - Accent6 6 2" xfId="401" xr:uid="{00000000-0005-0000-0000-000019090000}"/>
    <cellStyle name="40% - Accent6 6 2 2" xfId="804" xr:uid="{00000000-0005-0000-0000-00001A090000}"/>
    <cellStyle name="40% - Accent6 6 2 2 2" xfId="2594" xr:uid="{00000000-0005-0000-0000-00001B090000}"/>
    <cellStyle name="40% - Accent6 6 2 3" xfId="1255" xr:uid="{00000000-0005-0000-0000-00001C090000}"/>
    <cellStyle name="40% - Accent6 6 2 3 2" xfId="3024" xr:uid="{00000000-0005-0000-0000-00001D090000}"/>
    <cellStyle name="40% - Accent6 6 2 4" xfId="1644" xr:uid="{00000000-0005-0000-0000-00001E090000}"/>
    <cellStyle name="40% - Accent6 6 2 4 2" xfId="3401" xr:uid="{00000000-0005-0000-0000-00001F090000}"/>
    <cellStyle name="40% - Accent6 6 2 5" xfId="2202" xr:uid="{00000000-0005-0000-0000-000020090000}"/>
    <cellStyle name="40% - Accent6 6 3" xfId="610" xr:uid="{00000000-0005-0000-0000-000021090000}"/>
    <cellStyle name="40% - Accent6 6 3 2" xfId="2401" xr:uid="{00000000-0005-0000-0000-000022090000}"/>
    <cellStyle name="40% - Accent6 6 4" xfId="1057" xr:uid="{00000000-0005-0000-0000-000023090000}"/>
    <cellStyle name="40% - Accent6 6 4 2" xfId="2827" xr:uid="{00000000-0005-0000-0000-000024090000}"/>
    <cellStyle name="40% - Accent6 6 5" xfId="1444" xr:uid="{00000000-0005-0000-0000-000025090000}"/>
    <cellStyle name="40% - Accent6 6 5 2" xfId="3204" xr:uid="{00000000-0005-0000-0000-000026090000}"/>
    <cellStyle name="40% - Accent6 6 6" xfId="1811" xr:uid="{00000000-0005-0000-0000-000027090000}"/>
    <cellStyle name="40% - Accent6 6 6 2" xfId="3563" xr:uid="{00000000-0005-0000-0000-000028090000}"/>
    <cellStyle name="40% - Accent6 6 7" xfId="2006" xr:uid="{00000000-0005-0000-0000-000029090000}"/>
    <cellStyle name="40% - Accent6 7" xfId="228" xr:uid="{00000000-0005-0000-0000-00002A090000}"/>
    <cellStyle name="40% - Accent6 7 2" xfId="428" xr:uid="{00000000-0005-0000-0000-00002B090000}"/>
    <cellStyle name="40% - Accent6 7 2 2" xfId="831" xr:uid="{00000000-0005-0000-0000-00002C090000}"/>
    <cellStyle name="40% - Accent6 7 2 2 2" xfId="2621" xr:uid="{00000000-0005-0000-0000-00002D090000}"/>
    <cellStyle name="40% - Accent6 7 2 3" xfId="1282" xr:uid="{00000000-0005-0000-0000-00002E090000}"/>
    <cellStyle name="40% - Accent6 7 2 3 2" xfId="3051" xr:uid="{00000000-0005-0000-0000-00002F090000}"/>
    <cellStyle name="40% - Accent6 7 2 4" xfId="1671" xr:uid="{00000000-0005-0000-0000-000030090000}"/>
    <cellStyle name="40% - Accent6 7 2 4 2" xfId="3428" xr:uid="{00000000-0005-0000-0000-000031090000}"/>
    <cellStyle name="40% - Accent6 7 2 5" xfId="2229" xr:uid="{00000000-0005-0000-0000-000032090000}"/>
    <cellStyle name="40% - Accent6 7 3" xfId="637" xr:uid="{00000000-0005-0000-0000-000033090000}"/>
    <cellStyle name="40% - Accent6 7 3 2" xfId="2428" xr:uid="{00000000-0005-0000-0000-000034090000}"/>
    <cellStyle name="40% - Accent6 7 4" xfId="1084" xr:uid="{00000000-0005-0000-0000-000035090000}"/>
    <cellStyle name="40% - Accent6 7 4 2" xfId="2854" xr:uid="{00000000-0005-0000-0000-000036090000}"/>
    <cellStyle name="40% - Accent6 7 5" xfId="1471" xr:uid="{00000000-0005-0000-0000-000037090000}"/>
    <cellStyle name="40% - Accent6 7 5 2" xfId="3231" xr:uid="{00000000-0005-0000-0000-000038090000}"/>
    <cellStyle name="40% - Accent6 7 6" xfId="1838" xr:uid="{00000000-0005-0000-0000-000039090000}"/>
    <cellStyle name="40% - Accent6 7 6 2" xfId="3590" xr:uid="{00000000-0005-0000-0000-00003A090000}"/>
    <cellStyle name="40% - Accent6 7 7" xfId="2033" xr:uid="{00000000-0005-0000-0000-00003B090000}"/>
    <cellStyle name="40% - Accent6 8" xfId="247" xr:uid="{00000000-0005-0000-0000-00003C090000}"/>
    <cellStyle name="40% - Accent6 8 2" xfId="446" xr:uid="{00000000-0005-0000-0000-00003D090000}"/>
    <cellStyle name="40% - Accent6 8 2 2" xfId="849" xr:uid="{00000000-0005-0000-0000-00003E090000}"/>
    <cellStyle name="40% - Accent6 8 2 2 2" xfId="2639" xr:uid="{00000000-0005-0000-0000-00003F090000}"/>
    <cellStyle name="40% - Accent6 8 2 3" xfId="1300" xr:uid="{00000000-0005-0000-0000-000040090000}"/>
    <cellStyle name="40% - Accent6 8 2 3 2" xfId="3069" xr:uid="{00000000-0005-0000-0000-000041090000}"/>
    <cellStyle name="40% - Accent6 8 2 4" xfId="1689" xr:uid="{00000000-0005-0000-0000-000042090000}"/>
    <cellStyle name="40% - Accent6 8 2 4 2" xfId="3446" xr:uid="{00000000-0005-0000-0000-000043090000}"/>
    <cellStyle name="40% - Accent6 8 2 5" xfId="2247" xr:uid="{00000000-0005-0000-0000-000044090000}"/>
    <cellStyle name="40% - Accent6 8 3" xfId="655" xr:uid="{00000000-0005-0000-0000-000045090000}"/>
    <cellStyle name="40% - Accent6 8 3 2" xfId="2446" xr:uid="{00000000-0005-0000-0000-000046090000}"/>
    <cellStyle name="40% - Accent6 8 4" xfId="1102" xr:uid="{00000000-0005-0000-0000-000047090000}"/>
    <cellStyle name="40% - Accent6 8 4 2" xfId="2872" xr:uid="{00000000-0005-0000-0000-000048090000}"/>
    <cellStyle name="40% - Accent6 8 5" xfId="1489" xr:uid="{00000000-0005-0000-0000-000049090000}"/>
    <cellStyle name="40% - Accent6 8 5 2" xfId="3249" xr:uid="{00000000-0005-0000-0000-00004A090000}"/>
    <cellStyle name="40% - Accent6 8 6" xfId="1856" xr:uid="{00000000-0005-0000-0000-00004B090000}"/>
    <cellStyle name="40% - Accent6 8 6 2" xfId="3608" xr:uid="{00000000-0005-0000-0000-00004C090000}"/>
    <cellStyle name="40% - Accent6 8 7" xfId="2051" xr:uid="{00000000-0005-0000-0000-00004D090000}"/>
    <cellStyle name="40% - Accent6 9" xfId="266" xr:uid="{00000000-0005-0000-0000-00004E090000}"/>
    <cellStyle name="40% - Accent6 9 2" xfId="464" xr:uid="{00000000-0005-0000-0000-00004F090000}"/>
    <cellStyle name="40% - Accent6 9 2 2" xfId="867" xr:uid="{00000000-0005-0000-0000-000050090000}"/>
    <cellStyle name="40% - Accent6 9 2 2 2" xfId="2657" xr:uid="{00000000-0005-0000-0000-000051090000}"/>
    <cellStyle name="40% - Accent6 9 2 3" xfId="1318" xr:uid="{00000000-0005-0000-0000-000052090000}"/>
    <cellStyle name="40% - Accent6 9 2 3 2" xfId="3087" xr:uid="{00000000-0005-0000-0000-000053090000}"/>
    <cellStyle name="40% - Accent6 9 2 4" xfId="1707" xr:uid="{00000000-0005-0000-0000-000054090000}"/>
    <cellStyle name="40% - Accent6 9 2 4 2" xfId="3464" xr:uid="{00000000-0005-0000-0000-000055090000}"/>
    <cellStyle name="40% - Accent6 9 2 5" xfId="2265" xr:uid="{00000000-0005-0000-0000-000056090000}"/>
    <cellStyle name="40% - Accent6 9 3" xfId="673" xr:uid="{00000000-0005-0000-0000-000057090000}"/>
    <cellStyle name="40% - Accent6 9 3 2" xfId="2464" xr:uid="{00000000-0005-0000-0000-000058090000}"/>
    <cellStyle name="40% - Accent6 9 4" xfId="1120" xr:uid="{00000000-0005-0000-0000-000059090000}"/>
    <cellStyle name="40% - Accent6 9 4 2" xfId="2890" xr:uid="{00000000-0005-0000-0000-00005A090000}"/>
    <cellStyle name="40% - Accent6 9 5" xfId="1507" xr:uid="{00000000-0005-0000-0000-00005B090000}"/>
    <cellStyle name="40% - Accent6 9 5 2" xfId="3267" xr:uid="{00000000-0005-0000-0000-00005C090000}"/>
    <cellStyle name="40% - Accent6 9 6" xfId="1874" xr:uid="{00000000-0005-0000-0000-00005D090000}"/>
    <cellStyle name="40% - Accent6 9 6 2" xfId="3626" xr:uid="{00000000-0005-0000-0000-00005E090000}"/>
    <cellStyle name="40% - Accent6 9 7" xfId="2069" xr:uid="{00000000-0005-0000-0000-00005F090000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" xfId="19" xr:uid="{00000000-0005-0000-0000-000066090000}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Bad" xfId="26" builtinId="27" customBuiltin="1"/>
    <cellStyle name="Calculation" xfId="27" builtinId="22" customBuiltin="1"/>
    <cellStyle name="Check Cell" xfId="28" builtinId="23" customBuiltin="1"/>
    <cellStyle name="Comma" xfId="29" builtinId="3"/>
    <cellStyle name="Comma [0] 2" xfId="3858" xr:uid="{8AC0075B-C332-4FAA-9016-E93802433A5C}"/>
    <cellStyle name="Comma 2" xfId="30" xr:uid="{00000000-0005-0000-0000-000071090000}"/>
    <cellStyle name="Comma 2 10" xfId="3674" xr:uid="{00000000-0005-0000-0000-000072090000}"/>
    <cellStyle name="Comma 2 2" xfId="95" xr:uid="{00000000-0005-0000-0000-000073090000}"/>
    <cellStyle name="Comma 2 2 2" xfId="109" xr:uid="{00000000-0005-0000-0000-000074090000}"/>
    <cellStyle name="Comma 2 2 2 2" xfId="305" xr:uid="{00000000-0005-0000-0000-000075090000}"/>
    <cellStyle name="Comma 2 2 2 2 2" xfId="321" xr:uid="{00000000-0005-0000-0000-000076090000}"/>
    <cellStyle name="Comma 2 2 2 2 2 2" xfId="710" xr:uid="{00000000-0005-0000-0000-000077090000}"/>
    <cellStyle name="Comma 2 2 2 2 2 2 2" xfId="725" xr:uid="{00000000-0005-0000-0000-000078090000}"/>
    <cellStyle name="Comma 2 2 2 2 2 2 2 2" xfId="3758" xr:uid="{00000000-0005-0000-0000-000079090000}"/>
    <cellStyle name="Comma 2 2 2 2 2 2 2 2 2" xfId="3759" xr:uid="{00000000-0005-0000-0000-00007A090000}"/>
    <cellStyle name="Comma 2 2 2 2 2 2 2 2 3" xfId="3782" xr:uid="{00000000-0005-0000-0000-00007B090000}"/>
    <cellStyle name="Comma 2 2 2 2 2 2 2 3" xfId="3751" xr:uid="{00000000-0005-0000-0000-00007C090000}"/>
    <cellStyle name="Comma 2 2 2 2 2 2 2 4" xfId="3732" xr:uid="{00000000-0005-0000-0000-00007D090000}"/>
    <cellStyle name="Comma 2 2 2 2 2 2 3" xfId="3665" xr:uid="{00000000-0005-0000-0000-00007E090000}"/>
    <cellStyle name="Comma 2 2 2 2 2 2 4" xfId="3682" xr:uid="{00000000-0005-0000-0000-00007F090000}"/>
    <cellStyle name="Comma 2 2 2 2 2 2 5" xfId="3722" xr:uid="{00000000-0005-0000-0000-000080090000}"/>
    <cellStyle name="Comma 2 2 2 2 2 2 5 2" xfId="3766" xr:uid="{00000000-0005-0000-0000-000081090000}"/>
    <cellStyle name="Comma 2 2 2 2 2 2 5 3" xfId="3783" xr:uid="{00000000-0005-0000-0000-000082090000}"/>
    <cellStyle name="Comma 2 2 2 2 2 2 6" xfId="3784" xr:uid="{00000000-0005-0000-0000-000083090000}"/>
    <cellStyle name="Comma 2 2 2 2 2 3" xfId="3664" xr:uid="{00000000-0005-0000-0000-000084090000}"/>
    <cellStyle name="Comma 2 2 2 2 2 3 2" xfId="3754" xr:uid="{00000000-0005-0000-0000-000085090000}"/>
    <cellStyle name="Comma 2 2 2 2 2 3 2 2" xfId="3797" xr:uid="{00000000-0005-0000-0000-000086090000}"/>
    <cellStyle name="Comma 2 2 2 2 2 3 2 3" xfId="3845" xr:uid="{00000000-0005-0000-0000-000087090000}"/>
    <cellStyle name="Comma 2 2 2 2 2 3 3" xfId="3804" xr:uid="{00000000-0005-0000-0000-000088090000}"/>
    <cellStyle name="Comma 2 2 2 2 2 3 4" xfId="3772" xr:uid="{00000000-0005-0000-0000-000089090000}"/>
    <cellStyle name="Comma 2 2 2 2 2 4" xfId="3681" xr:uid="{00000000-0005-0000-0000-00008A090000}"/>
    <cellStyle name="Comma 2 2 2 2 2 5" xfId="3721" xr:uid="{00000000-0005-0000-0000-00008B090000}"/>
    <cellStyle name="Comma 2 2 2 2 2 5 2" xfId="3757" xr:uid="{00000000-0005-0000-0000-00008C090000}"/>
    <cellStyle name="Comma 2 2 2 2 2 5 3" xfId="3785" xr:uid="{00000000-0005-0000-0000-00008D090000}"/>
    <cellStyle name="Comma 2 2 2 2 2 6" xfId="3727" xr:uid="{00000000-0005-0000-0000-00008E090000}"/>
    <cellStyle name="Comma 2 2 2 2 3" xfId="959" xr:uid="{00000000-0005-0000-0000-00008F090000}"/>
    <cellStyle name="Comma 2 2 2 2 4" xfId="1174" xr:uid="{00000000-0005-0000-0000-000090090000}"/>
    <cellStyle name="Comma 2 2 2 2 5" xfId="1563" xr:uid="{00000000-0005-0000-0000-000091090000}"/>
    <cellStyle name="Comma 2 2 2 2 6" xfId="3659" xr:uid="{00000000-0005-0000-0000-000092090000}"/>
    <cellStyle name="Comma 2 2 2 2 6 2" xfId="3753" xr:uid="{00000000-0005-0000-0000-000093090000}"/>
    <cellStyle name="Comma 2 2 2 2 6 2 2" xfId="3796" xr:uid="{00000000-0005-0000-0000-000094090000}"/>
    <cellStyle name="Comma 2 2 2 2 6 2 3" xfId="3844" xr:uid="{00000000-0005-0000-0000-000095090000}"/>
    <cellStyle name="Comma 2 2 2 2 6 3" xfId="3803" xr:uid="{00000000-0005-0000-0000-000096090000}"/>
    <cellStyle name="Comma 2 2 2 2 6 4" xfId="3706" xr:uid="{00000000-0005-0000-0000-000097090000}"/>
    <cellStyle name="Comma 2 2 2 2 7" xfId="3680" xr:uid="{00000000-0005-0000-0000-000098090000}"/>
    <cellStyle name="Comma 2 2 2 2 8" xfId="3709" xr:uid="{00000000-0005-0000-0000-000099090000}"/>
    <cellStyle name="Comma 2 2 2 2 8 2" xfId="3765" xr:uid="{00000000-0005-0000-0000-00009A090000}"/>
    <cellStyle name="Comma 2 2 2 2 8 3" xfId="3738" xr:uid="{00000000-0005-0000-0000-00009B090000}"/>
    <cellStyle name="Comma 2 2 2 2 9" xfId="3724" xr:uid="{00000000-0005-0000-0000-00009C090000}"/>
    <cellStyle name="Comma 2 2 2 3" xfId="541" xr:uid="{00000000-0005-0000-0000-00009D090000}"/>
    <cellStyle name="Comma 2 2 2 3 2" xfId="958" xr:uid="{00000000-0005-0000-0000-00009E090000}"/>
    <cellStyle name="Comma 2 2 2 4" xfId="1158" xr:uid="{00000000-0005-0000-0000-00009F090000}"/>
    <cellStyle name="Comma 2 2 2 5" xfId="1547" xr:uid="{00000000-0005-0000-0000-0000A0090000}"/>
    <cellStyle name="Comma 2 2 2 6" xfId="3658" xr:uid="{00000000-0005-0000-0000-0000A1090000}"/>
    <cellStyle name="Comma 2 2 2 6 2" xfId="3747" xr:uid="{00000000-0005-0000-0000-0000A2090000}"/>
    <cellStyle name="Comma 2 2 2 6 2 2" xfId="3795" xr:uid="{00000000-0005-0000-0000-0000A3090000}"/>
    <cellStyle name="Comma 2 2 2 6 2 3" xfId="3843" xr:uid="{00000000-0005-0000-0000-0000A4090000}"/>
    <cellStyle name="Comma 2 2 2 6 3" xfId="3802" xr:uid="{00000000-0005-0000-0000-0000A5090000}"/>
    <cellStyle name="Comma 2 2 2 6 4" xfId="3739" xr:uid="{00000000-0005-0000-0000-0000A6090000}"/>
    <cellStyle name="Comma 2 2 2 7" xfId="3679" xr:uid="{00000000-0005-0000-0000-0000A7090000}"/>
    <cellStyle name="Comma 2 2 2 8" xfId="3708" xr:uid="{00000000-0005-0000-0000-0000A8090000}"/>
    <cellStyle name="Comma 2 2 2 8 2" xfId="3749" xr:uid="{00000000-0005-0000-0000-0000A9090000}"/>
    <cellStyle name="Comma 2 2 2 8 3" xfId="3730" xr:uid="{00000000-0005-0000-0000-0000AA090000}"/>
    <cellStyle name="Comma 2 2 2 9" xfId="3771" xr:uid="{00000000-0005-0000-0000-0000AB090000}"/>
    <cellStyle name="Comma 2 2 3" xfId="510" xr:uid="{00000000-0005-0000-0000-0000AC090000}"/>
    <cellStyle name="Comma 2 2 3 2" xfId="934" xr:uid="{00000000-0005-0000-0000-0000AD090000}"/>
    <cellStyle name="Comma 2 2 3 3" xfId="2307" xr:uid="{00000000-0005-0000-0000-0000AE090000}"/>
    <cellStyle name="Comma 2 2 4" xfId="970" xr:uid="{00000000-0005-0000-0000-0000AF090000}"/>
    <cellStyle name="Comma 2 2 5" xfId="1356" xr:uid="{00000000-0005-0000-0000-0000B0090000}"/>
    <cellStyle name="Comma 2 2 6" xfId="3649" xr:uid="{00000000-0005-0000-0000-0000B1090000}"/>
    <cellStyle name="Comma 2 2 6 2" xfId="3746" xr:uid="{00000000-0005-0000-0000-0000B2090000}"/>
    <cellStyle name="Comma 2 2 6 2 2" xfId="3794" xr:uid="{00000000-0005-0000-0000-0000B3090000}"/>
    <cellStyle name="Comma 2 2 6 2 3" xfId="3842" xr:uid="{00000000-0005-0000-0000-0000B4090000}"/>
    <cellStyle name="Comma 2 2 6 3" xfId="3801" xr:uid="{00000000-0005-0000-0000-0000B5090000}"/>
    <cellStyle name="Comma 2 2 6 4" xfId="3791" xr:uid="{00000000-0005-0000-0000-0000B6090000}"/>
    <cellStyle name="Comma 2 2 7" xfId="3675" xr:uid="{00000000-0005-0000-0000-0000B7090000}"/>
    <cellStyle name="Comma 2 2 8" xfId="3690" xr:uid="{00000000-0005-0000-0000-0000B8090000}"/>
    <cellStyle name="Comma 2 2 8 2" xfId="3756" xr:uid="{00000000-0005-0000-0000-0000B9090000}"/>
    <cellStyle name="Comma 2 2 8 3" xfId="3741" xr:uid="{00000000-0005-0000-0000-0000BA090000}"/>
    <cellStyle name="Comma 2 2 9" xfId="3790" xr:uid="{00000000-0005-0000-0000-0000BB090000}"/>
    <cellStyle name="Comma 2 3" xfId="501" xr:uid="{00000000-0005-0000-0000-0000BC090000}"/>
    <cellStyle name="Comma 2 3 2" xfId="524" xr:uid="{00000000-0005-0000-0000-0000BD090000}"/>
    <cellStyle name="Comma 2 3 3" xfId="2302" xr:uid="{00000000-0005-0000-0000-0000BE090000}"/>
    <cellStyle name="Comma 2 4" xfId="931" xr:uid="{00000000-0005-0000-0000-0000BF090000}"/>
    <cellStyle name="Comma 2 5" xfId="912" xr:uid="{00000000-0005-0000-0000-0000C0090000}"/>
    <cellStyle name="Comma 2 6" xfId="890" xr:uid="{00000000-0005-0000-0000-0000C1090000}"/>
    <cellStyle name="Comma 2 7" xfId="1409" xr:uid="{00000000-0005-0000-0000-0000C2090000}"/>
    <cellStyle name="Comma 2 8" xfId="1908" xr:uid="{00000000-0005-0000-0000-0000C3090000}"/>
    <cellStyle name="Comma 2 9" xfId="3647" xr:uid="{00000000-0005-0000-0000-0000C4090000}"/>
    <cellStyle name="Comma 3" xfId="31" xr:uid="{00000000-0005-0000-0000-0000C5090000}"/>
    <cellStyle name="Comma 3 2" xfId="277" xr:uid="{00000000-0005-0000-0000-0000C6090000}"/>
    <cellStyle name="Comma 3 2 2" xfId="682" xr:uid="{00000000-0005-0000-0000-0000C7090000}"/>
    <cellStyle name="Comma 3 2 2 2" xfId="2473" xr:uid="{00000000-0005-0000-0000-0000C8090000}"/>
    <cellStyle name="Comma 3 2 3" xfId="1328" xr:uid="{00000000-0005-0000-0000-0000C9090000}"/>
    <cellStyle name="Comma 3 2 3 2" xfId="3097" xr:uid="{00000000-0005-0000-0000-0000CA090000}"/>
    <cellStyle name="Comma 3 2 4" xfId="1717" xr:uid="{00000000-0005-0000-0000-0000CB090000}"/>
    <cellStyle name="Comma 3 2 4 2" xfId="3473" xr:uid="{00000000-0005-0000-0000-0000CC090000}"/>
    <cellStyle name="Comma 3 2 5" xfId="2274" xr:uid="{00000000-0005-0000-0000-0000CD090000}"/>
    <cellStyle name="Comma 3 3" xfId="506" xr:uid="{00000000-0005-0000-0000-0000CE090000}"/>
    <cellStyle name="Comma 3 3 2" xfId="2305" xr:uid="{00000000-0005-0000-0000-0000CF090000}"/>
    <cellStyle name="Comma 3 4" xfId="1130" xr:uid="{00000000-0005-0000-0000-0000D0090000}"/>
    <cellStyle name="Comma 3 4 2" xfId="2901" xr:uid="{00000000-0005-0000-0000-0000D1090000}"/>
    <cellStyle name="Comma 3 5" xfId="1518" xr:uid="{00000000-0005-0000-0000-0000D2090000}"/>
    <cellStyle name="Comma 3 5 2" xfId="3278" xr:uid="{00000000-0005-0000-0000-0000D3090000}"/>
    <cellStyle name="Comma 3 6" xfId="2079" xr:uid="{00000000-0005-0000-0000-0000D4090000}"/>
    <cellStyle name="Comma 3 7" xfId="3707" xr:uid="{00000000-0005-0000-0000-0000D5090000}"/>
    <cellStyle name="Comma 3 8" xfId="3719" xr:uid="{00000000-0005-0000-0000-0000D6090000}"/>
    <cellStyle name="Comma 4" xfId="3859" xr:uid="{03AC5CDA-9780-4A24-BBA5-41F4AB13C849}"/>
    <cellStyle name="Comma 4 3 2" xfId="3850" xr:uid="{00000000-0005-0000-0000-0000D7090000}"/>
    <cellStyle name="Comma 5" xfId="3860" xr:uid="{B00D59BB-4ED6-4190-9BA4-E58005AD6DCF}"/>
    <cellStyle name="Currency" xfId="32" builtinId="4"/>
    <cellStyle name="Currency [0] 2" xfId="3856" xr:uid="{EF2E261F-78CB-46BD-890B-B5F6CBFA4F80}"/>
    <cellStyle name="Currency 2" xfId="33" xr:uid="{00000000-0005-0000-0000-0000D9090000}"/>
    <cellStyle name="Currency 2 10" xfId="267" xr:uid="{00000000-0005-0000-0000-0000DA090000}"/>
    <cellStyle name="Currency 2 10 2" xfId="465" xr:uid="{00000000-0005-0000-0000-0000DB090000}"/>
    <cellStyle name="Currency 2 10 2 2" xfId="868" xr:uid="{00000000-0005-0000-0000-0000DC090000}"/>
    <cellStyle name="Currency 2 10 2 2 2" xfId="2658" xr:uid="{00000000-0005-0000-0000-0000DD090000}"/>
    <cellStyle name="Currency 2 10 2 3" xfId="1319" xr:uid="{00000000-0005-0000-0000-0000DE090000}"/>
    <cellStyle name="Currency 2 10 2 3 2" xfId="3088" xr:uid="{00000000-0005-0000-0000-0000DF090000}"/>
    <cellStyle name="Currency 2 10 2 4" xfId="1708" xr:uid="{00000000-0005-0000-0000-0000E0090000}"/>
    <cellStyle name="Currency 2 10 2 4 2" xfId="3465" xr:uid="{00000000-0005-0000-0000-0000E1090000}"/>
    <cellStyle name="Currency 2 10 2 5" xfId="2266" xr:uid="{00000000-0005-0000-0000-0000E2090000}"/>
    <cellStyle name="Currency 2 10 3" xfId="674" xr:uid="{00000000-0005-0000-0000-0000E3090000}"/>
    <cellStyle name="Currency 2 10 3 2" xfId="2465" xr:uid="{00000000-0005-0000-0000-0000E4090000}"/>
    <cellStyle name="Currency 2 10 4" xfId="1121" xr:uid="{00000000-0005-0000-0000-0000E5090000}"/>
    <cellStyle name="Currency 2 10 4 2" xfId="2891" xr:uid="{00000000-0005-0000-0000-0000E6090000}"/>
    <cellStyle name="Currency 2 10 5" xfId="1508" xr:uid="{00000000-0005-0000-0000-0000E7090000}"/>
    <cellStyle name="Currency 2 10 5 2" xfId="3268" xr:uid="{00000000-0005-0000-0000-0000E8090000}"/>
    <cellStyle name="Currency 2 10 6" xfId="1875" xr:uid="{00000000-0005-0000-0000-0000E9090000}"/>
    <cellStyle name="Currency 2 10 6 2" xfId="3627" xr:uid="{00000000-0005-0000-0000-0000EA090000}"/>
    <cellStyle name="Currency 2 10 7" xfId="2070" xr:uid="{00000000-0005-0000-0000-0000EB090000}"/>
    <cellStyle name="Currency 2 11" xfId="953" xr:uid="{00000000-0005-0000-0000-0000EC090000}"/>
    <cellStyle name="Currency 2 11 2" xfId="2731" xr:uid="{00000000-0005-0000-0000-0000ED090000}"/>
    <cellStyle name="Currency 2 12" xfId="3657" xr:uid="{00000000-0005-0000-0000-0000EE090000}"/>
    <cellStyle name="Currency 2 2" xfId="91" xr:uid="{00000000-0005-0000-0000-0000EF090000}"/>
    <cellStyle name="Currency 2 2 2" xfId="110" xr:uid="{00000000-0005-0000-0000-0000F0090000}"/>
    <cellStyle name="Currency 2 2 2 2" xfId="116" xr:uid="{00000000-0005-0000-0000-0000F1090000}"/>
    <cellStyle name="Currency 2 2 2 2 2" xfId="322" xr:uid="{00000000-0005-0000-0000-0000F2090000}"/>
    <cellStyle name="Currency 2 2 2 2 2 2" xfId="329" xr:uid="{00000000-0005-0000-0000-0000F3090000}"/>
    <cellStyle name="Currency 2 2 2 2 2 2 2" xfId="2122" xr:uid="{00000000-0005-0000-0000-0000F4090000}"/>
    <cellStyle name="Currency 2 2 2 2 2 2 2 2" xfId="2129" xr:uid="{00000000-0005-0000-0000-0000F5090000}"/>
    <cellStyle name="Currency 2 2 2 2 2 2 2 2 2" xfId="3847" xr:uid="{00000000-0005-0000-0000-0000F6090000}"/>
    <cellStyle name="Currency 2 2 2 2 2 2 2 3" xfId="3668" xr:uid="{00000000-0005-0000-0000-0000F7090000}"/>
    <cellStyle name="Currency 2 2 2 2 2 2 3" xfId="3667" xr:uid="{00000000-0005-0000-0000-0000F8090000}"/>
    <cellStyle name="Currency 2 2 2 2 2 3" xfId="3661" xr:uid="{00000000-0005-0000-0000-0000F9090000}"/>
    <cellStyle name="Currency 2 2 2 2 3" xfId="726" xr:uid="{00000000-0005-0000-0000-0000FA090000}"/>
    <cellStyle name="Currency 2 2 2 2 3 2" xfId="2516" xr:uid="{00000000-0005-0000-0000-0000FB090000}"/>
    <cellStyle name="Currency 2 2 2 2 4" xfId="1175" xr:uid="{00000000-0005-0000-0000-0000FC090000}"/>
    <cellStyle name="Currency 2 2 2 2 4 2" xfId="2944" xr:uid="{00000000-0005-0000-0000-0000FD090000}"/>
    <cellStyle name="Currency 2 2 2 2 5" xfId="1564" xr:uid="{00000000-0005-0000-0000-0000FE090000}"/>
    <cellStyle name="Currency 2 2 2 2 5 2" xfId="3322" xr:uid="{00000000-0005-0000-0000-0000FF090000}"/>
    <cellStyle name="Currency 2 2 2 2 6" xfId="1933" xr:uid="{00000000-0005-0000-0000-0000000A0000}"/>
    <cellStyle name="Currency 2 2 2 2 7" xfId="3660" xr:uid="{00000000-0005-0000-0000-0000010A0000}"/>
    <cellStyle name="Currency 2 2 2 3" xfId="1924" xr:uid="{00000000-0005-0000-0000-0000020A0000}"/>
    <cellStyle name="Currency 2 2 2 4" xfId="3655" xr:uid="{00000000-0005-0000-0000-0000030A0000}"/>
    <cellStyle name="Currency 2 2 3" xfId="472" xr:uid="{00000000-0005-0000-0000-0000040A0000}"/>
    <cellStyle name="Currency 2 2 4" xfId="542" xr:uid="{00000000-0005-0000-0000-0000050A0000}"/>
    <cellStyle name="Currency 2 2 4 2" xfId="2335" xr:uid="{00000000-0005-0000-0000-0000060A0000}"/>
    <cellStyle name="Currency 2 2 5" xfId="971" xr:uid="{00000000-0005-0000-0000-0000070A0000}"/>
    <cellStyle name="Currency 2 2 5 2" xfId="2746" xr:uid="{00000000-0005-0000-0000-0000080A0000}"/>
    <cellStyle name="Currency 2 2 6" xfId="1357" xr:uid="{00000000-0005-0000-0000-0000090A0000}"/>
    <cellStyle name="Currency 2 2 6 2" xfId="3124" xr:uid="{00000000-0005-0000-0000-00000A0A0000}"/>
    <cellStyle name="Currency 2 2 7" xfId="1734" xr:uid="{00000000-0005-0000-0000-00000B0A0000}"/>
    <cellStyle name="Currency 2 2 8" xfId="2077" xr:uid="{00000000-0005-0000-0000-00000C0A0000}"/>
    <cellStyle name="Currency 2 2 9" xfId="3650" xr:uid="{00000000-0005-0000-0000-00000D0A0000}"/>
    <cellStyle name="Currency 2 3" xfId="275" xr:uid="{00000000-0005-0000-0000-00000E0A0000}"/>
    <cellStyle name="Currency 2 3 10" xfId="3703" xr:uid="{00000000-0005-0000-0000-00000F0A0000}"/>
    <cellStyle name="Currency 2 3 10 2" xfId="3761" xr:uid="{00000000-0005-0000-0000-0000100A0000}"/>
    <cellStyle name="Currency 2 3 10 3" xfId="3778" xr:uid="{00000000-0005-0000-0000-0000110A0000}"/>
    <cellStyle name="Currency 2 3 11" xfId="3704" xr:uid="{00000000-0005-0000-0000-0000120A0000}"/>
    <cellStyle name="Currency 2 3 2" xfId="143" xr:uid="{00000000-0005-0000-0000-0000130A0000}"/>
    <cellStyle name="Currency 2 3 2 2" xfId="749" xr:uid="{00000000-0005-0000-0000-0000140A0000}"/>
    <cellStyle name="Currency 2 3 2 2 2" xfId="2539" xr:uid="{00000000-0005-0000-0000-0000150A0000}"/>
    <cellStyle name="Currency 2 3 2 3" xfId="1200" xr:uid="{00000000-0005-0000-0000-0000160A0000}"/>
    <cellStyle name="Currency 2 3 2 3 2" xfId="2969" xr:uid="{00000000-0005-0000-0000-0000170A0000}"/>
    <cellStyle name="Currency 2 3 2 4" xfId="1589" xr:uid="{00000000-0005-0000-0000-0000180A0000}"/>
    <cellStyle name="Currency 2 3 2 4 2" xfId="3346" xr:uid="{00000000-0005-0000-0000-0000190A0000}"/>
    <cellStyle name="Currency 2 3 2 5" xfId="2147" xr:uid="{00000000-0005-0000-0000-00001A0A0000}"/>
    <cellStyle name="Currency 2 3 3" xfId="557" xr:uid="{00000000-0005-0000-0000-00001B0A0000}"/>
    <cellStyle name="Currency 2 3 3 2" xfId="2348" xr:uid="{00000000-0005-0000-0000-00001C0A0000}"/>
    <cellStyle name="Currency 2 3 4" xfId="1002" xr:uid="{00000000-0005-0000-0000-00001D0A0000}"/>
    <cellStyle name="Currency 2 3 4 2" xfId="2772" xr:uid="{00000000-0005-0000-0000-00001E0A0000}"/>
    <cellStyle name="Currency 2 3 5" xfId="1388" xr:uid="{00000000-0005-0000-0000-00001F0A0000}"/>
    <cellStyle name="Currency 2 3 5 2" xfId="3149" xr:uid="{00000000-0005-0000-0000-0000200A0000}"/>
    <cellStyle name="Currency 2 3 6" xfId="1754" xr:uid="{00000000-0005-0000-0000-0000210A0000}"/>
    <cellStyle name="Currency 2 3 6 2" xfId="3506" xr:uid="{00000000-0005-0000-0000-0000220A0000}"/>
    <cellStyle name="Currency 2 3 7" xfId="1951" xr:uid="{00000000-0005-0000-0000-0000230A0000}"/>
    <cellStyle name="Currency 2 3 7 2" xfId="3752" xr:uid="{00000000-0005-0000-0000-0000240A0000}"/>
    <cellStyle name="Currency 2 3 7 2 2" xfId="3770" xr:uid="{00000000-0005-0000-0000-0000250A0000}"/>
    <cellStyle name="Currency 2 3 7 2 3" xfId="3711" xr:uid="{00000000-0005-0000-0000-0000260A0000}"/>
    <cellStyle name="Currency 2 3 7 3" xfId="3800" xr:uid="{00000000-0005-0000-0000-0000270A0000}"/>
    <cellStyle name="Currency 2 3 7 4" xfId="3713" xr:uid="{00000000-0005-0000-0000-0000280A0000}"/>
    <cellStyle name="Currency 2 3 8" xfId="3656" xr:uid="{00000000-0005-0000-0000-0000290A0000}"/>
    <cellStyle name="Currency 2 3 9" xfId="3678" xr:uid="{00000000-0005-0000-0000-00002A0A0000}"/>
    <cellStyle name="Currency 2 4" xfId="144" xr:uid="{00000000-0005-0000-0000-00002B0A0000}"/>
    <cellStyle name="Currency 2 4 2" xfId="347" xr:uid="{00000000-0005-0000-0000-00002C0A0000}"/>
    <cellStyle name="Currency 2 4 2 2" xfId="750" xr:uid="{00000000-0005-0000-0000-00002D0A0000}"/>
    <cellStyle name="Currency 2 4 2 2 2" xfId="2540" xr:uid="{00000000-0005-0000-0000-00002E0A0000}"/>
    <cellStyle name="Currency 2 4 2 3" xfId="1201" xr:uid="{00000000-0005-0000-0000-00002F0A0000}"/>
    <cellStyle name="Currency 2 4 2 3 2" xfId="2970" xr:uid="{00000000-0005-0000-0000-0000300A0000}"/>
    <cellStyle name="Currency 2 4 2 4" xfId="1590" xr:uid="{00000000-0005-0000-0000-0000310A0000}"/>
    <cellStyle name="Currency 2 4 2 4 2" xfId="3347" xr:uid="{00000000-0005-0000-0000-0000320A0000}"/>
    <cellStyle name="Currency 2 4 2 5" xfId="2148" xr:uid="{00000000-0005-0000-0000-0000330A0000}"/>
    <cellStyle name="Currency 2 4 3" xfId="558" xr:uid="{00000000-0005-0000-0000-0000340A0000}"/>
    <cellStyle name="Currency 2 4 3 2" xfId="2349" xr:uid="{00000000-0005-0000-0000-0000350A0000}"/>
    <cellStyle name="Currency 2 4 4" xfId="1003" xr:uid="{00000000-0005-0000-0000-0000360A0000}"/>
    <cellStyle name="Currency 2 4 4 2" xfId="2773" xr:uid="{00000000-0005-0000-0000-0000370A0000}"/>
    <cellStyle name="Currency 2 4 5" xfId="1389" xr:uid="{00000000-0005-0000-0000-0000380A0000}"/>
    <cellStyle name="Currency 2 4 5 2" xfId="3150" xr:uid="{00000000-0005-0000-0000-0000390A0000}"/>
    <cellStyle name="Currency 2 4 6" xfId="1755" xr:uid="{00000000-0005-0000-0000-00003A0A0000}"/>
    <cellStyle name="Currency 2 4 6 2" xfId="3507" xr:uid="{00000000-0005-0000-0000-00003B0A0000}"/>
    <cellStyle name="Currency 2 4 7" xfId="1952" xr:uid="{00000000-0005-0000-0000-00003C0A0000}"/>
    <cellStyle name="Currency 2 5" xfId="142" xr:uid="{00000000-0005-0000-0000-00003D0A0000}"/>
    <cellStyle name="Currency 2 5 2" xfId="346" xr:uid="{00000000-0005-0000-0000-00003E0A0000}"/>
    <cellStyle name="Currency 2 5 2 2" xfId="748" xr:uid="{00000000-0005-0000-0000-00003F0A0000}"/>
    <cellStyle name="Currency 2 5 2 2 2" xfId="2538" xr:uid="{00000000-0005-0000-0000-0000400A0000}"/>
    <cellStyle name="Currency 2 5 2 3" xfId="1199" xr:uid="{00000000-0005-0000-0000-0000410A0000}"/>
    <cellStyle name="Currency 2 5 2 3 2" xfId="2968" xr:uid="{00000000-0005-0000-0000-0000420A0000}"/>
    <cellStyle name="Currency 2 5 2 4" xfId="1588" xr:uid="{00000000-0005-0000-0000-0000430A0000}"/>
    <cellStyle name="Currency 2 5 2 4 2" xfId="3345" xr:uid="{00000000-0005-0000-0000-0000440A0000}"/>
    <cellStyle name="Currency 2 5 2 5" xfId="2146" xr:uid="{00000000-0005-0000-0000-0000450A0000}"/>
    <cellStyle name="Currency 2 5 3" xfId="556" xr:uid="{00000000-0005-0000-0000-0000460A0000}"/>
    <cellStyle name="Currency 2 5 3 2" xfId="2347" xr:uid="{00000000-0005-0000-0000-0000470A0000}"/>
    <cellStyle name="Currency 2 5 4" xfId="1001" xr:uid="{00000000-0005-0000-0000-0000480A0000}"/>
    <cellStyle name="Currency 2 5 4 2" xfId="2771" xr:uid="{00000000-0005-0000-0000-0000490A0000}"/>
    <cellStyle name="Currency 2 5 5" xfId="1387" xr:uid="{00000000-0005-0000-0000-00004A0A0000}"/>
    <cellStyle name="Currency 2 5 5 2" xfId="3148" xr:uid="{00000000-0005-0000-0000-00004B0A0000}"/>
    <cellStyle name="Currency 2 5 6" xfId="1753" xr:uid="{00000000-0005-0000-0000-00004C0A0000}"/>
    <cellStyle name="Currency 2 5 6 2" xfId="3505" xr:uid="{00000000-0005-0000-0000-00004D0A0000}"/>
    <cellStyle name="Currency 2 5 7" xfId="1950" xr:uid="{00000000-0005-0000-0000-00004E0A0000}"/>
    <cellStyle name="Currency 2 6" xfId="145" xr:uid="{00000000-0005-0000-0000-00004F0A0000}"/>
    <cellStyle name="Currency 2 6 2" xfId="348" xr:uid="{00000000-0005-0000-0000-0000500A0000}"/>
    <cellStyle name="Currency 2 6 2 2" xfId="751" xr:uid="{00000000-0005-0000-0000-0000510A0000}"/>
    <cellStyle name="Currency 2 6 2 2 2" xfId="2541" xr:uid="{00000000-0005-0000-0000-0000520A0000}"/>
    <cellStyle name="Currency 2 6 2 3" xfId="1202" xr:uid="{00000000-0005-0000-0000-0000530A0000}"/>
    <cellStyle name="Currency 2 6 2 3 2" xfId="2971" xr:uid="{00000000-0005-0000-0000-0000540A0000}"/>
    <cellStyle name="Currency 2 6 2 4" xfId="1591" xr:uid="{00000000-0005-0000-0000-0000550A0000}"/>
    <cellStyle name="Currency 2 6 2 4 2" xfId="3348" xr:uid="{00000000-0005-0000-0000-0000560A0000}"/>
    <cellStyle name="Currency 2 6 2 5" xfId="2149" xr:uid="{00000000-0005-0000-0000-0000570A0000}"/>
    <cellStyle name="Currency 2 6 3" xfId="559" xr:uid="{00000000-0005-0000-0000-0000580A0000}"/>
    <cellStyle name="Currency 2 6 3 2" xfId="2350" xr:uid="{00000000-0005-0000-0000-0000590A0000}"/>
    <cellStyle name="Currency 2 6 4" xfId="1004" xr:uid="{00000000-0005-0000-0000-00005A0A0000}"/>
    <cellStyle name="Currency 2 6 4 2" xfId="2774" xr:uid="{00000000-0005-0000-0000-00005B0A0000}"/>
    <cellStyle name="Currency 2 6 5" xfId="1390" xr:uid="{00000000-0005-0000-0000-00005C0A0000}"/>
    <cellStyle name="Currency 2 6 5 2" xfId="3151" xr:uid="{00000000-0005-0000-0000-00005D0A0000}"/>
    <cellStyle name="Currency 2 6 6" xfId="1756" xr:uid="{00000000-0005-0000-0000-00005E0A0000}"/>
    <cellStyle name="Currency 2 6 6 2" xfId="3508" xr:uid="{00000000-0005-0000-0000-00005F0A0000}"/>
    <cellStyle name="Currency 2 6 7" xfId="1953" xr:uid="{00000000-0005-0000-0000-0000600A0000}"/>
    <cellStyle name="Currency 2 7" xfId="141" xr:uid="{00000000-0005-0000-0000-0000610A0000}"/>
    <cellStyle name="Currency 2 7 2" xfId="345" xr:uid="{00000000-0005-0000-0000-0000620A0000}"/>
    <cellStyle name="Currency 2 7 2 2" xfId="747" xr:uid="{00000000-0005-0000-0000-0000630A0000}"/>
    <cellStyle name="Currency 2 7 2 2 2" xfId="2537" xr:uid="{00000000-0005-0000-0000-0000640A0000}"/>
    <cellStyle name="Currency 2 7 2 3" xfId="1198" xr:uid="{00000000-0005-0000-0000-0000650A0000}"/>
    <cellStyle name="Currency 2 7 2 3 2" xfId="2967" xr:uid="{00000000-0005-0000-0000-0000660A0000}"/>
    <cellStyle name="Currency 2 7 2 4" xfId="1587" xr:uid="{00000000-0005-0000-0000-0000670A0000}"/>
    <cellStyle name="Currency 2 7 2 4 2" xfId="3344" xr:uid="{00000000-0005-0000-0000-0000680A0000}"/>
    <cellStyle name="Currency 2 7 2 5" xfId="2145" xr:uid="{00000000-0005-0000-0000-0000690A0000}"/>
    <cellStyle name="Currency 2 7 3" xfId="555" xr:uid="{00000000-0005-0000-0000-00006A0A0000}"/>
    <cellStyle name="Currency 2 7 3 2" xfId="2346" xr:uid="{00000000-0005-0000-0000-00006B0A0000}"/>
    <cellStyle name="Currency 2 7 4" xfId="1000" xr:uid="{00000000-0005-0000-0000-00006C0A0000}"/>
    <cellStyle name="Currency 2 7 4 2" xfId="2770" xr:uid="{00000000-0005-0000-0000-00006D0A0000}"/>
    <cellStyle name="Currency 2 7 5" xfId="1386" xr:uid="{00000000-0005-0000-0000-00006E0A0000}"/>
    <cellStyle name="Currency 2 7 5 2" xfId="3147" xr:uid="{00000000-0005-0000-0000-00006F0A0000}"/>
    <cellStyle name="Currency 2 7 6" xfId="1752" xr:uid="{00000000-0005-0000-0000-0000700A0000}"/>
    <cellStyle name="Currency 2 7 6 2" xfId="3504" xr:uid="{00000000-0005-0000-0000-0000710A0000}"/>
    <cellStyle name="Currency 2 7 7" xfId="1949" xr:uid="{00000000-0005-0000-0000-0000720A0000}"/>
    <cellStyle name="Currency 2 8" xfId="229" xr:uid="{00000000-0005-0000-0000-0000730A0000}"/>
    <cellStyle name="Currency 2 8 2" xfId="429" xr:uid="{00000000-0005-0000-0000-0000740A0000}"/>
    <cellStyle name="Currency 2 8 2 2" xfId="832" xr:uid="{00000000-0005-0000-0000-0000750A0000}"/>
    <cellStyle name="Currency 2 8 2 2 2" xfId="2622" xr:uid="{00000000-0005-0000-0000-0000760A0000}"/>
    <cellStyle name="Currency 2 8 2 3" xfId="1283" xr:uid="{00000000-0005-0000-0000-0000770A0000}"/>
    <cellStyle name="Currency 2 8 2 3 2" xfId="3052" xr:uid="{00000000-0005-0000-0000-0000780A0000}"/>
    <cellStyle name="Currency 2 8 2 4" xfId="1672" xr:uid="{00000000-0005-0000-0000-0000790A0000}"/>
    <cellStyle name="Currency 2 8 2 4 2" xfId="3429" xr:uid="{00000000-0005-0000-0000-00007A0A0000}"/>
    <cellStyle name="Currency 2 8 2 5" xfId="2230" xr:uid="{00000000-0005-0000-0000-00007B0A0000}"/>
    <cellStyle name="Currency 2 8 3" xfId="638" xr:uid="{00000000-0005-0000-0000-00007C0A0000}"/>
    <cellStyle name="Currency 2 8 3 2" xfId="2429" xr:uid="{00000000-0005-0000-0000-00007D0A0000}"/>
    <cellStyle name="Currency 2 8 4" xfId="1085" xr:uid="{00000000-0005-0000-0000-00007E0A0000}"/>
    <cellStyle name="Currency 2 8 4 2" xfId="2855" xr:uid="{00000000-0005-0000-0000-00007F0A0000}"/>
    <cellStyle name="Currency 2 8 5" xfId="1472" xr:uid="{00000000-0005-0000-0000-0000800A0000}"/>
    <cellStyle name="Currency 2 8 5 2" xfId="3232" xr:uid="{00000000-0005-0000-0000-0000810A0000}"/>
    <cellStyle name="Currency 2 8 6" xfId="1839" xr:uid="{00000000-0005-0000-0000-0000820A0000}"/>
    <cellStyle name="Currency 2 8 6 2" xfId="3591" xr:uid="{00000000-0005-0000-0000-0000830A0000}"/>
    <cellStyle name="Currency 2 8 7" xfId="2034" xr:uid="{00000000-0005-0000-0000-0000840A0000}"/>
    <cellStyle name="Currency 2 9" xfId="248" xr:uid="{00000000-0005-0000-0000-0000850A0000}"/>
    <cellStyle name="Currency 2 9 2" xfId="447" xr:uid="{00000000-0005-0000-0000-0000860A0000}"/>
    <cellStyle name="Currency 2 9 2 2" xfId="850" xr:uid="{00000000-0005-0000-0000-0000870A0000}"/>
    <cellStyle name="Currency 2 9 2 2 2" xfId="2640" xr:uid="{00000000-0005-0000-0000-0000880A0000}"/>
    <cellStyle name="Currency 2 9 2 3" xfId="1301" xr:uid="{00000000-0005-0000-0000-0000890A0000}"/>
    <cellStyle name="Currency 2 9 2 3 2" xfId="3070" xr:uid="{00000000-0005-0000-0000-00008A0A0000}"/>
    <cellStyle name="Currency 2 9 2 4" xfId="1690" xr:uid="{00000000-0005-0000-0000-00008B0A0000}"/>
    <cellStyle name="Currency 2 9 2 4 2" xfId="3447" xr:uid="{00000000-0005-0000-0000-00008C0A0000}"/>
    <cellStyle name="Currency 2 9 2 5" xfId="2248" xr:uid="{00000000-0005-0000-0000-00008D0A0000}"/>
    <cellStyle name="Currency 2 9 3" xfId="656" xr:uid="{00000000-0005-0000-0000-00008E0A0000}"/>
    <cellStyle name="Currency 2 9 3 2" xfId="2447" xr:uid="{00000000-0005-0000-0000-00008F0A0000}"/>
    <cellStyle name="Currency 2 9 4" xfId="1103" xr:uid="{00000000-0005-0000-0000-0000900A0000}"/>
    <cellStyle name="Currency 2 9 4 2" xfId="2873" xr:uid="{00000000-0005-0000-0000-0000910A0000}"/>
    <cellStyle name="Currency 2 9 5" xfId="1490" xr:uid="{00000000-0005-0000-0000-0000920A0000}"/>
    <cellStyle name="Currency 2 9 5 2" xfId="3250" xr:uid="{00000000-0005-0000-0000-0000930A0000}"/>
    <cellStyle name="Currency 2 9 6" xfId="1857" xr:uid="{00000000-0005-0000-0000-0000940A0000}"/>
    <cellStyle name="Currency 2 9 6 2" xfId="3609" xr:uid="{00000000-0005-0000-0000-0000950A0000}"/>
    <cellStyle name="Currency 2 9 7" xfId="2052" xr:uid="{00000000-0005-0000-0000-0000960A0000}"/>
    <cellStyle name="Currency 3" xfId="34" xr:uid="{00000000-0005-0000-0000-0000970A0000}"/>
    <cellStyle name="Currency 4" xfId="3855" xr:uid="{089788A5-22ED-4094-8F8A-0E71D16514D6}"/>
    <cellStyle name="Currency 5" xfId="3857" xr:uid="{AA952F49-CCFC-451A-A925-8E6C5D414D8C}"/>
    <cellStyle name="EvenBodyShade" xfId="35" xr:uid="{00000000-0005-0000-0000-0000980A0000}"/>
    <cellStyle name="EvenBodyShade 2" xfId="120" xr:uid="{00000000-0005-0000-0000-0000990A0000}"/>
    <cellStyle name="EvenBodyShade 3" xfId="3697" xr:uid="{00000000-0005-0000-0000-00009A0A0000}"/>
    <cellStyle name="EvenBodyShade 4" xfId="3720" xr:uid="{00000000-0005-0000-0000-00009B0A0000}"/>
    <cellStyle name="Explanatory Text" xfId="36" builtinId="53" customBuiltin="1"/>
    <cellStyle name="Good" xfId="37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HeadShade" xfId="42" xr:uid="{00000000-0005-0000-0000-0000A20A0000}"/>
    <cellStyle name="HeadShade 2" xfId="121" xr:uid="{00000000-0005-0000-0000-0000A30A0000}"/>
    <cellStyle name="HeadShade 3" xfId="3698" xr:uid="{00000000-0005-0000-0000-0000A40A0000}"/>
    <cellStyle name="HeadShade 4" xfId="3775" xr:uid="{00000000-0005-0000-0000-0000A50A0000}"/>
    <cellStyle name="I" xfId="43" xr:uid="{00000000-0005-0000-0000-0000A60A0000}"/>
    <cellStyle name="Input" xfId="44" builtinId="20" customBuiltin="1"/>
    <cellStyle name="Linked Cell" xfId="45" builtinId="24" customBuiltin="1"/>
    <cellStyle name="Neutral" xfId="46" builtinId="28" customBuiltin="1"/>
    <cellStyle name="Normal" xfId="0" builtinId="0"/>
    <cellStyle name="Normal 10" xfId="274" xr:uid="{00000000-0005-0000-0000-0000AB0A0000}"/>
    <cellStyle name="Normal 10 2" xfId="471" xr:uid="{00000000-0005-0000-0000-0000AC0A0000}"/>
    <cellStyle name="Normal 10 2 2" xfId="874" xr:uid="{00000000-0005-0000-0000-0000AD0A0000}"/>
    <cellStyle name="Normal 10 2 2 2" xfId="2664" xr:uid="{00000000-0005-0000-0000-0000AE0A0000}"/>
    <cellStyle name="Normal 10 2 3" xfId="1325" xr:uid="{00000000-0005-0000-0000-0000AF0A0000}"/>
    <cellStyle name="Normal 10 2 3 2" xfId="3094" xr:uid="{00000000-0005-0000-0000-0000B00A0000}"/>
    <cellStyle name="Normal 10 2 4" xfId="1714" xr:uid="{00000000-0005-0000-0000-0000B10A0000}"/>
    <cellStyle name="Normal 10 2 4 2" xfId="3471" xr:uid="{00000000-0005-0000-0000-0000B20A0000}"/>
    <cellStyle name="Normal 10 2 5" xfId="2272" xr:uid="{00000000-0005-0000-0000-0000B30A0000}"/>
    <cellStyle name="Normal 10 3" xfId="680" xr:uid="{00000000-0005-0000-0000-0000B40A0000}"/>
    <cellStyle name="Normal 10 3 2" xfId="2471" xr:uid="{00000000-0005-0000-0000-0000B50A0000}"/>
    <cellStyle name="Normal 10 4" xfId="93" xr:uid="{00000000-0005-0000-0000-0000B60A0000}"/>
    <cellStyle name="Normal 10 4 2" xfId="2898" xr:uid="{00000000-0005-0000-0000-0000B70A0000}"/>
    <cellStyle name="Normal 10 5" xfId="1515" xr:uid="{00000000-0005-0000-0000-0000B80A0000}"/>
    <cellStyle name="Normal 10 5 2" xfId="3275" xr:uid="{00000000-0005-0000-0000-0000B90A0000}"/>
    <cellStyle name="Normal 10 6" xfId="1881" xr:uid="{00000000-0005-0000-0000-0000BA0A0000}"/>
    <cellStyle name="Normal 10 6 2" xfId="3633" xr:uid="{00000000-0005-0000-0000-0000BB0A0000}"/>
    <cellStyle name="Normal 10 7" xfId="2076" xr:uid="{00000000-0005-0000-0000-0000BC0A0000}"/>
    <cellStyle name="Normal 11" xfId="163" xr:uid="{00000000-0005-0000-0000-0000BD0A0000}"/>
    <cellStyle name="Normal 12" xfId="276" xr:uid="{00000000-0005-0000-0000-0000BE0A0000}"/>
    <cellStyle name="Normal 12 2" xfId="473" xr:uid="{00000000-0005-0000-0000-0000BF0A0000}"/>
    <cellStyle name="Normal 12 2 2" xfId="875" xr:uid="{00000000-0005-0000-0000-0000C00A0000}"/>
    <cellStyle name="Normal 12 2 2 2" xfId="2665" xr:uid="{00000000-0005-0000-0000-0000C10A0000}"/>
    <cellStyle name="Normal 12 2 3" xfId="1327" xr:uid="{00000000-0005-0000-0000-0000C20A0000}"/>
    <cellStyle name="Normal 12 2 3 2" xfId="3096" xr:uid="{00000000-0005-0000-0000-0000C30A0000}"/>
    <cellStyle name="Normal 12 2 4" xfId="1716" xr:uid="{00000000-0005-0000-0000-0000C40A0000}"/>
    <cellStyle name="Normal 12 2 4 2" xfId="3472" xr:uid="{00000000-0005-0000-0000-0000C50A0000}"/>
    <cellStyle name="Normal 12 2 5" xfId="2273" xr:uid="{00000000-0005-0000-0000-0000C60A0000}"/>
    <cellStyle name="Normal 12 3" xfId="681" xr:uid="{00000000-0005-0000-0000-0000C70A0000}"/>
    <cellStyle name="Normal 12 3 2" xfId="2472" xr:uid="{00000000-0005-0000-0000-0000C80A0000}"/>
    <cellStyle name="Normal 12 4" xfId="1129" xr:uid="{00000000-0005-0000-0000-0000C90A0000}"/>
    <cellStyle name="Normal 12 4 2" xfId="2900" xr:uid="{00000000-0005-0000-0000-0000CA0A0000}"/>
    <cellStyle name="Normal 12 5" xfId="1517" xr:uid="{00000000-0005-0000-0000-0000CB0A0000}"/>
    <cellStyle name="Normal 12 5 2" xfId="3277" xr:uid="{00000000-0005-0000-0000-0000CC0A0000}"/>
    <cellStyle name="Normal 12 6" xfId="2078" xr:uid="{00000000-0005-0000-0000-0000CD0A0000}"/>
    <cellStyle name="Normal 13" xfId="278" xr:uid="{00000000-0005-0000-0000-0000CE0A0000}"/>
    <cellStyle name="Normal 13 2" xfId="292" xr:uid="{00000000-0005-0000-0000-0000CF0A0000}"/>
    <cellStyle name="Normal 13 2 2" xfId="697" xr:uid="{00000000-0005-0000-0000-0000D00A0000}"/>
    <cellStyle name="Normal 13 2 2 2" xfId="2488" xr:uid="{00000000-0005-0000-0000-0000D10A0000}"/>
    <cellStyle name="Normal 13 2 3" xfId="1145" xr:uid="{00000000-0005-0000-0000-0000D20A0000}"/>
    <cellStyle name="Normal 13 2 3 2" xfId="2916" xr:uid="{00000000-0005-0000-0000-0000D30A0000}"/>
    <cellStyle name="Normal 13 2 4" xfId="1533" xr:uid="{00000000-0005-0000-0000-0000D40A0000}"/>
    <cellStyle name="Normal 13 2 4 2" xfId="3293" xr:uid="{00000000-0005-0000-0000-0000D50A0000}"/>
    <cellStyle name="Normal 13 2 5" xfId="2094" xr:uid="{00000000-0005-0000-0000-0000D60A0000}"/>
    <cellStyle name="Normal 13 3" xfId="474" xr:uid="{00000000-0005-0000-0000-0000D70A0000}"/>
    <cellStyle name="Normal 13 3 2" xfId="876" xr:uid="{00000000-0005-0000-0000-0000D80A0000}"/>
    <cellStyle name="Normal 13 3 2 2" xfId="2666" xr:uid="{00000000-0005-0000-0000-0000D90A0000}"/>
    <cellStyle name="Normal 13 3 3" xfId="1329" xr:uid="{00000000-0005-0000-0000-0000DA0A0000}"/>
    <cellStyle name="Normal 13 3 3 2" xfId="3098" xr:uid="{00000000-0005-0000-0000-0000DB0A0000}"/>
    <cellStyle name="Normal 13 3 4" xfId="1718" xr:uid="{00000000-0005-0000-0000-0000DC0A0000}"/>
    <cellStyle name="Normal 13 3 4 2" xfId="3474" xr:uid="{00000000-0005-0000-0000-0000DD0A0000}"/>
    <cellStyle name="Normal 13 3 5" xfId="2275" xr:uid="{00000000-0005-0000-0000-0000DE0A0000}"/>
    <cellStyle name="Normal 13 4" xfId="683" xr:uid="{00000000-0005-0000-0000-0000DF0A0000}"/>
    <cellStyle name="Normal 13 4 2" xfId="2474" xr:uid="{00000000-0005-0000-0000-0000E00A0000}"/>
    <cellStyle name="Normal 13 5" xfId="1131" xr:uid="{00000000-0005-0000-0000-0000E10A0000}"/>
    <cellStyle name="Normal 13 5 2" xfId="2902" xr:uid="{00000000-0005-0000-0000-0000E20A0000}"/>
    <cellStyle name="Normal 13 6" xfId="1519" xr:uid="{00000000-0005-0000-0000-0000E30A0000}"/>
    <cellStyle name="Normal 13 6 2" xfId="3279" xr:uid="{00000000-0005-0000-0000-0000E40A0000}"/>
    <cellStyle name="Normal 13 7" xfId="2080" xr:uid="{00000000-0005-0000-0000-0000E50A0000}"/>
    <cellStyle name="Normal 14" xfId="214" xr:uid="{00000000-0005-0000-0000-0000E60A0000}"/>
    <cellStyle name="Normal 15" xfId="94" xr:uid="{00000000-0005-0000-0000-0000E70A0000}"/>
    <cellStyle name="Normal 15 2" xfId="3745" xr:uid="{00000000-0005-0000-0000-0000E80A0000}"/>
    <cellStyle name="Normal 15 3" xfId="3762" xr:uid="{00000000-0005-0000-0000-0000E90A0000}"/>
    <cellStyle name="Normal 16" xfId="3672" xr:uid="{00000000-0005-0000-0000-0000EA0A0000}"/>
    <cellStyle name="Normal 17" xfId="3852" xr:uid="{00000000-0005-0000-0000-0000EB0A0000}"/>
    <cellStyle name="Normal 18" xfId="951" xr:uid="{00000000-0005-0000-0000-0000EC0A0000}"/>
    <cellStyle name="Normal 19" xfId="3854" xr:uid="{00000000-0005-0000-0000-0000ED0A0000}"/>
    <cellStyle name="Normal 2" xfId="47" xr:uid="{00000000-0005-0000-0000-0000EE0A0000}"/>
    <cellStyle name="Normal 2 2" xfId="82" xr:uid="{00000000-0005-0000-0000-0000EF0A0000}"/>
    <cellStyle name="Normal 2 2 2" xfId="509" xr:uid="{00000000-0005-0000-0000-0000F00A0000}"/>
    <cellStyle name="Normal 2 2 2 2" xfId="543" xr:uid="{00000000-0005-0000-0000-0000F10A0000}"/>
    <cellStyle name="Normal 2 2 2 3" xfId="2306" xr:uid="{00000000-0005-0000-0000-0000F20A0000}"/>
    <cellStyle name="Normal 2 2 3" xfId="935" xr:uid="{00000000-0005-0000-0000-0000F30A0000}"/>
    <cellStyle name="Normal 2 2 4" xfId="972" xr:uid="{00000000-0005-0000-0000-0000F40A0000}"/>
    <cellStyle name="Normal 2 2 5" xfId="1358" xr:uid="{00000000-0005-0000-0000-0000F50A0000}"/>
    <cellStyle name="Normal 2 2 6" xfId="1737" xr:uid="{00000000-0005-0000-0000-0000F60A0000}"/>
    <cellStyle name="Normal 2 3" xfId="500" xr:uid="{00000000-0005-0000-0000-0000F70A0000}"/>
    <cellStyle name="Normal 2 3 2" xfId="528" xr:uid="{00000000-0005-0000-0000-0000F80A0000}"/>
    <cellStyle name="Normal 2 3 3" xfId="2301" xr:uid="{00000000-0005-0000-0000-0000F90A0000}"/>
    <cellStyle name="Normal 2 4" xfId="933" xr:uid="{00000000-0005-0000-0000-0000FA0A0000}"/>
    <cellStyle name="Normal 2 5" xfId="927" xr:uid="{00000000-0005-0000-0000-0000FB0A0000}"/>
    <cellStyle name="Normal 2 6" xfId="1343" xr:uid="{00000000-0005-0000-0000-0000FC0A0000}"/>
    <cellStyle name="Normal 2 7" xfId="1371" xr:uid="{00000000-0005-0000-0000-0000FD0A0000}"/>
    <cellStyle name="Normal 2 8" xfId="3684" xr:uid="{00000000-0005-0000-0000-0000FE0A0000}"/>
    <cellStyle name="Normal 2 9" xfId="3793" xr:uid="{00000000-0005-0000-0000-0000FF0A0000}"/>
    <cellStyle name="Normal 3" xfId="48" xr:uid="{00000000-0005-0000-0000-0000000B0000}"/>
    <cellStyle name="Normal 3 10" xfId="3671" xr:uid="{00000000-0005-0000-0000-0000010B0000}"/>
    <cellStyle name="Normal 3 11" xfId="3673" xr:uid="{00000000-0005-0000-0000-0000020B0000}"/>
    <cellStyle name="Normal 3 12" xfId="3685" xr:uid="{00000000-0005-0000-0000-0000030B0000}"/>
    <cellStyle name="Normal 3 12 2" xfId="3767" xr:uid="{00000000-0005-0000-0000-0000040B0000}"/>
    <cellStyle name="Normal 3 12 3" xfId="3728" xr:uid="{00000000-0005-0000-0000-0000050B0000}"/>
    <cellStyle name="Normal 3 13" xfId="3820" xr:uid="{00000000-0005-0000-0000-0000060B0000}"/>
    <cellStyle name="Normal 3 14" xfId="3836" xr:uid="{00000000-0005-0000-0000-0000070B0000}"/>
    <cellStyle name="Normal 3 15" xfId="3743" xr:uid="{00000000-0005-0000-0000-0000080B0000}"/>
    <cellStyle name="Normal 3 2" xfId="49" xr:uid="{00000000-0005-0000-0000-0000090B0000}"/>
    <cellStyle name="Normal 3 2 10" xfId="3837" xr:uid="{00000000-0005-0000-0000-00000A0B0000}"/>
    <cellStyle name="Normal 3 2 11" xfId="3786" xr:uid="{00000000-0005-0000-0000-00000B0B0000}"/>
    <cellStyle name="Normal 3 2 2" xfId="96" xr:uid="{00000000-0005-0000-0000-00000C0B0000}"/>
    <cellStyle name="Normal 3 2 2 10" xfId="89" xr:uid="{00000000-0005-0000-0000-00000D0B0000}"/>
    <cellStyle name="Normal 3 2 2 2" xfId="111" xr:uid="{00000000-0005-0000-0000-00000E0B0000}"/>
    <cellStyle name="Normal 3 2 2 2 2" xfId="92" xr:uid="{00000000-0005-0000-0000-00000F0B0000}"/>
    <cellStyle name="Normal 3 2 2 2 2 2" xfId="544" xr:uid="{00000000-0005-0000-0000-0000100B0000}"/>
    <cellStyle name="Normal 3 2 2 2 2 2 2" xfId="550" xr:uid="{00000000-0005-0000-0000-0000110B0000}"/>
    <cellStyle name="Normal 3 2 2 2 2 2 2 2" xfId="2336" xr:uid="{00000000-0005-0000-0000-0000120B0000}"/>
    <cellStyle name="Normal 3 2 2 2 2 2 2 2 2" xfId="2342" xr:uid="{00000000-0005-0000-0000-0000130B0000}"/>
    <cellStyle name="Normal 3 2 2 2 2 2 2 2 3" xfId="3777" xr:uid="{00000000-0005-0000-0000-0000140B0000}"/>
    <cellStyle name="Normal 3 2 2 2 2 2 2 2 4" xfId="3735" xr:uid="{00000000-0005-0000-0000-0000150B0000}"/>
    <cellStyle name="Normal 3 2 2 2 2 2 2 3" xfId="3670" xr:uid="{00000000-0005-0000-0000-0000160B0000}"/>
    <cellStyle name="Normal 3 2 2 2 2 2 2 4" xfId="3776" xr:uid="{00000000-0005-0000-0000-0000170B0000}"/>
    <cellStyle name="Normal 3 2 2 2 2 2 2 5" xfId="3780" xr:uid="{00000000-0005-0000-0000-0000180B0000}"/>
    <cellStyle name="Normal 3 2 2 2 2 2 3" xfId="3669" xr:uid="{00000000-0005-0000-0000-0000190B0000}"/>
    <cellStyle name="Normal 3 2 2 2 2 2 4" xfId="3716" xr:uid="{00000000-0005-0000-0000-00001A0B0000}"/>
    <cellStyle name="Normal 3 2 2 2 2 2 5" xfId="3723" xr:uid="{00000000-0005-0000-0000-00001B0B0000}"/>
    <cellStyle name="Normal 3 2 2 2 2 3" xfId="3663" xr:uid="{00000000-0005-0000-0000-00001C0B0000}"/>
    <cellStyle name="Normal 3 2 2 2 2 4" xfId="3714" xr:uid="{00000000-0005-0000-0000-00001D0B0000}"/>
    <cellStyle name="Normal 3 2 2 2 2 5" xfId="3773" xr:uid="{00000000-0005-0000-0000-00001E0B0000}"/>
    <cellStyle name="Normal 3 2 2 2 3" xfId="1932" xr:uid="{00000000-0005-0000-0000-00001F0B0000}"/>
    <cellStyle name="Normal 3 2 2 2 4" xfId="3662" xr:uid="{00000000-0005-0000-0000-0000200B0000}"/>
    <cellStyle name="Normal 3 2 2 2 5" xfId="3695" xr:uid="{00000000-0005-0000-0000-0000210B0000}"/>
    <cellStyle name="Normal 3 2 2 2 6" xfId="3742" xr:uid="{00000000-0005-0000-0000-0000220B0000}"/>
    <cellStyle name="Normal 3 2 2 3" xfId="115" xr:uid="{00000000-0005-0000-0000-0000230B0000}"/>
    <cellStyle name="Normal 3 2 2 4" xfId="981" xr:uid="{00000000-0005-0000-0000-0000240B0000}"/>
    <cellStyle name="Normal 3 2 2 5" xfId="1367" xr:uid="{00000000-0005-0000-0000-0000250B0000}"/>
    <cellStyle name="Normal 3 2 2 6" xfId="1925" xr:uid="{00000000-0005-0000-0000-0000260B0000}"/>
    <cellStyle name="Normal 3 2 2 7" xfId="3654" xr:uid="{00000000-0005-0000-0000-0000270B0000}"/>
    <cellStyle name="Normal 3 2 2 8" xfId="3691" xr:uid="{00000000-0005-0000-0000-0000280B0000}"/>
    <cellStyle name="Normal 3 2 2 9" xfId="3729" xr:uid="{00000000-0005-0000-0000-0000290B0000}"/>
    <cellStyle name="Normal 3 2 3" xfId="526" xr:uid="{00000000-0005-0000-0000-00002A0B0000}"/>
    <cellStyle name="Normal 3 2 3 2" xfId="936" xr:uid="{00000000-0005-0000-0000-00002B0B0000}"/>
    <cellStyle name="Normal 3 2 3 3" xfId="2321" xr:uid="{00000000-0005-0000-0000-00002C0B0000}"/>
    <cellStyle name="Normal 3 2 4" xfId="973" xr:uid="{00000000-0005-0000-0000-00002D0B0000}"/>
    <cellStyle name="Normal 3 2 5" xfId="1359" xr:uid="{00000000-0005-0000-0000-00002E0B0000}"/>
    <cellStyle name="Normal 3 2 6" xfId="1733" xr:uid="{00000000-0005-0000-0000-00002F0B0000}"/>
    <cellStyle name="Normal 3 2 7" xfId="1910" xr:uid="{00000000-0005-0000-0000-0000300B0000}"/>
    <cellStyle name="Normal 3 2 8" xfId="3651" xr:uid="{00000000-0005-0000-0000-0000310B0000}"/>
    <cellStyle name="Normal 3 2 9" xfId="3686" xr:uid="{00000000-0005-0000-0000-0000320B0000}"/>
    <cellStyle name="Normal 3 3" xfId="50" xr:uid="{00000000-0005-0000-0000-0000330B0000}"/>
    <cellStyle name="Normal 3 3 2" xfId="307" xr:uid="{00000000-0005-0000-0000-0000340B0000}"/>
    <cellStyle name="Normal 3 3 2 2" xfId="2502" xr:uid="{00000000-0005-0000-0000-0000350B0000}"/>
    <cellStyle name="Normal 3 3 3" xfId="1160" xr:uid="{00000000-0005-0000-0000-0000360B0000}"/>
    <cellStyle name="Normal 3 3 3 2" xfId="2930" xr:uid="{00000000-0005-0000-0000-0000370B0000}"/>
    <cellStyle name="Normal 3 3 4" xfId="1549" xr:uid="{00000000-0005-0000-0000-0000380B0000}"/>
    <cellStyle name="Normal 3 3 4 2" xfId="3308" xr:uid="{00000000-0005-0000-0000-0000390B0000}"/>
    <cellStyle name="Normal 3 3 5" xfId="2108" xr:uid="{00000000-0005-0000-0000-00003A0B0000}"/>
    <cellStyle name="Normal 3 3 6" xfId="3687" xr:uid="{00000000-0005-0000-0000-00003B0B0000}"/>
    <cellStyle name="Normal 3 3 7" xfId="3838" xr:uid="{00000000-0005-0000-0000-00003C0B0000}"/>
    <cellStyle name="Normal 3 3 8" xfId="3734" xr:uid="{00000000-0005-0000-0000-00003D0B0000}"/>
    <cellStyle name="Normal 3 4" xfId="83" xr:uid="{00000000-0005-0000-0000-00003E0B0000}"/>
    <cellStyle name="Normal 3 4 2" xfId="503" xr:uid="{00000000-0005-0000-0000-00003F0B0000}"/>
    <cellStyle name="Normal 3 4 2 2" xfId="932" xr:uid="{00000000-0005-0000-0000-0000400B0000}"/>
    <cellStyle name="Normal 3 4 2 3" xfId="3760" xr:uid="{00000000-0005-0000-0000-0000410B0000}"/>
    <cellStyle name="Normal 3 4 2 4" xfId="3750" xr:uid="{00000000-0005-0000-0000-0000420B0000}"/>
    <cellStyle name="Normal 3 4 3" xfId="3689" xr:uid="{00000000-0005-0000-0000-0000430B0000}"/>
    <cellStyle name="Normal 3 4 3 2" xfId="3755" xr:uid="{00000000-0005-0000-0000-0000440B0000}"/>
    <cellStyle name="Normal 3 4 3 3" xfId="3792" xr:uid="{00000000-0005-0000-0000-0000450B0000}"/>
    <cellStyle name="Normal 3 4 4" xfId="3748" xr:uid="{00000000-0005-0000-0000-0000460B0000}"/>
    <cellStyle name="Normal 3 4 5" xfId="3731" xr:uid="{00000000-0005-0000-0000-0000470B0000}"/>
    <cellStyle name="Normal 3 5" xfId="944" xr:uid="{00000000-0005-0000-0000-0000480B0000}"/>
    <cellStyle name="Normal 3 5 2" xfId="2723" xr:uid="{00000000-0005-0000-0000-0000490B0000}"/>
    <cellStyle name="Normal 3 6" xfId="899" xr:uid="{00000000-0005-0000-0000-00004A0B0000}"/>
    <cellStyle name="Normal 3 6 2" xfId="2688" xr:uid="{00000000-0005-0000-0000-00004B0B0000}"/>
    <cellStyle name="Normal 3 7" xfId="1715" xr:uid="{00000000-0005-0000-0000-00004C0B0000}"/>
    <cellStyle name="Normal 3 8" xfId="1907" xr:uid="{00000000-0005-0000-0000-00004D0B0000}"/>
    <cellStyle name="Normal 3 8 2" xfId="3688" xr:uid="{00000000-0005-0000-0000-00004E0B0000}"/>
    <cellStyle name="Normal 3 8 2 2" xfId="3768" xr:uid="{00000000-0005-0000-0000-00004F0B0000}"/>
    <cellStyle name="Normal 3 8 2 3" xfId="3718" xr:uid="{00000000-0005-0000-0000-0000500B0000}"/>
    <cellStyle name="Normal 3 8 3" xfId="3798" xr:uid="{00000000-0005-0000-0000-0000510B0000}"/>
    <cellStyle name="Normal 3 8 4" xfId="3740" xr:uid="{00000000-0005-0000-0000-0000520B0000}"/>
    <cellStyle name="Normal 3 9" xfId="3648" xr:uid="{00000000-0005-0000-0000-0000530B0000}"/>
    <cellStyle name="Normal 4" xfId="51" xr:uid="{00000000-0005-0000-0000-0000540B0000}"/>
    <cellStyle name="Normal 4 10" xfId="505" xr:uid="{00000000-0005-0000-0000-0000550B0000}"/>
    <cellStyle name="Normal 4 10 2" xfId="937" xr:uid="{00000000-0005-0000-0000-0000560B0000}"/>
    <cellStyle name="Normal 4 10 3" xfId="2304" xr:uid="{00000000-0005-0000-0000-0000570B0000}"/>
    <cellStyle name="Normal 4 11" xfId="974" xr:uid="{00000000-0005-0000-0000-0000580B0000}"/>
    <cellStyle name="Normal 4 12" xfId="1360" xr:uid="{00000000-0005-0000-0000-0000590B0000}"/>
    <cellStyle name="Normal 4 13" xfId="1571" xr:uid="{00000000-0005-0000-0000-00005A0B0000}"/>
    <cellStyle name="Normal 4 14" xfId="3652" xr:uid="{00000000-0005-0000-0000-00005B0B0000}"/>
    <cellStyle name="Normal 4 15" xfId="3666" xr:uid="{00000000-0005-0000-0000-00005C0B0000}"/>
    <cellStyle name="Normal 4 16" xfId="3676" xr:uid="{00000000-0005-0000-0000-00005D0B0000}"/>
    <cellStyle name="Normal 4 17" xfId="3805" xr:uid="{00000000-0005-0000-0000-00005E0B0000}"/>
    <cellStyle name="Normal 4 17 2" xfId="3764" xr:uid="{00000000-0005-0000-0000-00005F0B0000}"/>
    <cellStyle name="Normal 4 17 3" xfId="3789" xr:uid="{00000000-0005-0000-0000-0000600B0000}"/>
    <cellStyle name="Normal 4 18" xfId="3806" xr:uid="{00000000-0005-0000-0000-0000610B0000}"/>
    <cellStyle name="Normal 4 18 2" xfId="3807" xr:uid="{00000000-0005-0000-0000-0000620B0000}"/>
    <cellStyle name="Normal 4 19" xfId="3846" xr:uid="{00000000-0005-0000-0000-0000630B0000}"/>
    <cellStyle name="Normal 4 2" xfId="84" xr:uid="{00000000-0005-0000-0000-0000640B0000}"/>
    <cellStyle name="Normal 4 3" xfId="140" xr:uid="{00000000-0005-0000-0000-0000650B0000}"/>
    <cellStyle name="Normal 4 4" xfId="147" xr:uid="{00000000-0005-0000-0000-0000660B0000}"/>
    <cellStyle name="Normal 4 4 2" xfId="3848" xr:uid="{00000000-0005-0000-0000-0000670B0000}"/>
    <cellStyle name="Normal 4 5" xfId="164" xr:uid="{00000000-0005-0000-0000-0000680B0000}"/>
    <cellStyle name="Normal 4 6" xfId="182" xr:uid="{00000000-0005-0000-0000-0000690B0000}"/>
    <cellStyle name="Normal 4 7" xfId="230" xr:uid="{00000000-0005-0000-0000-00006A0B0000}"/>
    <cellStyle name="Normal 4 8" xfId="249" xr:uid="{00000000-0005-0000-0000-00006B0B0000}"/>
    <cellStyle name="Normal 4 9" xfId="268" xr:uid="{00000000-0005-0000-0000-00006C0B0000}"/>
    <cellStyle name="Normal 5" xfId="52" xr:uid="{00000000-0005-0000-0000-00006D0B0000}"/>
    <cellStyle name="Normal 5 10" xfId="269" xr:uid="{00000000-0005-0000-0000-00006E0B0000}"/>
    <cellStyle name="Normal 5 10 2" xfId="466" xr:uid="{00000000-0005-0000-0000-00006F0B0000}"/>
    <cellStyle name="Normal 5 10 2 2" xfId="869" xr:uid="{00000000-0005-0000-0000-0000700B0000}"/>
    <cellStyle name="Normal 5 10 2 2 2" xfId="2659" xr:uid="{00000000-0005-0000-0000-0000710B0000}"/>
    <cellStyle name="Normal 5 10 2 3" xfId="1320" xr:uid="{00000000-0005-0000-0000-0000720B0000}"/>
    <cellStyle name="Normal 5 10 2 3 2" xfId="3089" xr:uid="{00000000-0005-0000-0000-0000730B0000}"/>
    <cellStyle name="Normal 5 10 2 4" xfId="1709" xr:uid="{00000000-0005-0000-0000-0000740B0000}"/>
    <cellStyle name="Normal 5 10 2 4 2" xfId="3466" xr:uid="{00000000-0005-0000-0000-0000750B0000}"/>
    <cellStyle name="Normal 5 10 2 5" xfId="2267" xr:uid="{00000000-0005-0000-0000-0000760B0000}"/>
    <cellStyle name="Normal 5 10 3" xfId="675" xr:uid="{00000000-0005-0000-0000-0000770B0000}"/>
    <cellStyle name="Normal 5 10 3 2" xfId="2466" xr:uid="{00000000-0005-0000-0000-0000780B0000}"/>
    <cellStyle name="Normal 5 10 4" xfId="1122" xr:uid="{00000000-0005-0000-0000-0000790B0000}"/>
    <cellStyle name="Normal 5 10 4 2" xfId="2892" xr:uid="{00000000-0005-0000-0000-00007A0B0000}"/>
    <cellStyle name="Normal 5 10 5" xfId="1509" xr:uid="{00000000-0005-0000-0000-00007B0B0000}"/>
    <cellStyle name="Normal 5 10 5 2" xfId="3269" xr:uid="{00000000-0005-0000-0000-00007C0B0000}"/>
    <cellStyle name="Normal 5 10 6" xfId="1876" xr:uid="{00000000-0005-0000-0000-00007D0B0000}"/>
    <cellStyle name="Normal 5 10 6 2" xfId="3628" xr:uid="{00000000-0005-0000-0000-00007E0B0000}"/>
    <cellStyle name="Normal 5 10 7" xfId="2071" xr:uid="{00000000-0005-0000-0000-00007F0B0000}"/>
    <cellStyle name="Normal 5 11" xfId="323" xr:uid="{00000000-0005-0000-0000-0000800B0000}"/>
    <cellStyle name="Normal 5 11 2" xfId="727" xr:uid="{00000000-0005-0000-0000-0000810B0000}"/>
    <cellStyle name="Normal 5 11 2 2" xfId="2517" xr:uid="{00000000-0005-0000-0000-0000820B0000}"/>
    <cellStyle name="Normal 5 11 3" xfId="1176" xr:uid="{00000000-0005-0000-0000-0000830B0000}"/>
    <cellStyle name="Normal 5 11 3 2" xfId="2945" xr:uid="{00000000-0005-0000-0000-0000840B0000}"/>
    <cellStyle name="Normal 5 11 4" xfId="1565" xr:uid="{00000000-0005-0000-0000-0000850B0000}"/>
    <cellStyle name="Normal 5 11 4 2" xfId="3323" xr:uid="{00000000-0005-0000-0000-0000860B0000}"/>
    <cellStyle name="Normal 5 11 5" xfId="2123" xr:uid="{00000000-0005-0000-0000-0000870B0000}"/>
    <cellStyle name="Normal 5 12" xfId="504" xr:uid="{00000000-0005-0000-0000-0000880B0000}"/>
    <cellStyle name="Normal 5 12 2" xfId="938" xr:uid="{00000000-0005-0000-0000-0000890B0000}"/>
    <cellStyle name="Normal 5 12 2 2" xfId="2718" xr:uid="{00000000-0005-0000-0000-00008A0B0000}"/>
    <cellStyle name="Normal 5 13" xfId="975" xr:uid="{00000000-0005-0000-0000-00008B0B0000}"/>
    <cellStyle name="Normal 5 13 2" xfId="2747" xr:uid="{00000000-0005-0000-0000-00008C0B0000}"/>
    <cellStyle name="Normal 5 14" xfId="1361" xr:uid="{00000000-0005-0000-0000-00008D0B0000}"/>
    <cellStyle name="Normal 5 14 2" xfId="3125" xr:uid="{00000000-0005-0000-0000-00008E0B0000}"/>
    <cellStyle name="Normal 5 15" xfId="1368" xr:uid="{00000000-0005-0000-0000-00008F0B0000}"/>
    <cellStyle name="Normal 5 15 2" xfId="3131" xr:uid="{00000000-0005-0000-0000-0000900B0000}"/>
    <cellStyle name="Normal 5 16" xfId="1926" xr:uid="{00000000-0005-0000-0000-0000910B0000}"/>
    <cellStyle name="Normal 5 17" xfId="3692" xr:uid="{00000000-0005-0000-0000-0000920B0000}"/>
    <cellStyle name="Normal 5 18" xfId="3725" xr:uid="{00000000-0005-0000-0000-0000930B0000}"/>
    <cellStyle name="Normal 5 2" xfId="85" xr:uid="{00000000-0005-0000-0000-0000940B0000}"/>
    <cellStyle name="Normal 5 2 2" xfId="117" xr:uid="{00000000-0005-0000-0000-0000950B0000}"/>
    <cellStyle name="Normal 5 2 2 2" xfId="545" xr:uid="{00000000-0005-0000-0000-0000960B0000}"/>
    <cellStyle name="Normal 5 2 2 2 2" xfId="551" xr:uid="{00000000-0005-0000-0000-0000970B0000}"/>
    <cellStyle name="Normal 5 2 2 2 3" xfId="3717" xr:uid="{00000000-0005-0000-0000-0000980B0000}"/>
    <cellStyle name="Normal 5 2 2 2 4" xfId="3710" xr:uid="{00000000-0005-0000-0000-0000990B0000}"/>
    <cellStyle name="Normal 5 2 2 3" xfId="2337" xr:uid="{00000000-0005-0000-0000-00009A0B0000}"/>
    <cellStyle name="Normal 5 2 2 4" xfId="3715" xr:uid="{00000000-0005-0000-0000-00009B0B0000}"/>
    <cellStyle name="Normal 5 2 2 5" xfId="3787" xr:uid="{00000000-0005-0000-0000-00009C0B0000}"/>
    <cellStyle name="Normal 5 2 3" xfId="943" xr:uid="{00000000-0005-0000-0000-00009D0B0000}"/>
    <cellStyle name="Normal 5 2 4" xfId="982" xr:uid="{00000000-0005-0000-0000-00009E0B0000}"/>
    <cellStyle name="Normal 5 2 5" xfId="1369" xr:uid="{00000000-0005-0000-0000-00009F0B0000}"/>
    <cellStyle name="Normal 5 2 6" xfId="1735" xr:uid="{00000000-0005-0000-0000-0000A00B0000}"/>
    <cellStyle name="Normal 5 2 7" xfId="3696" xr:uid="{00000000-0005-0000-0000-0000A10B0000}"/>
    <cellStyle name="Normal 5 2 8" xfId="3733" xr:uid="{00000000-0005-0000-0000-0000A20B0000}"/>
    <cellStyle name="Normal 5 3" xfId="146" xr:uid="{00000000-0005-0000-0000-0000A30B0000}"/>
    <cellStyle name="Normal 5 3 2" xfId="349" xr:uid="{00000000-0005-0000-0000-0000A40B0000}"/>
    <cellStyle name="Normal 5 3 2 2" xfId="752" xr:uid="{00000000-0005-0000-0000-0000A50B0000}"/>
    <cellStyle name="Normal 5 3 2 2 2" xfId="2542" xr:uid="{00000000-0005-0000-0000-0000A60B0000}"/>
    <cellStyle name="Normal 5 3 2 3" xfId="1203" xr:uid="{00000000-0005-0000-0000-0000A70B0000}"/>
    <cellStyle name="Normal 5 3 2 3 2" xfId="2972" xr:uid="{00000000-0005-0000-0000-0000A80B0000}"/>
    <cellStyle name="Normal 5 3 2 4" xfId="1592" xr:uid="{00000000-0005-0000-0000-0000A90B0000}"/>
    <cellStyle name="Normal 5 3 2 4 2" xfId="3349" xr:uid="{00000000-0005-0000-0000-0000AA0B0000}"/>
    <cellStyle name="Normal 5 3 2 5" xfId="2150" xr:uid="{00000000-0005-0000-0000-0000AB0B0000}"/>
    <cellStyle name="Normal 5 3 3" xfId="560" xr:uid="{00000000-0005-0000-0000-0000AC0B0000}"/>
    <cellStyle name="Normal 5 3 3 2" xfId="2351" xr:uid="{00000000-0005-0000-0000-0000AD0B0000}"/>
    <cellStyle name="Normal 5 3 4" xfId="1005" xr:uid="{00000000-0005-0000-0000-0000AE0B0000}"/>
    <cellStyle name="Normal 5 3 4 2" xfId="2775" xr:uid="{00000000-0005-0000-0000-0000AF0B0000}"/>
    <cellStyle name="Normal 5 3 5" xfId="1391" xr:uid="{00000000-0005-0000-0000-0000B00B0000}"/>
    <cellStyle name="Normal 5 3 5 2" xfId="3152" xr:uid="{00000000-0005-0000-0000-0000B10B0000}"/>
    <cellStyle name="Normal 5 3 6" xfId="1757" xr:uid="{00000000-0005-0000-0000-0000B20B0000}"/>
    <cellStyle name="Normal 5 3 6 2" xfId="3509" xr:uid="{00000000-0005-0000-0000-0000B30B0000}"/>
    <cellStyle name="Normal 5 3 7" xfId="1954" xr:uid="{00000000-0005-0000-0000-0000B40B0000}"/>
    <cellStyle name="Normal 5 4" xfId="139" xr:uid="{00000000-0005-0000-0000-0000B50B0000}"/>
    <cellStyle name="Normal 5 4 2" xfId="344" xr:uid="{00000000-0005-0000-0000-0000B60B0000}"/>
    <cellStyle name="Normal 5 4 2 2" xfId="746" xr:uid="{00000000-0005-0000-0000-0000B70B0000}"/>
    <cellStyle name="Normal 5 4 2 2 2" xfId="2536" xr:uid="{00000000-0005-0000-0000-0000B80B0000}"/>
    <cellStyle name="Normal 5 4 2 3" xfId="1197" xr:uid="{00000000-0005-0000-0000-0000B90B0000}"/>
    <cellStyle name="Normal 5 4 2 3 2" xfId="2966" xr:uid="{00000000-0005-0000-0000-0000BA0B0000}"/>
    <cellStyle name="Normal 5 4 2 4" xfId="1586" xr:uid="{00000000-0005-0000-0000-0000BB0B0000}"/>
    <cellStyle name="Normal 5 4 2 4 2" xfId="3343" xr:uid="{00000000-0005-0000-0000-0000BC0B0000}"/>
    <cellStyle name="Normal 5 4 2 5" xfId="2144" xr:uid="{00000000-0005-0000-0000-0000BD0B0000}"/>
    <cellStyle name="Normal 5 4 3" xfId="554" xr:uid="{00000000-0005-0000-0000-0000BE0B0000}"/>
    <cellStyle name="Normal 5 4 3 2" xfId="2345" xr:uid="{00000000-0005-0000-0000-0000BF0B0000}"/>
    <cellStyle name="Normal 5 4 4" xfId="999" xr:uid="{00000000-0005-0000-0000-0000C00B0000}"/>
    <cellStyle name="Normal 5 4 4 2" xfId="2769" xr:uid="{00000000-0005-0000-0000-0000C10B0000}"/>
    <cellStyle name="Normal 5 4 5" xfId="1385" xr:uid="{00000000-0005-0000-0000-0000C20B0000}"/>
    <cellStyle name="Normal 5 4 5 2" xfId="3146" xr:uid="{00000000-0005-0000-0000-0000C30B0000}"/>
    <cellStyle name="Normal 5 4 6" xfId="1751" xr:uid="{00000000-0005-0000-0000-0000C40B0000}"/>
    <cellStyle name="Normal 5 4 6 2" xfId="3503" xr:uid="{00000000-0005-0000-0000-0000C50B0000}"/>
    <cellStyle name="Normal 5 4 7" xfId="1948" xr:uid="{00000000-0005-0000-0000-0000C60B0000}"/>
    <cellStyle name="Normal 5 5" xfId="148" xr:uid="{00000000-0005-0000-0000-0000C70B0000}"/>
    <cellStyle name="Normal 5 5 2" xfId="352" xr:uid="{00000000-0005-0000-0000-0000C80B0000}"/>
    <cellStyle name="Normal 5 5 2 2" xfId="755" xr:uid="{00000000-0005-0000-0000-0000C90B0000}"/>
    <cellStyle name="Normal 5 5 2 2 2" xfId="2545" xr:uid="{00000000-0005-0000-0000-0000CA0B0000}"/>
    <cellStyle name="Normal 5 5 2 3" xfId="1206" xr:uid="{00000000-0005-0000-0000-0000CB0B0000}"/>
    <cellStyle name="Normal 5 5 2 3 2" xfId="2975" xr:uid="{00000000-0005-0000-0000-0000CC0B0000}"/>
    <cellStyle name="Normal 5 5 2 4" xfId="1595" xr:uid="{00000000-0005-0000-0000-0000CD0B0000}"/>
    <cellStyle name="Normal 5 5 2 4 2" xfId="3352" xr:uid="{00000000-0005-0000-0000-0000CE0B0000}"/>
    <cellStyle name="Normal 5 5 2 5" xfId="2153" xr:uid="{00000000-0005-0000-0000-0000CF0B0000}"/>
    <cellStyle name="Normal 5 5 3" xfId="561" xr:uid="{00000000-0005-0000-0000-0000D00B0000}"/>
    <cellStyle name="Normal 5 5 3 2" xfId="2352" xr:uid="{00000000-0005-0000-0000-0000D10B0000}"/>
    <cellStyle name="Normal 5 5 4" xfId="1008" xr:uid="{00000000-0005-0000-0000-0000D20B0000}"/>
    <cellStyle name="Normal 5 5 4 2" xfId="2778" xr:uid="{00000000-0005-0000-0000-0000D30B0000}"/>
    <cellStyle name="Normal 5 5 5" xfId="1394" xr:uid="{00000000-0005-0000-0000-0000D40B0000}"/>
    <cellStyle name="Normal 5 5 5 2" xfId="3155" xr:uid="{00000000-0005-0000-0000-0000D50B0000}"/>
    <cellStyle name="Normal 5 5 6" xfId="1760" xr:uid="{00000000-0005-0000-0000-0000D60B0000}"/>
    <cellStyle name="Normal 5 5 6 2" xfId="3512" xr:uid="{00000000-0005-0000-0000-0000D70B0000}"/>
    <cellStyle name="Normal 5 5 7" xfId="1957" xr:uid="{00000000-0005-0000-0000-0000D80B0000}"/>
    <cellStyle name="Normal 5 6" xfId="165" xr:uid="{00000000-0005-0000-0000-0000D90B0000}"/>
    <cellStyle name="Normal 5 6 2" xfId="367" xr:uid="{00000000-0005-0000-0000-0000DA0B0000}"/>
    <cellStyle name="Normal 5 6 2 2" xfId="770" xr:uid="{00000000-0005-0000-0000-0000DB0B0000}"/>
    <cellStyle name="Normal 5 6 2 2 2" xfId="2560" xr:uid="{00000000-0005-0000-0000-0000DC0B0000}"/>
    <cellStyle name="Normal 5 6 2 3" xfId="1221" xr:uid="{00000000-0005-0000-0000-0000DD0B0000}"/>
    <cellStyle name="Normal 5 6 2 3 2" xfId="2990" xr:uid="{00000000-0005-0000-0000-0000DE0B0000}"/>
    <cellStyle name="Normal 5 6 2 4" xfId="1610" xr:uid="{00000000-0005-0000-0000-0000DF0B0000}"/>
    <cellStyle name="Normal 5 6 2 4 2" xfId="3367" xr:uid="{00000000-0005-0000-0000-0000E00B0000}"/>
    <cellStyle name="Normal 5 6 2 5" xfId="2168" xr:uid="{00000000-0005-0000-0000-0000E10B0000}"/>
    <cellStyle name="Normal 5 6 3" xfId="576" xr:uid="{00000000-0005-0000-0000-0000E20B0000}"/>
    <cellStyle name="Normal 5 6 3 2" xfId="2367" xr:uid="{00000000-0005-0000-0000-0000E30B0000}"/>
    <cellStyle name="Normal 5 6 4" xfId="1023" xr:uid="{00000000-0005-0000-0000-0000E40B0000}"/>
    <cellStyle name="Normal 5 6 4 2" xfId="2793" xr:uid="{00000000-0005-0000-0000-0000E50B0000}"/>
    <cellStyle name="Normal 5 6 5" xfId="1410" xr:uid="{00000000-0005-0000-0000-0000E60B0000}"/>
    <cellStyle name="Normal 5 6 5 2" xfId="3170" xr:uid="{00000000-0005-0000-0000-0000E70B0000}"/>
    <cellStyle name="Normal 5 6 6" xfId="1777" xr:uid="{00000000-0005-0000-0000-0000E80B0000}"/>
    <cellStyle name="Normal 5 6 6 2" xfId="3529" xr:uid="{00000000-0005-0000-0000-0000E90B0000}"/>
    <cellStyle name="Normal 5 6 7" xfId="1972" xr:uid="{00000000-0005-0000-0000-0000EA0B0000}"/>
    <cellStyle name="Normal 5 7" xfId="183" xr:uid="{00000000-0005-0000-0000-0000EB0B0000}"/>
    <cellStyle name="Normal 5 7 2" xfId="384" xr:uid="{00000000-0005-0000-0000-0000EC0B0000}"/>
    <cellStyle name="Normal 5 7 2 2" xfId="787" xr:uid="{00000000-0005-0000-0000-0000ED0B0000}"/>
    <cellStyle name="Normal 5 7 2 2 2" xfId="2577" xr:uid="{00000000-0005-0000-0000-0000EE0B0000}"/>
    <cellStyle name="Normal 5 7 2 3" xfId="1238" xr:uid="{00000000-0005-0000-0000-0000EF0B0000}"/>
    <cellStyle name="Normal 5 7 2 3 2" xfId="3007" xr:uid="{00000000-0005-0000-0000-0000F00B0000}"/>
    <cellStyle name="Normal 5 7 2 4" xfId="1627" xr:uid="{00000000-0005-0000-0000-0000F10B0000}"/>
    <cellStyle name="Normal 5 7 2 4 2" xfId="3384" xr:uid="{00000000-0005-0000-0000-0000F20B0000}"/>
    <cellStyle name="Normal 5 7 2 5" xfId="2185" xr:uid="{00000000-0005-0000-0000-0000F30B0000}"/>
    <cellStyle name="Normal 5 7 3" xfId="593" xr:uid="{00000000-0005-0000-0000-0000F40B0000}"/>
    <cellStyle name="Normal 5 7 3 2" xfId="2384" xr:uid="{00000000-0005-0000-0000-0000F50B0000}"/>
    <cellStyle name="Normal 5 7 4" xfId="1040" xr:uid="{00000000-0005-0000-0000-0000F60B0000}"/>
    <cellStyle name="Normal 5 7 4 2" xfId="2810" xr:uid="{00000000-0005-0000-0000-0000F70B0000}"/>
    <cellStyle name="Normal 5 7 5" xfId="1427" xr:uid="{00000000-0005-0000-0000-0000F80B0000}"/>
    <cellStyle name="Normal 5 7 5 2" xfId="3187" xr:uid="{00000000-0005-0000-0000-0000F90B0000}"/>
    <cellStyle name="Normal 5 7 6" xfId="1794" xr:uid="{00000000-0005-0000-0000-0000FA0B0000}"/>
    <cellStyle name="Normal 5 7 6 2" xfId="3546" xr:uid="{00000000-0005-0000-0000-0000FB0B0000}"/>
    <cellStyle name="Normal 5 7 7" xfId="1989" xr:uid="{00000000-0005-0000-0000-0000FC0B0000}"/>
    <cellStyle name="Normal 5 8" xfId="231" xr:uid="{00000000-0005-0000-0000-0000FD0B0000}"/>
    <cellStyle name="Normal 5 8 2" xfId="430" xr:uid="{00000000-0005-0000-0000-0000FE0B0000}"/>
    <cellStyle name="Normal 5 8 2 2" xfId="833" xr:uid="{00000000-0005-0000-0000-0000FF0B0000}"/>
    <cellStyle name="Normal 5 8 2 2 2" xfId="2623" xr:uid="{00000000-0005-0000-0000-0000000C0000}"/>
    <cellStyle name="Normal 5 8 2 3" xfId="1284" xr:uid="{00000000-0005-0000-0000-0000010C0000}"/>
    <cellStyle name="Normal 5 8 2 3 2" xfId="3053" xr:uid="{00000000-0005-0000-0000-0000020C0000}"/>
    <cellStyle name="Normal 5 8 2 4" xfId="1673" xr:uid="{00000000-0005-0000-0000-0000030C0000}"/>
    <cellStyle name="Normal 5 8 2 4 2" xfId="3430" xr:uid="{00000000-0005-0000-0000-0000040C0000}"/>
    <cellStyle name="Normal 5 8 2 5" xfId="2231" xr:uid="{00000000-0005-0000-0000-0000050C0000}"/>
    <cellStyle name="Normal 5 8 3" xfId="639" xr:uid="{00000000-0005-0000-0000-0000060C0000}"/>
    <cellStyle name="Normal 5 8 3 2" xfId="2430" xr:uid="{00000000-0005-0000-0000-0000070C0000}"/>
    <cellStyle name="Normal 5 8 4" xfId="1086" xr:uid="{00000000-0005-0000-0000-0000080C0000}"/>
    <cellStyle name="Normal 5 8 4 2" xfId="2856" xr:uid="{00000000-0005-0000-0000-0000090C0000}"/>
    <cellStyle name="Normal 5 8 5" xfId="1473" xr:uid="{00000000-0005-0000-0000-00000A0C0000}"/>
    <cellStyle name="Normal 5 8 5 2" xfId="3233" xr:uid="{00000000-0005-0000-0000-00000B0C0000}"/>
    <cellStyle name="Normal 5 8 6" xfId="1840" xr:uid="{00000000-0005-0000-0000-00000C0C0000}"/>
    <cellStyle name="Normal 5 8 6 2" xfId="3592" xr:uid="{00000000-0005-0000-0000-00000D0C0000}"/>
    <cellStyle name="Normal 5 8 7" xfId="2035" xr:uid="{00000000-0005-0000-0000-00000E0C0000}"/>
    <cellStyle name="Normal 5 9" xfId="250" xr:uid="{00000000-0005-0000-0000-00000F0C0000}"/>
    <cellStyle name="Normal 5 9 2" xfId="448" xr:uid="{00000000-0005-0000-0000-0000100C0000}"/>
    <cellStyle name="Normal 5 9 2 2" xfId="851" xr:uid="{00000000-0005-0000-0000-0000110C0000}"/>
    <cellStyle name="Normal 5 9 2 2 2" xfId="2641" xr:uid="{00000000-0005-0000-0000-0000120C0000}"/>
    <cellStyle name="Normal 5 9 2 3" xfId="1302" xr:uid="{00000000-0005-0000-0000-0000130C0000}"/>
    <cellStyle name="Normal 5 9 2 3 2" xfId="3071" xr:uid="{00000000-0005-0000-0000-0000140C0000}"/>
    <cellStyle name="Normal 5 9 2 4" xfId="1691" xr:uid="{00000000-0005-0000-0000-0000150C0000}"/>
    <cellStyle name="Normal 5 9 2 4 2" xfId="3448" xr:uid="{00000000-0005-0000-0000-0000160C0000}"/>
    <cellStyle name="Normal 5 9 2 5" xfId="2249" xr:uid="{00000000-0005-0000-0000-0000170C0000}"/>
    <cellStyle name="Normal 5 9 3" xfId="657" xr:uid="{00000000-0005-0000-0000-0000180C0000}"/>
    <cellStyle name="Normal 5 9 3 2" xfId="2448" xr:uid="{00000000-0005-0000-0000-0000190C0000}"/>
    <cellStyle name="Normal 5 9 4" xfId="1104" xr:uid="{00000000-0005-0000-0000-00001A0C0000}"/>
    <cellStyle name="Normal 5 9 4 2" xfId="2874" xr:uid="{00000000-0005-0000-0000-00001B0C0000}"/>
    <cellStyle name="Normal 5 9 5" xfId="1491" xr:uid="{00000000-0005-0000-0000-00001C0C0000}"/>
    <cellStyle name="Normal 5 9 5 2" xfId="3251" xr:uid="{00000000-0005-0000-0000-00001D0C0000}"/>
    <cellStyle name="Normal 5 9 6" xfId="1858" xr:uid="{00000000-0005-0000-0000-00001E0C0000}"/>
    <cellStyle name="Normal 5 9 6 2" xfId="3610" xr:uid="{00000000-0005-0000-0000-00001F0C0000}"/>
    <cellStyle name="Normal 5 9 7" xfId="2053" xr:uid="{00000000-0005-0000-0000-0000200C0000}"/>
    <cellStyle name="Normal 6" xfId="81" xr:uid="{00000000-0005-0000-0000-0000210C0000}"/>
    <cellStyle name="Normal 6 10" xfId="324" xr:uid="{00000000-0005-0000-0000-0000220C0000}"/>
    <cellStyle name="Normal 6 10 2" xfId="728" xr:uid="{00000000-0005-0000-0000-0000230C0000}"/>
    <cellStyle name="Normal 6 10 2 2" xfId="2518" xr:uid="{00000000-0005-0000-0000-0000240C0000}"/>
    <cellStyle name="Normal 6 10 3" xfId="1177" xr:uid="{00000000-0005-0000-0000-0000250C0000}"/>
    <cellStyle name="Normal 6 10 3 2" xfId="2946" xr:uid="{00000000-0005-0000-0000-0000260C0000}"/>
    <cellStyle name="Normal 6 10 4" xfId="1566" xr:uid="{00000000-0005-0000-0000-0000270C0000}"/>
    <cellStyle name="Normal 6 10 4 2" xfId="3324" xr:uid="{00000000-0005-0000-0000-0000280C0000}"/>
    <cellStyle name="Normal 6 10 5" xfId="2124" xr:uid="{00000000-0005-0000-0000-0000290C0000}"/>
    <cellStyle name="Normal 6 11" xfId="507" xr:uid="{00000000-0005-0000-0000-00002A0C0000}"/>
    <cellStyle name="Normal 6 11 2" xfId="939" xr:uid="{00000000-0005-0000-0000-00002B0C0000}"/>
    <cellStyle name="Normal 6 11 2 2" xfId="2719" xr:uid="{00000000-0005-0000-0000-00002C0C0000}"/>
    <cellStyle name="Normal 6 12" xfId="976" xr:uid="{00000000-0005-0000-0000-00002D0C0000}"/>
    <cellStyle name="Normal 6 12 2" xfId="2748" xr:uid="{00000000-0005-0000-0000-00002E0C0000}"/>
    <cellStyle name="Normal 6 13" xfId="1362" xr:uid="{00000000-0005-0000-0000-00002F0C0000}"/>
    <cellStyle name="Normal 6 13 2" xfId="3126" xr:uid="{00000000-0005-0000-0000-0000300C0000}"/>
    <cellStyle name="Normal 6 14" xfId="1516" xr:uid="{00000000-0005-0000-0000-0000310C0000}"/>
    <cellStyle name="Normal 6 14 2" xfId="3276" xr:uid="{00000000-0005-0000-0000-0000320C0000}"/>
    <cellStyle name="Normal 6 15" xfId="1927" xr:uid="{00000000-0005-0000-0000-0000330C0000}"/>
    <cellStyle name="Normal 6 16" xfId="3693" xr:uid="{00000000-0005-0000-0000-0000340C0000}"/>
    <cellStyle name="Normal 6 17" xfId="3712" xr:uid="{00000000-0005-0000-0000-0000350C0000}"/>
    <cellStyle name="Normal 6 2" xfId="86" xr:uid="{00000000-0005-0000-0000-0000360C0000}"/>
    <cellStyle name="Normal 6 2 2" xfId="350" xr:uid="{00000000-0005-0000-0000-0000370C0000}"/>
    <cellStyle name="Normal 6 2 2 2" xfId="753" xr:uid="{00000000-0005-0000-0000-0000380C0000}"/>
    <cellStyle name="Normal 6 2 2 2 2" xfId="2543" xr:uid="{00000000-0005-0000-0000-0000390C0000}"/>
    <cellStyle name="Normal 6 2 2 3" xfId="1204" xr:uid="{00000000-0005-0000-0000-00003A0C0000}"/>
    <cellStyle name="Normal 6 2 2 3 2" xfId="2973" xr:uid="{00000000-0005-0000-0000-00003B0C0000}"/>
    <cellStyle name="Normal 6 2 2 4" xfId="1593" xr:uid="{00000000-0005-0000-0000-00003C0C0000}"/>
    <cellStyle name="Normal 6 2 2 4 2" xfId="3350" xr:uid="{00000000-0005-0000-0000-00003D0C0000}"/>
    <cellStyle name="Normal 6 2 2 5" xfId="2151" xr:uid="{00000000-0005-0000-0000-00003E0C0000}"/>
    <cellStyle name="Normal 6 2 3" xfId="546" xr:uid="{00000000-0005-0000-0000-00003F0C0000}"/>
    <cellStyle name="Normal 6 2 3 2" xfId="2338" xr:uid="{00000000-0005-0000-0000-0000400C0000}"/>
    <cellStyle name="Normal 6 2 4" xfId="1006" xr:uid="{00000000-0005-0000-0000-0000410C0000}"/>
    <cellStyle name="Normal 6 2 4 2" xfId="2776" xr:uid="{00000000-0005-0000-0000-0000420C0000}"/>
    <cellStyle name="Normal 6 2 5" xfId="1392" xr:uid="{00000000-0005-0000-0000-0000430C0000}"/>
    <cellStyle name="Normal 6 2 5 2" xfId="3153" xr:uid="{00000000-0005-0000-0000-0000440C0000}"/>
    <cellStyle name="Normal 6 2 6" xfId="1758" xr:uid="{00000000-0005-0000-0000-0000450C0000}"/>
    <cellStyle name="Normal 6 2 6 2" xfId="3510" xr:uid="{00000000-0005-0000-0000-0000460C0000}"/>
    <cellStyle name="Normal 6 2 7" xfId="1955" xr:uid="{00000000-0005-0000-0000-0000470C0000}"/>
    <cellStyle name="Normal 6 3" xfId="138" xr:uid="{00000000-0005-0000-0000-0000480C0000}"/>
    <cellStyle name="Normal 6 3 2" xfId="343" xr:uid="{00000000-0005-0000-0000-0000490C0000}"/>
    <cellStyle name="Normal 6 3 2 2" xfId="745" xr:uid="{00000000-0005-0000-0000-00004A0C0000}"/>
    <cellStyle name="Normal 6 3 2 2 2" xfId="2535" xr:uid="{00000000-0005-0000-0000-00004B0C0000}"/>
    <cellStyle name="Normal 6 3 2 3" xfId="1196" xr:uid="{00000000-0005-0000-0000-00004C0C0000}"/>
    <cellStyle name="Normal 6 3 2 3 2" xfId="2965" xr:uid="{00000000-0005-0000-0000-00004D0C0000}"/>
    <cellStyle name="Normal 6 3 2 4" xfId="1585" xr:uid="{00000000-0005-0000-0000-00004E0C0000}"/>
    <cellStyle name="Normal 6 3 2 4 2" xfId="3342" xr:uid="{00000000-0005-0000-0000-00004F0C0000}"/>
    <cellStyle name="Normal 6 3 2 5" xfId="2143" xr:uid="{00000000-0005-0000-0000-0000500C0000}"/>
    <cellStyle name="Normal 6 3 3" xfId="553" xr:uid="{00000000-0005-0000-0000-0000510C0000}"/>
    <cellStyle name="Normal 6 3 3 2" xfId="2344" xr:uid="{00000000-0005-0000-0000-0000520C0000}"/>
    <cellStyle name="Normal 6 3 4" xfId="998" xr:uid="{00000000-0005-0000-0000-0000530C0000}"/>
    <cellStyle name="Normal 6 3 4 2" xfId="2768" xr:uid="{00000000-0005-0000-0000-0000540C0000}"/>
    <cellStyle name="Normal 6 3 5" xfId="1384" xr:uid="{00000000-0005-0000-0000-0000550C0000}"/>
    <cellStyle name="Normal 6 3 5 2" xfId="3145" xr:uid="{00000000-0005-0000-0000-0000560C0000}"/>
    <cellStyle name="Normal 6 3 6" xfId="1750" xr:uid="{00000000-0005-0000-0000-0000570C0000}"/>
    <cellStyle name="Normal 6 3 6 2" xfId="3502" xr:uid="{00000000-0005-0000-0000-0000580C0000}"/>
    <cellStyle name="Normal 6 3 7" xfId="1947" xr:uid="{00000000-0005-0000-0000-0000590C0000}"/>
    <cellStyle name="Normal 6 4" xfId="149" xr:uid="{00000000-0005-0000-0000-00005A0C0000}"/>
    <cellStyle name="Normal 6 4 2" xfId="353" xr:uid="{00000000-0005-0000-0000-00005B0C0000}"/>
    <cellStyle name="Normal 6 4 2 2" xfId="756" xr:uid="{00000000-0005-0000-0000-00005C0C0000}"/>
    <cellStyle name="Normal 6 4 2 2 2" xfId="2546" xr:uid="{00000000-0005-0000-0000-00005D0C0000}"/>
    <cellStyle name="Normal 6 4 2 3" xfId="1207" xr:uid="{00000000-0005-0000-0000-00005E0C0000}"/>
    <cellStyle name="Normal 6 4 2 3 2" xfId="2976" xr:uid="{00000000-0005-0000-0000-00005F0C0000}"/>
    <cellStyle name="Normal 6 4 2 4" xfId="1596" xr:uid="{00000000-0005-0000-0000-0000600C0000}"/>
    <cellStyle name="Normal 6 4 2 4 2" xfId="3353" xr:uid="{00000000-0005-0000-0000-0000610C0000}"/>
    <cellStyle name="Normal 6 4 2 5" xfId="2154" xr:uid="{00000000-0005-0000-0000-0000620C0000}"/>
    <cellStyle name="Normal 6 4 3" xfId="562" xr:uid="{00000000-0005-0000-0000-0000630C0000}"/>
    <cellStyle name="Normal 6 4 3 2" xfId="2353" xr:uid="{00000000-0005-0000-0000-0000640C0000}"/>
    <cellStyle name="Normal 6 4 4" xfId="1009" xr:uid="{00000000-0005-0000-0000-0000650C0000}"/>
    <cellStyle name="Normal 6 4 4 2" xfId="2779" xr:uid="{00000000-0005-0000-0000-0000660C0000}"/>
    <cellStyle name="Normal 6 4 5" xfId="1395" xr:uid="{00000000-0005-0000-0000-0000670C0000}"/>
    <cellStyle name="Normal 6 4 5 2" xfId="3156" xr:uid="{00000000-0005-0000-0000-0000680C0000}"/>
    <cellStyle name="Normal 6 4 6" xfId="1761" xr:uid="{00000000-0005-0000-0000-0000690C0000}"/>
    <cellStyle name="Normal 6 4 6 2" xfId="3513" xr:uid="{00000000-0005-0000-0000-00006A0C0000}"/>
    <cellStyle name="Normal 6 4 7" xfId="1958" xr:uid="{00000000-0005-0000-0000-00006B0C0000}"/>
    <cellStyle name="Normal 6 5" xfId="166" xr:uid="{00000000-0005-0000-0000-00006C0C0000}"/>
    <cellStyle name="Normal 6 5 2" xfId="368" xr:uid="{00000000-0005-0000-0000-00006D0C0000}"/>
    <cellStyle name="Normal 6 5 2 2" xfId="771" xr:uid="{00000000-0005-0000-0000-00006E0C0000}"/>
    <cellStyle name="Normal 6 5 2 2 2" xfId="2561" xr:uid="{00000000-0005-0000-0000-00006F0C0000}"/>
    <cellStyle name="Normal 6 5 2 3" xfId="1222" xr:uid="{00000000-0005-0000-0000-0000700C0000}"/>
    <cellStyle name="Normal 6 5 2 3 2" xfId="2991" xr:uid="{00000000-0005-0000-0000-0000710C0000}"/>
    <cellStyle name="Normal 6 5 2 4" xfId="1611" xr:uid="{00000000-0005-0000-0000-0000720C0000}"/>
    <cellStyle name="Normal 6 5 2 4 2" xfId="3368" xr:uid="{00000000-0005-0000-0000-0000730C0000}"/>
    <cellStyle name="Normal 6 5 2 5" xfId="2169" xr:uid="{00000000-0005-0000-0000-0000740C0000}"/>
    <cellStyle name="Normal 6 5 3" xfId="577" xr:uid="{00000000-0005-0000-0000-0000750C0000}"/>
    <cellStyle name="Normal 6 5 3 2" xfId="2368" xr:uid="{00000000-0005-0000-0000-0000760C0000}"/>
    <cellStyle name="Normal 6 5 4" xfId="1024" xr:uid="{00000000-0005-0000-0000-0000770C0000}"/>
    <cellStyle name="Normal 6 5 4 2" xfId="2794" xr:uid="{00000000-0005-0000-0000-0000780C0000}"/>
    <cellStyle name="Normal 6 5 5" xfId="1411" xr:uid="{00000000-0005-0000-0000-0000790C0000}"/>
    <cellStyle name="Normal 6 5 5 2" xfId="3171" xr:uid="{00000000-0005-0000-0000-00007A0C0000}"/>
    <cellStyle name="Normal 6 5 6" xfId="1778" xr:uid="{00000000-0005-0000-0000-00007B0C0000}"/>
    <cellStyle name="Normal 6 5 6 2" xfId="3530" xr:uid="{00000000-0005-0000-0000-00007C0C0000}"/>
    <cellStyle name="Normal 6 5 7" xfId="1973" xr:uid="{00000000-0005-0000-0000-00007D0C0000}"/>
    <cellStyle name="Normal 6 6" xfId="184" xr:uid="{00000000-0005-0000-0000-00007E0C0000}"/>
    <cellStyle name="Normal 6 6 2" xfId="385" xr:uid="{00000000-0005-0000-0000-00007F0C0000}"/>
    <cellStyle name="Normal 6 6 2 2" xfId="788" xr:uid="{00000000-0005-0000-0000-0000800C0000}"/>
    <cellStyle name="Normal 6 6 2 2 2" xfId="2578" xr:uid="{00000000-0005-0000-0000-0000810C0000}"/>
    <cellStyle name="Normal 6 6 2 3" xfId="1239" xr:uid="{00000000-0005-0000-0000-0000820C0000}"/>
    <cellStyle name="Normal 6 6 2 3 2" xfId="3008" xr:uid="{00000000-0005-0000-0000-0000830C0000}"/>
    <cellStyle name="Normal 6 6 2 4" xfId="1628" xr:uid="{00000000-0005-0000-0000-0000840C0000}"/>
    <cellStyle name="Normal 6 6 2 4 2" xfId="3385" xr:uid="{00000000-0005-0000-0000-0000850C0000}"/>
    <cellStyle name="Normal 6 6 2 5" xfId="2186" xr:uid="{00000000-0005-0000-0000-0000860C0000}"/>
    <cellStyle name="Normal 6 6 3" xfId="594" xr:uid="{00000000-0005-0000-0000-0000870C0000}"/>
    <cellStyle name="Normal 6 6 3 2" xfId="2385" xr:uid="{00000000-0005-0000-0000-0000880C0000}"/>
    <cellStyle name="Normal 6 6 4" xfId="1041" xr:uid="{00000000-0005-0000-0000-0000890C0000}"/>
    <cellStyle name="Normal 6 6 4 2" xfId="2811" xr:uid="{00000000-0005-0000-0000-00008A0C0000}"/>
    <cellStyle name="Normal 6 6 5" xfId="1428" xr:uid="{00000000-0005-0000-0000-00008B0C0000}"/>
    <cellStyle name="Normal 6 6 5 2" xfId="3188" xr:uid="{00000000-0005-0000-0000-00008C0C0000}"/>
    <cellStyle name="Normal 6 6 6" xfId="1795" xr:uid="{00000000-0005-0000-0000-00008D0C0000}"/>
    <cellStyle name="Normal 6 6 6 2" xfId="3547" xr:uid="{00000000-0005-0000-0000-00008E0C0000}"/>
    <cellStyle name="Normal 6 6 7" xfId="1990" xr:uid="{00000000-0005-0000-0000-00008F0C0000}"/>
    <cellStyle name="Normal 6 7" xfId="232" xr:uid="{00000000-0005-0000-0000-0000900C0000}"/>
    <cellStyle name="Normal 6 7 2" xfId="431" xr:uid="{00000000-0005-0000-0000-0000910C0000}"/>
    <cellStyle name="Normal 6 7 2 2" xfId="834" xr:uid="{00000000-0005-0000-0000-0000920C0000}"/>
    <cellStyle name="Normal 6 7 2 2 2" xfId="2624" xr:uid="{00000000-0005-0000-0000-0000930C0000}"/>
    <cellStyle name="Normal 6 7 2 3" xfId="1285" xr:uid="{00000000-0005-0000-0000-0000940C0000}"/>
    <cellStyle name="Normal 6 7 2 3 2" xfId="3054" xr:uid="{00000000-0005-0000-0000-0000950C0000}"/>
    <cellStyle name="Normal 6 7 2 4" xfId="1674" xr:uid="{00000000-0005-0000-0000-0000960C0000}"/>
    <cellStyle name="Normal 6 7 2 4 2" xfId="3431" xr:uid="{00000000-0005-0000-0000-0000970C0000}"/>
    <cellStyle name="Normal 6 7 2 5" xfId="2232" xr:uid="{00000000-0005-0000-0000-0000980C0000}"/>
    <cellStyle name="Normal 6 7 3" xfId="640" xr:uid="{00000000-0005-0000-0000-0000990C0000}"/>
    <cellStyle name="Normal 6 7 3 2" xfId="2431" xr:uid="{00000000-0005-0000-0000-00009A0C0000}"/>
    <cellStyle name="Normal 6 7 4" xfId="1087" xr:uid="{00000000-0005-0000-0000-00009B0C0000}"/>
    <cellStyle name="Normal 6 7 4 2" xfId="2857" xr:uid="{00000000-0005-0000-0000-00009C0C0000}"/>
    <cellStyle name="Normal 6 7 5" xfId="1474" xr:uid="{00000000-0005-0000-0000-00009D0C0000}"/>
    <cellStyle name="Normal 6 7 5 2" xfId="3234" xr:uid="{00000000-0005-0000-0000-00009E0C0000}"/>
    <cellStyle name="Normal 6 7 6" xfId="1841" xr:uid="{00000000-0005-0000-0000-00009F0C0000}"/>
    <cellStyle name="Normal 6 7 6 2" xfId="3593" xr:uid="{00000000-0005-0000-0000-0000A00C0000}"/>
    <cellStyle name="Normal 6 7 7" xfId="2036" xr:uid="{00000000-0005-0000-0000-0000A10C0000}"/>
    <cellStyle name="Normal 6 8" xfId="251" xr:uid="{00000000-0005-0000-0000-0000A20C0000}"/>
    <cellStyle name="Normal 6 8 2" xfId="449" xr:uid="{00000000-0005-0000-0000-0000A30C0000}"/>
    <cellStyle name="Normal 6 8 2 2" xfId="852" xr:uid="{00000000-0005-0000-0000-0000A40C0000}"/>
    <cellStyle name="Normal 6 8 2 2 2" xfId="2642" xr:uid="{00000000-0005-0000-0000-0000A50C0000}"/>
    <cellStyle name="Normal 6 8 2 3" xfId="1303" xr:uid="{00000000-0005-0000-0000-0000A60C0000}"/>
    <cellStyle name="Normal 6 8 2 3 2" xfId="3072" xr:uid="{00000000-0005-0000-0000-0000A70C0000}"/>
    <cellStyle name="Normal 6 8 2 4" xfId="1692" xr:uid="{00000000-0005-0000-0000-0000A80C0000}"/>
    <cellStyle name="Normal 6 8 2 4 2" xfId="3449" xr:uid="{00000000-0005-0000-0000-0000A90C0000}"/>
    <cellStyle name="Normal 6 8 2 5" xfId="2250" xr:uid="{00000000-0005-0000-0000-0000AA0C0000}"/>
    <cellStyle name="Normal 6 8 3" xfId="658" xr:uid="{00000000-0005-0000-0000-0000AB0C0000}"/>
    <cellStyle name="Normal 6 8 3 2" xfId="2449" xr:uid="{00000000-0005-0000-0000-0000AC0C0000}"/>
    <cellStyle name="Normal 6 8 4" xfId="1105" xr:uid="{00000000-0005-0000-0000-0000AD0C0000}"/>
    <cellStyle name="Normal 6 8 4 2" xfId="2875" xr:uid="{00000000-0005-0000-0000-0000AE0C0000}"/>
    <cellStyle name="Normal 6 8 5" xfId="1492" xr:uid="{00000000-0005-0000-0000-0000AF0C0000}"/>
    <cellStyle name="Normal 6 8 5 2" xfId="3252" xr:uid="{00000000-0005-0000-0000-0000B00C0000}"/>
    <cellStyle name="Normal 6 8 6" xfId="1859" xr:uid="{00000000-0005-0000-0000-0000B10C0000}"/>
    <cellStyle name="Normal 6 8 6 2" xfId="3611" xr:uid="{00000000-0005-0000-0000-0000B20C0000}"/>
    <cellStyle name="Normal 6 8 7" xfId="2054" xr:uid="{00000000-0005-0000-0000-0000B30C0000}"/>
    <cellStyle name="Normal 6 9" xfId="270" xr:uid="{00000000-0005-0000-0000-0000B40C0000}"/>
    <cellStyle name="Normal 6 9 2" xfId="467" xr:uid="{00000000-0005-0000-0000-0000B50C0000}"/>
    <cellStyle name="Normal 6 9 2 2" xfId="870" xr:uid="{00000000-0005-0000-0000-0000B60C0000}"/>
    <cellStyle name="Normal 6 9 2 2 2" xfId="2660" xr:uid="{00000000-0005-0000-0000-0000B70C0000}"/>
    <cellStyle name="Normal 6 9 2 3" xfId="1321" xr:uid="{00000000-0005-0000-0000-0000B80C0000}"/>
    <cellStyle name="Normal 6 9 2 3 2" xfId="3090" xr:uid="{00000000-0005-0000-0000-0000B90C0000}"/>
    <cellStyle name="Normal 6 9 2 4" xfId="1710" xr:uid="{00000000-0005-0000-0000-0000BA0C0000}"/>
    <cellStyle name="Normal 6 9 2 4 2" xfId="3467" xr:uid="{00000000-0005-0000-0000-0000BB0C0000}"/>
    <cellStyle name="Normal 6 9 2 5" xfId="2268" xr:uid="{00000000-0005-0000-0000-0000BC0C0000}"/>
    <cellStyle name="Normal 6 9 3" xfId="676" xr:uid="{00000000-0005-0000-0000-0000BD0C0000}"/>
    <cellStyle name="Normal 6 9 3 2" xfId="2467" xr:uid="{00000000-0005-0000-0000-0000BE0C0000}"/>
    <cellStyle name="Normal 6 9 4" xfId="1123" xr:uid="{00000000-0005-0000-0000-0000BF0C0000}"/>
    <cellStyle name="Normal 6 9 4 2" xfId="2893" xr:uid="{00000000-0005-0000-0000-0000C00C0000}"/>
    <cellStyle name="Normal 6 9 5" xfId="1510" xr:uid="{00000000-0005-0000-0000-0000C10C0000}"/>
    <cellStyle name="Normal 6 9 5 2" xfId="3270" xr:uid="{00000000-0005-0000-0000-0000C20C0000}"/>
    <cellStyle name="Normal 6 9 6" xfId="1877" xr:uid="{00000000-0005-0000-0000-0000C30C0000}"/>
    <cellStyle name="Normal 6 9 6 2" xfId="3629" xr:uid="{00000000-0005-0000-0000-0000C40C0000}"/>
    <cellStyle name="Normal 6 9 7" xfId="2072" xr:uid="{00000000-0005-0000-0000-0000C50C0000}"/>
    <cellStyle name="Normal 7" xfId="88" xr:uid="{00000000-0005-0000-0000-0000C60C0000}"/>
    <cellStyle name="Normal 7 10" xfId="325" xr:uid="{00000000-0005-0000-0000-0000C70C0000}"/>
    <cellStyle name="Normal 7 10 2" xfId="729" xr:uid="{00000000-0005-0000-0000-0000C80C0000}"/>
    <cellStyle name="Normal 7 10 2 2" xfId="2519" xr:uid="{00000000-0005-0000-0000-0000C90C0000}"/>
    <cellStyle name="Normal 7 10 3" xfId="1178" xr:uid="{00000000-0005-0000-0000-0000CA0C0000}"/>
    <cellStyle name="Normal 7 10 3 2" xfId="2947" xr:uid="{00000000-0005-0000-0000-0000CB0C0000}"/>
    <cellStyle name="Normal 7 10 4" xfId="1567" xr:uid="{00000000-0005-0000-0000-0000CC0C0000}"/>
    <cellStyle name="Normal 7 10 4 2" xfId="3325" xr:uid="{00000000-0005-0000-0000-0000CD0C0000}"/>
    <cellStyle name="Normal 7 10 5" xfId="2125" xr:uid="{00000000-0005-0000-0000-0000CE0C0000}"/>
    <cellStyle name="Normal 7 11" xfId="508" xr:uid="{00000000-0005-0000-0000-0000CF0C0000}"/>
    <cellStyle name="Normal 7 11 2" xfId="940" xr:uid="{00000000-0005-0000-0000-0000D00C0000}"/>
    <cellStyle name="Normal 7 11 2 2" xfId="2720" xr:uid="{00000000-0005-0000-0000-0000D10C0000}"/>
    <cellStyle name="Normal 7 12" xfId="977" xr:uid="{00000000-0005-0000-0000-0000D20C0000}"/>
    <cellStyle name="Normal 7 12 2" xfId="2749" xr:uid="{00000000-0005-0000-0000-0000D30C0000}"/>
    <cellStyle name="Normal 7 13" xfId="1363" xr:uid="{00000000-0005-0000-0000-0000D40C0000}"/>
    <cellStyle name="Normal 7 13 2" xfId="3127" xr:uid="{00000000-0005-0000-0000-0000D50C0000}"/>
    <cellStyle name="Normal 7 14" xfId="893" xr:uid="{00000000-0005-0000-0000-0000D60C0000}"/>
    <cellStyle name="Normal 7 14 2" xfId="2682" xr:uid="{00000000-0005-0000-0000-0000D70C0000}"/>
    <cellStyle name="Normal 7 15" xfId="1928" xr:uid="{00000000-0005-0000-0000-0000D80C0000}"/>
    <cellStyle name="Normal 7 15 2" xfId="3744" xr:uid="{00000000-0005-0000-0000-0000D90C0000}"/>
    <cellStyle name="Normal 7 15 2 2" xfId="3769" xr:uid="{00000000-0005-0000-0000-0000DA0C0000}"/>
    <cellStyle name="Normal 7 15 2 3" xfId="3736" xr:uid="{00000000-0005-0000-0000-0000DB0C0000}"/>
    <cellStyle name="Normal 7 15 3" xfId="3799" xr:uid="{00000000-0005-0000-0000-0000DC0C0000}"/>
    <cellStyle name="Normal 7 15 4" xfId="3779" xr:uid="{00000000-0005-0000-0000-0000DD0C0000}"/>
    <cellStyle name="Normal 7 16" xfId="3653" xr:uid="{00000000-0005-0000-0000-0000DE0C0000}"/>
    <cellStyle name="Normal 7 17" xfId="3677" xr:uid="{00000000-0005-0000-0000-0000DF0C0000}"/>
    <cellStyle name="Normal 7 18" xfId="3694" xr:uid="{00000000-0005-0000-0000-0000E00C0000}"/>
    <cellStyle name="Normal 7 18 2" xfId="3763" xr:uid="{00000000-0005-0000-0000-0000E10C0000}"/>
    <cellStyle name="Normal 7 18 3" xfId="3774" xr:uid="{00000000-0005-0000-0000-0000E20C0000}"/>
    <cellStyle name="Normal 7 19" xfId="3705" xr:uid="{00000000-0005-0000-0000-0000E30C0000}"/>
    <cellStyle name="Normal 7 2" xfId="112" xr:uid="{00000000-0005-0000-0000-0000E40C0000}"/>
    <cellStyle name="Normal 7 2 2" xfId="351" xr:uid="{00000000-0005-0000-0000-0000E50C0000}"/>
    <cellStyle name="Normal 7 2 2 2" xfId="754" xr:uid="{00000000-0005-0000-0000-0000E60C0000}"/>
    <cellStyle name="Normal 7 2 2 2 2" xfId="2544" xr:uid="{00000000-0005-0000-0000-0000E70C0000}"/>
    <cellStyle name="Normal 7 2 2 3" xfId="1205" xr:uid="{00000000-0005-0000-0000-0000E80C0000}"/>
    <cellStyle name="Normal 7 2 2 3 2" xfId="2974" xr:uid="{00000000-0005-0000-0000-0000E90C0000}"/>
    <cellStyle name="Normal 7 2 2 4" xfId="1594" xr:uid="{00000000-0005-0000-0000-0000EA0C0000}"/>
    <cellStyle name="Normal 7 2 2 4 2" xfId="3351" xr:uid="{00000000-0005-0000-0000-0000EB0C0000}"/>
    <cellStyle name="Normal 7 2 2 5" xfId="2152" xr:uid="{00000000-0005-0000-0000-0000EC0C0000}"/>
    <cellStyle name="Normal 7 2 3" xfId="547" xr:uid="{00000000-0005-0000-0000-0000ED0C0000}"/>
    <cellStyle name="Normal 7 2 3 2" xfId="2339" xr:uid="{00000000-0005-0000-0000-0000EE0C0000}"/>
    <cellStyle name="Normal 7 2 4" xfId="1007" xr:uid="{00000000-0005-0000-0000-0000EF0C0000}"/>
    <cellStyle name="Normal 7 2 4 2" xfId="2777" xr:uid="{00000000-0005-0000-0000-0000F00C0000}"/>
    <cellStyle name="Normal 7 2 5" xfId="1393" xr:uid="{00000000-0005-0000-0000-0000F10C0000}"/>
    <cellStyle name="Normal 7 2 5 2" xfId="3154" xr:uid="{00000000-0005-0000-0000-0000F20C0000}"/>
    <cellStyle name="Normal 7 2 6" xfId="1759" xr:uid="{00000000-0005-0000-0000-0000F30C0000}"/>
    <cellStyle name="Normal 7 2 6 2" xfId="3511" xr:uid="{00000000-0005-0000-0000-0000F40C0000}"/>
    <cellStyle name="Normal 7 2 7" xfId="1956" xr:uid="{00000000-0005-0000-0000-0000F50C0000}"/>
    <cellStyle name="Normal 7 20" xfId="3853" xr:uid="{00000000-0005-0000-0000-0000F60C0000}"/>
    <cellStyle name="Normal 7 3" xfId="119" xr:uid="{00000000-0005-0000-0000-0000F70C0000}"/>
    <cellStyle name="Normal 7 3 2" xfId="330" xr:uid="{00000000-0005-0000-0000-0000F80C0000}"/>
    <cellStyle name="Normal 7 3 2 2" xfId="732" xr:uid="{00000000-0005-0000-0000-0000F90C0000}"/>
    <cellStyle name="Normal 7 3 2 2 2" xfId="2522" xr:uid="{00000000-0005-0000-0000-0000FA0C0000}"/>
    <cellStyle name="Normal 7 3 2 3" xfId="1183" xr:uid="{00000000-0005-0000-0000-0000FB0C0000}"/>
    <cellStyle name="Normal 7 3 2 3 2" xfId="2952" xr:uid="{00000000-0005-0000-0000-0000FC0C0000}"/>
    <cellStyle name="Normal 7 3 2 4" xfId="1572" xr:uid="{00000000-0005-0000-0000-0000FD0C0000}"/>
    <cellStyle name="Normal 7 3 2 4 2" xfId="3329" xr:uid="{00000000-0005-0000-0000-0000FE0C0000}"/>
    <cellStyle name="Normal 7 3 2 5" xfId="2130" xr:uid="{00000000-0005-0000-0000-0000FF0C0000}"/>
    <cellStyle name="Normal 7 3 3" xfId="552" xr:uid="{00000000-0005-0000-0000-0000000D0000}"/>
    <cellStyle name="Normal 7 3 3 2" xfId="2343" xr:uid="{00000000-0005-0000-0000-0000010D0000}"/>
    <cellStyle name="Normal 7 3 4" xfId="984" xr:uid="{00000000-0005-0000-0000-0000020D0000}"/>
    <cellStyle name="Normal 7 3 4 2" xfId="2754" xr:uid="{00000000-0005-0000-0000-0000030D0000}"/>
    <cellStyle name="Normal 7 3 5" xfId="1370" xr:uid="{00000000-0005-0000-0000-0000040D0000}"/>
    <cellStyle name="Normal 7 3 5 2" xfId="3132" xr:uid="{00000000-0005-0000-0000-0000050D0000}"/>
    <cellStyle name="Normal 7 3 6" xfId="1736" xr:uid="{00000000-0005-0000-0000-0000060D0000}"/>
    <cellStyle name="Normal 7 3 6 2" xfId="3489" xr:uid="{00000000-0005-0000-0000-0000070D0000}"/>
    <cellStyle name="Normal 7 3 7" xfId="1934" xr:uid="{00000000-0005-0000-0000-0000080D0000}"/>
    <cellStyle name="Normal 7 4" xfId="150" xr:uid="{00000000-0005-0000-0000-0000090D0000}"/>
    <cellStyle name="Normal 7 4 2" xfId="354" xr:uid="{00000000-0005-0000-0000-00000A0D0000}"/>
    <cellStyle name="Normal 7 4 2 2" xfId="757" xr:uid="{00000000-0005-0000-0000-00000B0D0000}"/>
    <cellStyle name="Normal 7 4 2 2 2" xfId="2547" xr:uid="{00000000-0005-0000-0000-00000C0D0000}"/>
    <cellStyle name="Normal 7 4 2 3" xfId="1208" xr:uid="{00000000-0005-0000-0000-00000D0D0000}"/>
    <cellStyle name="Normal 7 4 2 3 2" xfId="2977" xr:uid="{00000000-0005-0000-0000-00000E0D0000}"/>
    <cellStyle name="Normal 7 4 2 4" xfId="1597" xr:uid="{00000000-0005-0000-0000-00000F0D0000}"/>
    <cellStyle name="Normal 7 4 2 4 2" xfId="3354" xr:uid="{00000000-0005-0000-0000-0000100D0000}"/>
    <cellStyle name="Normal 7 4 2 5" xfId="2155" xr:uid="{00000000-0005-0000-0000-0000110D0000}"/>
    <cellStyle name="Normal 7 4 3" xfId="563" xr:uid="{00000000-0005-0000-0000-0000120D0000}"/>
    <cellStyle name="Normal 7 4 3 2" xfId="2354" xr:uid="{00000000-0005-0000-0000-0000130D0000}"/>
    <cellStyle name="Normal 7 4 4" xfId="1010" xr:uid="{00000000-0005-0000-0000-0000140D0000}"/>
    <cellStyle name="Normal 7 4 4 2" xfId="2780" xr:uid="{00000000-0005-0000-0000-0000150D0000}"/>
    <cellStyle name="Normal 7 4 5" xfId="1396" xr:uid="{00000000-0005-0000-0000-0000160D0000}"/>
    <cellStyle name="Normal 7 4 5 2" xfId="3157" xr:uid="{00000000-0005-0000-0000-0000170D0000}"/>
    <cellStyle name="Normal 7 4 6" xfId="1762" xr:uid="{00000000-0005-0000-0000-0000180D0000}"/>
    <cellStyle name="Normal 7 4 6 2" xfId="3514" xr:uid="{00000000-0005-0000-0000-0000190D0000}"/>
    <cellStyle name="Normal 7 4 7" xfId="1959" xr:uid="{00000000-0005-0000-0000-00001A0D0000}"/>
    <cellStyle name="Normal 7 5" xfId="167" xr:uid="{00000000-0005-0000-0000-00001B0D0000}"/>
    <cellStyle name="Normal 7 5 2" xfId="369" xr:uid="{00000000-0005-0000-0000-00001C0D0000}"/>
    <cellStyle name="Normal 7 5 2 2" xfId="772" xr:uid="{00000000-0005-0000-0000-00001D0D0000}"/>
    <cellStyle name="Normal 7 5 2 2 2" xfId="2562" xr:uid="{00000000-0005-0000-0000-00001E0D0000}"/>
    <cellStyle name="Normal 7 5 2 3" xfId="1223" xr:uid="{00000000-0005-0000-0000-00001F0D0000}"/>
    <cellStyle name="Normal 7 5 2 3 2" xfId="2992" xr:uid="{00000000-0005-0000-0000-0000200D0000}"/>
    <cellStyle name="Normal 7 5 2 4" xfId="1612" xr:uid="{00000000-0005-0000-0000-0000210D0000}"/>
    <cellStyle name="Normal 7 5 2 4 2" xfId="3369" xr:uid="{00000000-0005-0000-0000-0000220D0000}"/>
    <cellStyle name="Normal 7 5 2 5" xfId="2170" xr:uid="{00000000-0005-0000-0000-0000230D0000}"/>
    <cellStyle name="Normal 7 5 3" xfId="578" xr:uid="{00000000-0005-0000-0000-0000240D0000}"/>
    <cellStyle name="Normal 7 5 3 2" xfId="2369" xr:uid="{00000000-0005-0000-0000-0000250D0000}"/>
    <cellStyle name="Normal 7 5 4" xfId="1025" xr:uid="{00000000-0005-0000-0000-0000260D0000}"/>
    <cellStyle name="Normal 7 5 4 2" xfId="2795" xr:uid="{00000000-0005-0000-0000-0000270D0000}"/>
    <cellStyle name="Normal 7 5 5" xfId="1412" xr:uid="{00000000-0005-0000-0000-0000280D0000}"/>
    <cellStyle name="Normal 7 5 5 2" xfId="3172" xr:uid="{00000000-0005-0000-0000-0000290D0000}"/>
    <cellStyle name="Normal 7 5 6" xfId="1779" xr:uid="{00000000-0005-0000-0000-00002A0D0000}"/>
    <cellStyle name="Normal 7 5 6 2" xfId="3531" xr:uid="{00000000-0005-0000-0000-00002B0D0000}"/>
    <cellStyle name="Normal 7 5 7" xfId="1974" xr:uid="{00000000-0005-0000-0000-00002C0D0000}"/>
    <cellStyle name="Normal 7 6" xfId="185" xr:uid="{00000000-0005-0000-0000-00002D0D0000}"/>
    <cellStyle name="Normal 7 6 2" xfId="386" xr:uid="{00000000-0005-0000-0000-00002E0D0000}"/>
    <cellStyle name="Normal 7 6 2 2" xfId="789" xr:uid="{00000000-0005-0000-0000-00002F0D0000}"/>
    <cellStyle name="Normal 7 6 2 2 2" xfId="2579" xr:uid="{00000000-0005-0000-0000-0000300D0000}"/>
    <cellStyle name="Normal 7 6 2 3" xfId="1240" xr:uid="{00000000-0005-0000-0000-0000310D0000}"/>
    <cellStyle name="Normal 7 6 2 3 2" xfId="3009" xr:uid="{00000000-0005-0000-0000-0000320D0000}"/>
    <cellStyle name="Normal 7 6 2 4" xfId="1629" xr:uid="{00000000-0005-0000-0000-0000330D0000}"/>
    <cellStyle name="Normal 7 6 2 4 2" xfId="3386" xr:uid="{00000000-0005-0000-0000-0000340D0000}"/>
    <cellStyle name="Normal 7 6 2 5" xfId="2187" xr:uid="{00000000-0005-0000-0000-0000350D0000}"/>
    <cellStyle name="Normal 7 6 3" xfId="595" xr:uid="{00000000-0005-0000-0000-0000360D0000}"/>
    <cellStyle name="Normal 7 6 3 2" xfId="2386" xr:uid="{00000000-0005-0000-0000-0000370D0000}"/>
    <cellStyle name="Normal 7 6 4" xfId="1042" xr:uid="{00000000-0005-0000-0000-0000380D0000}"/>
    <cellStyle name="Normal 7 6 4 2" xfId="2812" xr:uid="{00000000-0005-0000-0000-0000390D0000}"/>
    <cellStyle name="Normal 7 6 5" xfId="1429" xr:uid="{00000000-0005-0000-0000-00003A0D0000}"/>
    <cellStyle name="Normal 7 6 5 2" xfId="3189" xr:uid="{00000000-0005-0000-0000-00003B0D0000}"/>
    <cellStyle name="Normal 7 6 6" xfId="1796" xr:uid="{00000000-0005-0000-0000-00003C0D0000}"/>
    <cellStyle name="Normal 7 6 6 2" xfId="3548" xr:uid="{00000000-0005-0000-0000-00003D0D0000}"/>
    <cellStyle name="Normal 7 6 7" xfId="1991" xr:uid="{00000000-0005-0000-0000-00003E0D0000}"/>
    <cellStyle name="Normal 7 7" xfId="233" xr:uid="{00000000-0005-0000-0000-00003F0D0000}"/>
    <cellStyle name="Normal 7 7 2" xfId="432" xr:uid="{00000000-0005-0000-0000-0000400D0000}"/>
    <cellStyle name="Normal 7 7 2 2" xfId="835" xr:uid="{00000000-0005-0000-0000-0000410D0000}"/>
    <cellStyle name="Normal 7 7 2 2 2" xfId="2625" xr:uid="{00000000-0005-0000-0000-0000420D0000}"/>
    <cellStyle name="Normal 7 7 2 3" xfId="1286" xr:uid="{00000000-0005-0000-0000-0000430D0000}"/>
    <cellStyle name="Normal 7 7 2 3 2" xfId="3055" xr:uid="{00000000-0005-0000-0000-0000440D0000}"/>
    <cellStyle name="Normal 7 7 2 4" xfId="1675" xr:uid="{00000000-0005-0000-0000-0000450D0000}"/>
    <cellStyle name="Normal 7 7 2 4 2" xfId="3432" xr:uid="{00000000-0005-0000-0000-0000460D0000}"/>
    <cellStyle name="Normal 7 7 2 5" xfId="2233" xr:uid="{00000000-0005-0000-0000-0000470D0000}"/>
    <cellStyle name="Normal 7 7 3" xfId="641" xr:uid="{00000000-0005-0000-0000-0000480D0000}"/>
    <cellStyle name="Normal 7 7 3 2" xfId="2432" xr:uid="{00000000-0005-0000-0000-0000490D0000}"/>
    <cellStyle name="Normal 7 7 4" xfId="1088" xr:uid="{00000000-0005-0000-0000-00004A0D0000}"/>
    <cellStyle name="Normal 7 7 4 2" xfId="2858" xr:uid="{00000000-0005-0000-0000-00004B0D0000}"/>
    <cellStyle name="Normal 7 7 5" xfId="1475" xr:uid="{00000000-0005-0000-0000-00004C0D0000}"/>
    <cellStyle name="Normal 7 7 5 2" xfId="3235" xr:uid="{00000000-0005-0000-0000-00004D0D0000}"/>
    <cellStyle name="Normal 7 7 6" xfId="1842" xr:uid="{00000000-0005-0000-0000-00004E0D0000}"/>
    <cellStyle name="Normal 7 7 6 2" xfId="3594" xr:uid="{00000000-0005-0000-0000-00004F0D0000}"/>
    <cellStyle name="Normal 7 7 7" xfId="2037" xr:uid="{00000000-0005-0000-0000-0000500D0000}"/>
    <cellStyle name="Normal 7 8" xfId="252" xr:uid="{00000000-0005-0000-0000-0000510D0000}"/>
    <cellStyle name="Normal 7 8 2" xfId="450" xr:uid="{00000000-0005-0000-0000-0000520D0000}"/>
    <cellStyle name="Normal 7 8 2 2" xfId="853" xr:uid="{00000000-0005-0000-0000-0000530D0000}"/>
    <cellStyle name="Normal 7 8 2 2 2" xfId="2643" xr:uid="{00000000-0005-0000-0000-0000540D0000}"/>
    <cellStyle name="Normal 7 8 2 3" xfId="1304" xr:uid="{00000000-0005-0000-0000-0000550D0000}"/>
    <cellStyle name="Normal 7 8 2 3 2" xfId="3073" xr:uid="{00000000-0005-0000-0000-0000560D0000}"/>
    <cellStyle name="Normal 7 8 2 4" xfId="1693" xr:uid="{00000000-0005-0000-0000-0000570D0000}"/>
    <cellStyle name="Normal 7 8 2 4 2" xfId="3450" xr:uid="{00000000-0005-0000-0000-0000580D0000}"/>
    <cellStyle name="Normal 7 8 2 5" xfId="2251" xr:uid="{00000000-0005-0000-0000-0000590D0000}"/>
    <cellStyle name="Normal 7 8 3" xfId="659" xr:uid="{00000000-0005-0000-0000-00005A0D0000}"/>
    <cellStyle name="Normal 7 8 3 2" xfId="2450" xr:uid="{00000000-0005-0000-0000-00005B0D0000}"/>
    <cellStyle name="Normal 7 8 4" xfId="1106" xr:uid="{00000000-0005-0000-0000-00005C0D0000}"/>
    <cellStyle name="Normal 7 8 4 2" xfId="2876" xr:uid="{00000000-0005-0000-0000-00005D0D0000}"/>
    <cellStyle name="Normal 7 8 5" xfId="1493" xr:uid="{00000000-0005-0000-0000-00005E0D0000}"/>
    <cellStyle name="Normal 7 8 5 2" xfId="3253" xr:uid="{00000000-0005-0000-0000-00005F0D0000}"/>
    <cellStyle name="Normal 7 8 6" xfId="1860" xr:uid="{00000000-0005-0000-0000-0000600D0000}"/>
    <cellStyle name="Normal 7 8 6 2" xfId="3612" xr:uid="{00000000-0005-0000-0000-0000610D0000}"/>
    <cellStyle name="Normal 7 8 7" xfId="2055" xr:uid="{00000000-0005-0000-0000-0000620D0000}"/>
    <cellStyle name="Normal 7 9" xfId="271" xr:uid="{00000000-0005-0000-0000-0000630D0000}"/>
    <cellStyle name="Normal 7 9 2" xfId="468" xr:uid="{00000000-0005-0000-0000-0000640D0000}"/>
    <cellStyle name="Normal 7 9 2 2" xfId="871" xr:uid="{00000000-0005-0000-0000-0000650D0000}"/>
    <cellStyle name="Normal 7 9 2 2 2" xfId="2661" xr:uid="{00000000-0005-0000-0000-0000660D0000}"/>
    <cellStyle name="Normal 7 9 2 3" xfId="1322" xr:uid="{00000000-0005-0000-0000-0000670D0000}"/>
    <cellStyle name="Normal 7 9 2 3 2" xfId="3091" xr:uid="{00000000-0005-0000-0000-0000680D0000}"/>
    <cellStyle name="Normal 7 9 2 4" xfId="1711" xr:uid="{00000000-0005-0000-0000-0000690D0000}"/>
    <cellStyle name="Normal 7 9 2 4 2" xfId="3468" xr:uid="{00000000-0005-0000-0000-00006A0D0000}"/>
    <cellStyle name="Normal 7 9 2 5" xfId="2269" xr:uid="{00000000-0005-0000-0000-00006B0D0000}"/>
    <cellStyle name="Normal 7 9 3" xfId="677" xr:uid="{00000000-0005-0000-0000-00006C0D0000}"/>
    <cellStyle name="Normal 7 9 3 2" xfId="2468" xr:uid="{00000000-0005-0000-0000-00006D0D0000}"/>
    <cellStyle name="Normal 7 9 4" xfId="1124" xr:uid="{00000000-0005-0000-0000-00006E0D0000}"/>
    <cellStyle name="Normal 7 9 4 2" xfId="2894" xr:uid="{00000000-0005-0000-0000-00006F0D0000}"/>
    <cellStyle name="Normal 7 9 5" xfId="1511" xr:uid="{00000000-0005-0000-0000-0000700D0000}"/>
    <cellStyle name="Normal 7 9 5 2" xfId="3271" xr:uid="{00000000-0005-0000-0000-0000710D0000}"/>
    <cellStyle name="Normal 7 9 6" xfId="1878" xr:uid="{00000000-0005-0000-0000-0000720D0000}"/>
    <cellStyle name="Normal 7 9 6 2" xfId="3630" xr:uid="{00000000-0005-0000-0000-0000730D0000}"/>
    <cellStyle name="Normal 7 9 7" xfId="2073" xr:uid="{00000000-0005-0000-0000-0000740D0000}"/>
    <cellStyle name="Normal 8" xfId="90" xr:uid="{00000000-0005-0000-0000-0000750D0000}"/>
    <cellStyle name="Normal 8 2" xfId="328" xr:uid="{00000000-0005-0000-0000-0000760D0000}"/>
    <cellStyle name="Normal 8 2 2" xfId="549" xr:uid="{00000000-0005-0000-0000-0000770D0000}"/>
    <cellStyle name="Normal 8 2 2 2" xfId="2341" xr:uid="{00000000-0005-0000-0000-0000780D0000}"/>
    <cellStyle name="Normal 8 2 3" xfId="1181" xr:uid="{00000000-0005-0000-0000-0000790D0000}"/>
    <cellStyle name="Normal 8 2 3 2" xfId="2950" xr:uid="{00000000-0005-0000-0000-00007A0D0000}"/>
    <cellStyle name="Normal 8 2 4" xfId="1570" xr:uid="{00000000-0005-0000-0000-00007B0D0000}"/>
    <cellStyle name="Normal 8 2 4 2" xfId="3328" xr:uid="{00000000-0005-0000-0000-00007C0D0000}"/>
    <cellStyle name="Normal 8 2 5" xfId="2128" xr:uid="{00000000-0005-0000-0000-00007D0D0000}"/>
    <cellStyle name="Normal 8 3" xfId="511" xr:uid="{00000000-0005-0000-0000-00007E0D0000}"/>
    <cellStyle name="Normal 8 3 2" xfId="941" xr:uid="{00000000-0005-0000-0000-00007F0D0000}"/>
    <cellStyle name="Normal 8 3 2 2" xfId="2721" xr:uid="{00000000-0005-0000-0000-0000800D0000}"/>
    <cellStyle name="Normal 8 4" xfId="980" xr:uid="{00000000-0005-0000-0000-0000810D0000}"/>
    <cellStyle name="Normal 8 4 2" xfId="2752" xr:uid="{00000000-0005-0000-0000-0000820D0000}"/>
    <cellStyle name="Normal 8 5" xfId="1366" xr:uid="{00000000-0005-0000-0000-0000830D0000}"/>
    <cellStyle name="Normal 8 5 2" xfId="3130" xr:uid="{00000000-0005-0000-0000-0000840D0000}"/>
    <cellStyle name="Normal 8 6" xfId="1732" xr:uid="{00000000-0005-0000-0000-0000850D0000}"/>
    <cellStyle name="Normal 8 6 2" xfId="3488" xr:uid="{00000000-0005-0000-0000-0000860D0000}"/>
    <cellStyle name="Normal 8 7" xfId="1931" xr:uid="{00000000-0005-0000-0000-0000870D0000}"/>
    <cellStyle name="Normal 9" xfId="118" xr:uid="{00000000-0005-0000-0000-0000880D0000}"/>
    <cellStyle name="Normal_00 bud" xfId="53" xr:uid="{00000000-0005-0000-0000-0000890D0000}"/>
    <cellStyle name="Normal_admin" xfId="54" xr:uid="{00000000-0005-0000-0000-00008A0D0000}"/>
    <cellStyle name="Normal_contents" xfId="55" xr:uid="{00000000-0005-0000-0000-00008B0D0000}"/>
    <cellStyle name="Normal_elecgas" xfId="56" xr:uid="{00000000-0005-0000-0000-00008C0D0000}"/>
    <cellStyle name="Normal_income" xfId="57" xr:uid="{00000000-0005-0000-0000-00008D0D0000}"/>
    <cellStyle name="Normal_ins" xfId="58" xr:uid="{00000000-0005-0000-0000-00008E0D0000}"/>
    <cellStyle name="Normal_mgmtfee" xfId="59" xr:uid="{00000000-0005-0000-0000-00008F0D0000}"/>
    <cellStyle name="Normal_mtg" xfId="60" xr:uid="{00000000-0005-0000-0000-0000900D0000}"/>
    <cellStyle name="Normal_prof" xfId="61" xr:uid="{00000000-0005-0000-0000-0000910D0000}"/>
    <cellStyle name="Normal_pyrl" xfId="62" xr:uid="{00000000-0005-0000-0000-0000920D0000}"/>
    <cellStyle name="Normal_repairs" xfId="63" xr:uid="{00000000-0005-0000-0000-0000930D0000}"/>
    <cellStyle name="Normal_retax" xfId="3851" xr:uid="{00000000-0005-0000-0000-0000940D0000}"/>
    <cellStyle name="Normal_Sheet1" xfId="64" xr:uid="{00000000-0005-0000-0000-0000950D0000}"/>
    <cellStyle name="Normal_wtrswr" xfId="65" xr:uid="{00000000-0005-0000-0000-0000960D0000}"/>
    <cellStyle name="Note 2" xfId="66" xr:uid="{00000000-0005-0000-0000-0000970D0000}"/>
    <cellStyle name="Note 2 10" xfId="308" xr:uid="{00000000-0005-0000-0000-0000980D0000}"/>
    <cellStyle name="Note 2 10 2" xfId="712" xr:uid="{00000000-0005-0000-0000-0000990D0000}"/>
    <cellStyle name="Note 2 10 2 2" xfId="2503" xr:uid="{00000000-0005-0000-0000-00009A0D0000}"/>
    <cellStyle name="Note 2 10 3" xfId="1161" xr:uid="{00000000-0005-0000-0000-00009B0D0000}"/>
    <cellStyle name="Note 2 10 3 2" xfId="2931" xr:uid="{00000000-0005-0000-0000-00009C0D0000}"/>
    <cellStyle name="Note 2 10 4" xfId="1550" xr:uid="{00000000-0005-0000-0000-00009D0D0000}"/>
    <cellStyle name="Note 2 10 4 2" xfId="3309" xr:uid="{00000000-0005-0000-0000-00009E0D0000}"/>
    <cellStyle name="Note 2 10 5" xfId="2109" xr:uid="{00000000-0005-0000-0000-00009F0D0000}"/>
    <cellStyle name="Note 2 11" xfId="502" xr:uid="{00000000-0005-0000-0000-0000A00D0000}"/>
    <cellStyle name="Note 2 11 2" xfId="2303" xr:uid="{00000000-0005-0000-0000-0000A10D0000}"/>
    <cellStyle name="Note 2 12" xfId="930" xr:uid="{00000000-0005-0000-0000-0000A20D0000}"/>
    <cellStyle name="Note 2 12 2" xfId="2717" xr:uid="{00000000-0005-0000-0000-0000A30D0000}"/>
    <cellStyle name="Note 2 13" xfId="946" xr:uid="{00000000-0005-0000-0000-0000A40D0000}"/>
    <cellStyle name="Note 2 13 2" xfId="2725" xr:uid="{00000000-0005-0000-0000-0000A50D0000}"/>
    <cellStyle name="Note 2 14" xfId="1182" xr:uid="{00000000-0005-0000-0000-0000A60D0000}"/>
    <cellStyle name="Note 2 14 2" xfId="2951" xr:uid="{00000000-0005-0000-0000-0000A70D0000}"/>
    <cellStyle name="Note 2 15" xfId="1911" xr:uid="{00000000-0005-0000-0000-0000A80D0000}"/>
    <cellStyle name="Note 2 16" xfId="3821" xr:uid="{00000000-0005-0000-0000-0000A90D0000}"/>
    <cellStyle name="Note 2 17" xfId="3839" xr:uid="{00000000-0005-0000-0000-0000AA0D0000}"/>
    <cellStyle name="Note 2 2" xfId="113" xr:uid="{00000000-0005-0000-0000-0000AB0D0000}"/>
    <cellStyle name="Note 2 2 2" xfId="326" xr:uid="{00000000-0005-0000-0000-0000AC0D0000}"/>
    <cellStyle name="Note 2 2 2 2" xfId="730" xr:uid="{00000000-0005-0000-0000-0000AD0D0000}"/>
    <cellStyle name="Note 2 2 2 2 2" xfId="2520" xr:uid="{00000000-0005-0000-0000-0000AE0D0000}"/>
    <cellStyle name="Note 2 2 2 3" xfId="1179" xr:uid="{00000000-0005-0000-0000-0000AF0D0000}"/>
    <cellStyle name="Note 2 2 2 3 2" xfId="2948" xr:uid="{00000000-0005-0000-0000-0000B00D0000}"/>
    <cellStyle name="Note 2 2 2 4" xfId="1568" xr:uid="{00000000-0005-0000-0000-0000B10D0000}"/>
    <cellStyle name="Note 2 2 2 4 2" xfId="3326" xr:uid="{00000000-0005-0000-0000-0000B20D0000}"/>
    <cellStyle name="Note 2 2 2 5" xfId="2126" xr:uid="{00000000-0005-0000-0000-0000B30D0000}"/>
    <cellStyle name="Note 2 2 3" xfId="527" xr:uid="{00000000-0005-0000-0000-0000B40D0000}"/>
    <cellStyle name="Note 2 2 3 2" xfId="2322" xr:uid="{00000000-0005-0000-0000-0000B50D0000}"/>
    <cellStyle name="Note 2 2 4" xfId="978" xr:uid="{00000000-0005-0000-0000-0000B60D0000}"/>
    <cellStyle name="Note 2 2 4 2" xfId="2750" xr:uid="{00000000-0005-0000-0000-0000B70D0000}"/>
    <cellStyle name="Note 2 2 5" xfId="1364" xr:uid="{00000000-0005-0000-0000-0000B80D0000}"/>
    <cellStyle name="Note 2 2 5 2" xfId="3128" xr:uid="{00000000-0005-0000-0000-0000B90D0000}"/>
    <cellStyle name="Note 2 2 6" xfId="1771" xr:uid="{00000000-0005-0000-0000-0000BA0D0000}"/>
    <cellStyle name="Note 2 2 6 2" xfId="3523" xr:uid="{00000000-0005-0000-0000-0000BB0D0000}"/>
    <cellStyle name="Note 2 2 7" xfId="1929" xr:uid="{00000000-0005-0000-0000-0000BC0D0000}"/>
    <cellStyle name="Note 2 2 8" xfId="3822" xr:uid="{00000000-0005-0000-0000-0000BD0D0000}"/>
    <cellStyle name="Note 2 2 9" xfId="3840" xr:uid="{00000000-0005-0000-0000-0000BE0D0000}"/>
    <cellStyle name="Note 2 3" xfId="176" xr:uid="{00000000-0005-0000-0000-0000BF0D0000}"/>
    <cellStyle name="Note 2 3 2" xfId="378" xr:uid="{00000000-0005-0000-0000-0000C00D0000}"/>
    <cellStyle name="Note 2 3 2 2" xfId="781" xr:uid="{00000000-0005-0000-0000-0000C10D0000}"/>
    <cellStyle name="Note 2 3 2 2 2" xfId="2571" xr:uid="{00000000-0005-0000-0000-0000C20D0000}"/>
    <cellStyle name="Note 2 3 2 3" xfId="1232" xr:uid="{00000000-0005-0000-0000-0000C30D0000}"/>
    <cellStyle name="Note 2 3 2 3 2" xfId="3001" xr:uid="{00000000-0005-0000-0000-0000C40D0000}"/>
    <cellStyle name="Note 2 3 2 4" xfId="1621" xr:uid="{00000000-0005-0000-0000-0000C50D0000}"/>
    <cellStyle name="Note 2 3 2 4 2" xfId="3378" xr:uid="{00000000-0005-0000-0000-0000C60D0000}"/>
    <cellStyle name="Note 2 3 2 5" xfId="2179" xr:uid="{00000000-0005-0000-0000-0000C70D0000}"/>
    <cellStyle name="Note 2 3 3" xfId="587" xr:uid="{00000000-0005-0000-0000-0000C80D0000}"/>
    <cellStyle name="Note 2 3 3 2" xfId="2378" xr:uid="{00000000-0005-0000-0000-0000C90D0000}"/>
    <cellStyle name="Note 2 3 4" xfId="1034" xr:uid="{00000000-0005-0000-0000-0000CA0D0000}"/>
    <cellStyle name="Note 2 3 4 2" xfId="2804" xr:uid="{00000000-0005-0000-0000-0000CB0D0000}"/>
    <cellStyle name="Note 2 3 5" xfId="1421" xr:uid="{00000000-0005-0000-0000-0000CC0D0000}"/>
    <cellStyle name="Note 2 3 5 2" xfId="3181" xr:uid="{00000000-0005-0000-0000-0000CD0D0000}"/>
    <cellStyle name="Note 2 3 6" xfId="1788" xr:uid="{00000000-0005-0000-0000-0000CE0D0000}"/>
    <cellStyle name="Note 2 3 6 2" xfId="3540" xr:uid="{00000000-0005-0000-0000-0000CF0D0000}"/>
    <cellStyle name="Note 2 3 7" xfId="1983" xr:uid="{00000000-0005-0000-0000-0000D00D0000}"/>
    <cellStyle name="Note 2 3 8" xfId="3823" xr:uid="{00000000-0005-0000-0000-0000D10D0000}"/>
    <cellStyle name="Note 2 3 9" xfId="3841" xr:uid="{00000000-0005-0000-0000-0000D20D0000}"/>
    <cellStyle name="Note 2 4" xfId="194" xr:uid="{00000000-0005-0000-0000-0000D30D0000}"/>
    <cellStyle name="Note 2 4 2" xfId="395" xr:uid="{00000000-0005-0000-0000-0000D40D0000}"/>
    <cellStyle name="Note 2 4 2 2" xfId="798" xr:uid="{00000000-0005-0000-0000-0000D50D0000}"/>
    <cellStyle name="Note 2 4 2 2 2" xfId="2588" xr:uid="{00000000-0005-0000-0000-0000D60D0000}"/>
    <cellStyle name="Note 2 4 2 3" xfId="1249" xr:uid="{00000000-0005-0000-0000-0000D70D0000}"/>
    <cellStyle name="Note 2 4 2 3 2" xfId="3018" xr:uid="{00000000-0005-0000-0000-0000D80D0000}"/>
    <cellStyle name="Note 2 4 2 4" xfId="1638" xr:uid="{00000000-0005-0000-0000-0000D90D0000}"/>
    <cellStyle name="Note 2 4 2 4 2" xfId="3395" xr:uid="{00000000-0005-0000-0000-0000DA0D0000}"/>
    <cellStyle name="Note 2 4 2 5" xfId="2196" xr:uid="{00000000-0005-0000-0000-0000DB0D0000}"/>
    <cellStyle name="Note 2 4 3" xfId="604" xr:uid="{00000000-0005-0000-0000-0000DC0D0000}"/>
    <cellStyle name="Note 2 4 3 2" xfId="2395" xr:uid="{00000000-0005-0000-0000-0000DD0D0000}"/>
    <cellStyle name="Note 2 4 4" xfId="1051" xr:uid="{00000000-0005-0000-0000-0000DE0D0000}"/>
    <cellStyle name="Note 2 4 4 2" xfId="2821" xr:uid="{00000000-0005-0000-0000-0000DF0D0000}"/>
    <cellStyle name="Note 2 4 5" xfId="1438" xr:uid="{00000000-0005-0000-0000-0000E00D0000}"/>
    <cellStyle name="Note 2 4 5 2" xfId="3198" xr:uid="{00000000-0005-0000-0000-0000E10D0000}"/>
    <cellStyle name="Note 2 4 6" xfId="1805" xr:uid="{00000000-0005-0000-0000-0000E20D0000}"/>
    <cellStyle name="Note 2 4 6 2" xfId="3557" xr:uid="{00000000-0005-0000-0000-0000E30D0000}"/>
    <cellStyle name="Note 2 4 7" xfId="2000" xr:uid="{00000000-0005-0000-0000-0000E40D0000}"/>
    <cellStyle name="Note 2 5" xfId="208" xr:uid="{00000000-0005-0000-0000-0000E50D0000}"/>
    <cellStyle name="Note 2 5 2" xfId="409" xr:uid="{00000000-0005-0000-0000-0000E60D0000}"/>
    <cellStyle name="Note 2 5 2 2" xfId="812" xr:uid="{00000000-0005-0000-0000-0000E70D0000}"/>
    <cellStyle name="Note 2 5 2 2 2" xfId="2602" xr:uid="{00000000-0005-0000-0000-0000E80D0000}"/>
    <cellStyle name="Note 2 5 2 3" xfId="1263" xr:uid="{00000000-0005-0000-0000-0000E90D0000}"/>
    <cellStyle name="Note 2 5 2 3 2" xfId="3032" xr:uid="{00000000-0005-0000-0000-0000EA0D0000}"/>
    <cellStyle name="Note 2 5 2 4" xfId="1652" xr:uid="{00000000-0005-0000-0000-0000EB0D0000}"/>
    <cellStyle name="Note 2 5 2 4 2" xfId="3409" xr:uid="{00000000-0005-0000-0000-0000EC0D0000}"/>
    <cellStyle name="Note 2 5 2 5" xfId="2210" xr:uid="{00000000-0005-0000-0000-0000ED0D0000}"/>
    <cellStyle name="Note 2 5 3" xfId="618" xr:uid="{00000000-0005-0000-0000-0000EE0D0000}"/>
    <cellStyle name="Note 2 5 3 2" xfId="2409" xr:uid="{00000000-0005-0000-0000-0000EF0D0000}"/>
    <cellStyle name="Note 2 5 4" xfId="1065" xr:uid="{00000000-0005-0000-0000-0000F00D0000}"/>
    <cellStyle name="Note 2 5 4 2" xfId="2835" xr:uid="{00000000-0005-0000-0000-0000F10D0000}"/>
    <cellStyle name="Note 2 5 5" xfId="1452" xr:uid="{00000000-0005-0000-0000-0000F20D0000}"/>
    <cellStyle name="Note 2 5 5 2" xfId="3212" xr:uid="{00000000-0005-0000-0000-0000F30D0000}"/>
    <cellStyle name="Note 2 5 6" xfId="1819" xr:uid="{00000000-0005-0000-0000-0000F40D0000}"/>
    <cellStyle name="Note 2 5 6 2" xfId="3571" xr:uid="{00000000-0005-0000-0000-0000F50D0000}"/>
    <cellStyle name="Note 2 5 7" xfId="2014" xr:uid="{00000000-0005-0000-0000-0000F60D0000}"/>
    <cellStyle name="Note 2 6" xfId="215" xr:uid="{00000000-0005-0000-0000-0000F70D0000}"/>
    <cellStyle name="Note 2 6 2" xfId="415" xr:uid="{00000000-0005-0000-0000-0000F80D0000}"/>
    <cellStyle name="Note 2 6 2 2" xfId="818" xr:uid="{00000000-0005-0000-0000-0000F90D0000}"/>
    <cellStyle name="Note 2 6 2 2 2" xfId="2608" xr:uid="{00000000-0005-0000-0000-0000FA0D0000}"/>
    <cellStyle name="Note 2 6 2 3" xfId="1269" xr:uid="{00000000-0005-0000-0000-0000FB0D0000}"/>
    <cellStyle name="Note 2 6 2 3 2" xfId="3038" xr:uid="{00000000-0005-0000-0000-0000FC0D0000}"/>
    <cellStyle name="Note 2 6 2 4" xfId="1658" xr:uid="{00000000-0005-0000-0000-0000FD0D0000}"/>
    <cellStyle name="Note 2 6 2 4 2" xfId="3415" xr:uid="{00000000-0005-0000-0000-0000FE0D0000}"/>
    <cellStyle name="Note 2 6 2 5" xfId="2216" xr:uid="{00000000-0005-0000-0000-0000FF0D0000}"/>
    <cellStyle name="Note 2 6 3" xfId="624" xr:uid="{00000000-0005-0000-0000-0000000E0000}"/>
    <cellStyle name="Note 2 6 3 2" xfId="2415" xr:uid="{00000000-0005-0000-0000-0000010E0000}"/>
    <cellStyle name="Note 2 6 4" xfId="1071" xr:uid="{00000000-0005-0000-0000-0000020E0000}"/>
    <cellStyle name="Note 2 6 4 2" xfId="2841" xr:uid="{00000000-0005-0000-0000-0000030E0000}"/>
    <cellStyle name="Note 2 6 5" xfId="1458" xr:uid="{00000000-0005-0000-0000-0000040E0000}"/>
    <cellStyle name="Note 2 6 5 2" xfId="3218" xr:uid="{00000000-0005-0000-0000-0000050E0000}"/>
    <cellStyle name="Note 2 6 6" xfId="1825" xr:uid="{00000000-0005-0000-0000-0000060E0000}"/>
    <cellStyle name="Note 2 6 6 2" xfId="3577" xr:uid="{00000000-0005-0000-0000-0000070E0000}"/>
    <cellStyle name="Note 2 6 7" xfId="2020" xr:uid="{00000000-0005-0000-0000-0000080E0000}"/>
    <cellStyle name="Note 2 7" xfId="234" xr:uid="{00000000-0005-0000-0000-0000090E0000}"/>
    <cellStyle name="Note 2 7 2" xfId="433" xr:uid="{00000000-0005-0000-0000-00000A0E0000}"/>
    <cellStyle name="Note 2 7 2 2" xfId="836" xr:uid="{00000000-0005-0000-0000-00000B0E0000}"/>
    <cellStyle name="Note 2 7 2 2 2" xfId="2626" xr:uid="{00000000-0005-0000-0000-00000C0E0000}"/>
    <cellStyle name="Note 2 7 2 3" xfId="1287" xr:uid="{00000000-0005-0000-0000-00000D0E0000}"/>
    <cellStyle name="Note 2 7 2 3 2" xfId="3056" xr:uid="{00000000-0005-0000-0000-00000E0E0000}"/>
    <cellStyle name="Note 2 7 2 4" xfId="1676" xr:uid="{00000000-0005-0000-0000-00000F0E0000}"/>
    <cellStyle name="Note 2 7 2 4 2" xfId="3433" xr:uid="{00000000-0005-0000-0000-0000100E0000}"/>
    <cellStyle name="Note 2 7 2 5" xfId="2234" xr:uid="{00000000-0005-0000-0000-0000110E0000}"/>
    <cellStyle name="Note 2 7 3" xfId="642" xr:uid="{00000000-0005-0000-0000-0000120E0000}"/>
    <cellStyle name="Note 2 7 3 2" xfId="2433" xr:uid="{00000000-0005-0000-0000-0000130E0000}"/>
    <cellStyle name="Note 2 7 4" xfId="1089" xr:uid="{00000000-0005-0000-0000-0000140E0000}"/>
    <cellStyle name="Note 2 7 4 2" xfId="2859" xr:uid="{00000000-0005-0000-0000-0000150E0000}"/>
    <cellStyle name="Note 2 7 5" xfId="1476" xr:uid="{00000000-0005-0000-0000-0000160E0000}"/>
    <cellStyle name="Note 2 7 5 2" xfId="3236" xr:uid="{00000000-0005-0000-0000-0000170E0000}"/>
    <cellStyle name="Note 2 7 6" xfId="1843" xr:uid="{00000000-0005-0000-0000-0000180E0000}"/>
    <cellStyle name="Note 2 7 6 2" xfId="3595" xr:uid="{00000000-0005-0000-0000-0000190E0000}"/>
    <cellStyle name="Note 2 7 7" xfId="2038" xr:uid="{00000000-0005-0000-0000-00001A0E0000}"/>
    <cellStyle name="Note 2 8" xfId="253" xr:uid="{00000000-0005-0000-0000-00001B0E0000}"/>
    <cellStyle name="Note 2 8 2" xfId="451" xr:uid="{00000000-0005-0000-0000-00001C0E0000}"/>
    <cellStyle name="Note 2 8 2 2" xfId="854" xr:uid="{00000000-0005-0000-0000-00001D0E0000}"/>
    <cellStyle name="Note 2 8 2 2 2" xfId="2644" xr:uid="{00000000-0005-0000-0000-00001E0E0000}"/>
    <cellStyle name="Note 2 8 2 3" xfId="1305" xr:uid="{00000000-0005-0000-0000-00001F0E0000}"/>
    <cellStyle name="Note 2 8 2 3 2" xfId="3074" xr:uid="{00000000-0005-0000-0000-0000200E0000}"/>
    <cellStyle name="Note 2 8 2 4" xfId="1694" xr:uid="{00000000-0005-0000-0000-0000210E0000}"/>
    <cellStyle name="Note 2 8 2 4 2" xfId="3451" xr:uid="{00000000-0005-0000-0000-0000220E0000}"/>
    <cellStyle name="Note 2 8 2 5" xfId="2252" xr:uid="{00000000-0005-0000-0000-0000230E0000}"/>
    <cellStyle name="Note 2 8 3" xfId="660" xr:uid="{00000000-0005-0000-0000-0000240E0000}"/>
    <cellStyle name="Note 2 8 3 2" xfId="2451" xr:uid="{00000000-0005-0000-0000-0000250E0000}"/>
    <cellStyle name="Note 2 8 4" xfId="1107" xr:uid="{00000000-0005-0000-0000-0000260E0000}"/>
    <cellStyle name="Note 2 8 4 2" xfId="2877" xr:uid="{00000000-0005-0000-0000-0000270E0000}"/>
    <cellStyle name="Note 2 8 5" xfId="1494" xr:uid="{00000000-0005-0000-0000-0000280E0000}"/>
    <cellStyle name="Note 2 8 5 2" xfId="3254" xr:uid="{00000000-0005-0000-0000-0000290E0000}"/>
    <cellStyle name="Note 2 8 6" xfId="1861" xr:uid="{00000000-0005-0000-0000-00002A0E0000}"/>
    <cellStyle name="Note 2 8 6 2" xfId="3613" xr:uid="{00000000-0005-0000-0000-00002B0E0000}"/>
    <cellStyle name="Note 2 8 7" xfId="2056" xr:uid="{00000000-0005-0000-0000-00002C0E0000}"/>
    <cellStyle name="Note 2 9" xfId="272" xr:uid="{00000000-0005-0000-0000-00002D0E0000}"/>
    <cellStyle name="Note 2 9 2" xfId="469" xr:uid="{00000000-0005-0000-0000-00002E0E0000}"/>
    <cellStyle name="Note 2 9 2 2" xfId="872" xr:uid="{00000000-0005-0000-0000-00002F0E0000}"/>
    <cellStyle name="Note 2 9 2 2 2" xfId="2662" xr:uid="{00000000-0005-0000-0000-0000300E0000}"/>
    <cellStyle name="Note 2 9 2 3" xfId="1323" xr:uid="{00000000-0005-0000-0000-0000310E0000}"/>
    <cellStyle name="Note 2 9 2 3 2" xfId="3092" xr:uid="{00000000-0005-0000-0000-0000320E0000}"/>
    <cellStyle name="Note 2 9 2 4" xfId="1712" xr:uid="{00000000-0005-0000-0000-0000330E0000}"/>
    <cellStyle name="Note 2 9 2 4 2" xfId="3469" xr:uid="{00000000-0005-0000-0000-0000340E0000}"/>
    <cellStyle name="Note 2 9 2 5" xfId="2270" xr:uid="{00000000-0005-0000-0000-0000350E0000}"/>
    <cellStyle name="Note 2 9 3" xfId="678" xr:uid="{00000000-0005-0000-0000-0000360E0000}"/>
    <cellStyle name="Note 2 9 3 2" xfId="2469" xr:uid="{00000000-0005-0000-0000-0000370E0000}"/>
    <cellStyle name="Note 2 9 4" xfId="1125" xr:uid="{00000000-0005-0000-0000-0000380E0000}"/>
    <cellStyle name="Note 2 9 4 2" xfId="2895" xr:uid="{00000000-0005-0000-0000-0000390E0000}"/>
    <cellStyle name="Note 2 9 5" xfId="1512" xr:uid="{00000000-0005-0000-0000-00003A0E0000}"/>
    <cellStyle name="Note 2 9 5 2" xfId="3272" xr:uid="{00000000-0005-0000-0000-00003B0E0000}"/>
    <cellStyle name="Note 2 9 6" xfId="1879" xr:uid="{00000000-0005-0000-0000-00003C0E0000}"/>
    <cellStyle name="Note 2 9 6 2" xfId="3631" xr:uid="{00000000-0005-0000-0000-00003D0E0000}"/>
    <cellStyle name="Note 2 9 7" xfId="2074" xr:uid="{00000000-0005-0000-0000-00003E0E0000}"/>
    <cellStyle name="Note 3" xfId="87" xr:uid="{00000000-0005-0000-0000-00003F0E0000}"/>
    <cellStyle name="Note 3 10" xfId="306" xr:uid="{00000000-0005-0000-0000-0000400E0000}"/>
    <cellStyle name="Note 3 10 2" xfId="711" xr:uid="{00000000-0005-0000-0000-0000410E0000}"/>
    <cellStyle name="Note 3 10 2 2" xfId="2501" xr:uid="{00000000-0005-0000-0000-0000420E0000}"/>
    <cellStyle name="Note 3 10 3" xfId="1159" xr:uid="{00000000-0005-0000-0000-0000430E0000}"/>
    <cellStyle name="Note 3 10 3 2" xfId="2929" xr:uid="{00000000-0005-0000-0000-0000440E0000}"/>
    <cellStyle name="Note 3 10 4" xfId="1548" xr:uid="{00000000-0005-0000-0000-0000450E0000}"/>
    <cellStyle name="Note 3 10 4 2" xfId="3307" xr:uid="{00000000-0005-0000-0000-0000460E0000}"/>
    <cellStyle name="Note 3 10 5" xfId="2107" xr:uid="{00000000-0005-0000-0000-0000470E0000}"/>
    <cellStyle name="Note 3 11" xfId="525" xr:uid="{00000000-0005-0000-0000-0000480E0000}"/>
    <cellStyle name="Note 3 11 2" xfId="2320" xr:uid="{00000000-0005-0000-0000-0000490E0000}"/>
    <cellStyle name="Note 3 12" xfId="908" xr:uid="{00000000-0005-0000-0000-00004A0E0000}"/>
    <cellStyle name="Note 3 12 2" xfId="2697" xr:uid="{00000000-0005-0000-0000-00004B0E0000}"/>
    <cellStyle name="Note 3 13" xfId="961" xr:uid="{00000000-0005-0000-0000-00004C0E0000}"/>
    <cellStyle name="Note 3 13 2" xfId="2737" xr:uid="{00000000-0005-0000-0000-00004D0E0000}"/>
    <cellStyle name="Note 3 14" xfId="956" xr:uid="{00000000-0005-0000-0000-00004E0E0000}"/>
    <cellStyle name="Note 3 14 2" xfId="2734" xr:uid="{00000000-0005-0000-0000-00004F0E0000}"/>
    <cellStyle name="Note 3 15" xfId="1909" xr:uid="{00000000-0005-0000-0000-0000500E0000}"/>
    <cellStyle name="Note 3 2" xfId="114" xr:uid="{00000000-0005-0000-0000-0000510E0000}"/>
    <cellStyle name="Note 3 2 2" xfId="327" xr:uid="{00000000-0005-0000-0000-0000520E0000}"/>
    <cellStyle name="Note 3 2 2 2" xfId="731" xr:uid="{00000000-0005-0000-0000-0000530E0000}"/>
    <cellStyle name="Note 3 2 2 2 2" xfId="2521" xr:uid="{00000000-0005-0000-0000-0000540E0000}"/>
    <cellStyle name="Note 3 2 2 3" xfId="1180" xr:uid="{00000000-0005-0000-0000-0000550E0000}"/>
    <cellStyle name="Note 3 2 2 3 2" xfId="2949" xr:uid="{00000000-0005-0000-0000-0000560E0000}"/>
    <cellStyle name="Note 3 2 2 4" xfId="1569" xr:uid="{00000000-0005-0000-0000-0000570E0000}"/>
    <cellStyle name="Note 3 2 2 4 2" xfId="3327" xr:uid="{00000000-0005-0000-0000-0000580E0000}"/>
    <cellStyle name="Note 3 2 2 5" xfId="2127" xr:uid="{00000000-0005-0000-0000-0000590E0000}"/>
    <cellStyle name="Note 3 2 3" xfId="548" xr:uid="{00000000-0005-0000-0000-00005A0E0000}"/>
    <cellStyle name="Note 3 2 3 2" xfId="2340" xr:uid="{00000000-0005-0000-0000-00005B0E0000}"/>
    <cellStyle name="Note 3 2 4" xfId="979" xr:uid="{00000000-0005-0000-0000-00005C0E0000}"/>
    <cellStyle name="Note 3 2 4 2" xfId="2751" xr:uid="{00000000-0005-0000-0000-00005D0E0000}"/>
    <cellStyle name="Note 3 2 5" xfId="1365" xr:uid="{00000000-0005-0000-0000-00005E0E0000}"/>
    <cellStyle name="Note 3 2 5 2" xfId="3129" xr:uid="{00000000-0005-0000-0000-00005F0E0000}"/>
    <cellStyle name="Note 3 2 6" xfId="1772" xr:uid="{00000000-0005-0000-0000-0000600E0000}"/>
    <cellStyle name="Note 3 2 6 2" xfId="3524" xr:uid="{00000000-0005-0000-0000-0000610E0000}"/>
    <cellStyle name="Note 3 2 7" xfId="1930" xr:uid="{00000000-0005-0000-0000-0000620E0000}"/>
    <cellStyle name="Note 3 3" xfId="177" xr:uid="{00000000-0005-0000-0000-0000630E0000}"/>
    <cellStyle name="Note 3 3 2" xfId="379" xr:uid="{00000000-0005-0000-0000-0000640E0000}"/>
    <cellStyle name="Note 3 3 2 2" xfId="782" xr:uid="{00000000-0005-0000-0000-0000650E0000}"/>
    <cellStyle name="Note 3 3 2 2 2" xfId="2572" xr:uid="{00000000-0005-0000-0000-0000660E0000}"/>
    <cellStyle name="Note 3 3 2 3" xfId="1233" xr:uid="{00000000-0005-0000-0000-0000670E0000}"/>
    <cellStyle name="Note 3 3 2 3 2" xfId="3002" xr:uid="{00000000-0005-0000-0000-0000680E0000}"/>
    <cellStyle name="Note 3 3 2 4" xfId="1622" xr:uid="{00000000-0005-0000-0000-0000690E0000}"/>
    <cellStyle name="Note 3 3 2 4 2" xfId="3379" xr:uid="{00000000-0005-0000-0000-00006A0E0000}"/>
    <cellStyle name="Note 3 3 2 5" xfId="2180" xr:uid="{00000000-0005-0000-0000-00006B0E0000}"/>
    <cellStyle name="Note 3 3 3" xfId="588" xr:uid="{00000000-0005-0000-0000-00006C0E0000}"/>
    <cellStyle name="Note 3 3 3 2" xfId="2379" xr:uid="{00000000-0005-0000-0000-00006D0E0000}"/>
    <cellStyle name="Note 3 3 4" xfId="1035" xr:uid="{00000000-0005-0000-0000-00006E0E0000}"/>
    <cellStyle name="Note 3 3 4 2" xfId="2805" xr:uid="{00000000-0005-0000-0000-00006F0E0000}"/>
    <cellStyle name="Note 3 3 5" xfId="1422" xr:uid="{00000000-0005-0000-0000-0000700E0000}"/>
    <cellStyle name="Note 3 3 5 2" xfId="3182" xr:uid="{00000000-0005-0000-0000-0000710E0000}"/>
    <cellStyle name="Note 3 3 6" xfId="1789" xr:uid="{00000000-0005-0000-0000-0000720E0000}"/>
    <cellStyle name="Note 3 3 6 2" xfId="3541" xr:uid="{00000000-0005-0000-0000-0000730E0000}"/>
    <cellStyle name="Note 3 3 7" xfId="1984" xr:uid="{00000000-0005-0000-0000-0000740E0000}"/>
    <cellStyle name="Note 3 4" xfId="195" xr:uid="{00000000-0005-0000-0000-0000750E0000}"/>
    <cellStyle name="Note 3 4 2" xfId="396" xr:uid="{00000000-0005-0000-0000-0000760E0000}"/>
    <cellStyle name="Note 3 4 2 2" xfId="799" xr:uid="{00000000-0005-0000-0000-0000770E0000}"/>
    <cellStyle name="Note 3 4 2 2 2" xfId="2589" xr:uid="{00000000-0005-0000-0000-0000780E0000}"/>
    <cellStyle name="Note 3 4 2 3" xfId="1250" xr:uid="{00000000-0005-0000-0000-0000790E0000}"/>
    <cellStyle name="Note 3 4 2 3 2" xfId="3019" xr:uid="{00000000-0005-0000-0000-00007A0E0000}"/>
    <cellStyle name="Note 3 4 2 4" xfId="1639" xr:uid="{00000000-0005-0000-0000-00007B0E0000}"/>
    <cellStyle name="Note 3 4 2 4 2" xfId="3396" xr:uid="{00000000-0005-0000-0000-00007C0E0000}"/>
    <cellStyle name="Note 3 4 2 5" xfId="2197" xr:uid="{00000000-0005-0000-0000-00007D0E0000}"/>
    <cellStyle name="Note 3 4 3" xfId="605" xr:uid="{00000000-0005-0000-0000-00007E0E0000}"/>
    <cellStyle name="Note 3 4 3 2" xfId="2396" xr:uid="{00000000-0005-0000-0000-00007F0E0000}"/>
    <cellStyle name="Note 3 4 4" xfId="1052" xr:uid="{00000000-0005-0000-0000-0000800E0000}"/>
    <cellStyle name="Note 3 4 4 2" xfId="2822" xr:uid="{00000000-0005-0000-0000-0000810E0000}"/>
    <cellStyle name="Note 3 4 5" xfId="1439" xr:uid="{00000000-0005-0000-0000-0000820E0000}"/>
    <cellStyle name="Note 3 4 5 2" xfId="3199" xr:uid="{00000000-0005-0000-0000-0000830E0000}"/>
    <cellStyle name="Note 3 4 6" xfId="1806" xr:uid="{00000000-0005-0000-0000-0000840E0000}"/>
    <cellStyle name="Note 3 4 6 2" xfId="3558" xr:uid="{00000000-0005-0000-0000-0000850E0000}"/>
    <cellStyle name="Note 3 4 7" xfId="2001" xr:uid="{00000000-0005-0000-0000-0000860E0000}"/>
    <cellStyle name="Note 3 5" xfId="209" xr:uid="{00000000-0005-0000-0000-0000870E0000}"/>
    <cellStyle name="Note 3 5 2" xfId="410" xr:uid="{00000000-0005-0000-0000-0000880E0000}"/>
    <cellStyle name="Note 3 5 2 2" xfId="813" xr:uid="{00000000-0005-0000-0000-0000890E0000}"/>
    <cellStyle name="Note 3 5 2 2 2" xfId="2603" xr:uid="{00000000-0005-0000-0000-00008A0E0000}"/>
    <cellStyle name="Note 3 5 2 3" xfId="1264" xr:uid="{00000000-0005-0000-0000-00008B0E0000}"/>
    <cellStyle name="Note 3 5 2 3 2" xfId="3033" xr:uid="{00000000-0005-0000-0000-00008C0E0000}"/>
    <cellStyle name="Note 3 5 2 4" xfId="1653" xr:uid="{00000000-0005-0000-0000-00008D0E0000}"/>
    <cellStyle name="Note 3 5 2 4 2" xfId="3410" xr:uid="{00000000-0005-0000-0000-00008E0E0000}"/>
    <cellStyle name="Note 3 5 2 5" xfId="2211" xr:uid="{00000000-0005-0000-0000-00008F0E0000}"/>
    <cellStyle name="Note 3 5 3" xfId="619" xr:uid="{00000000-0005-0000-0000-0000900E0000}"/>
    <cellStyle name="Note 3 5 3 2" xfId="2410" xr:uid="{00000000-0005-0000-0000-0000910E0000}"/>
    <cellStyle name="Note 3 5 4" xfId="1066" xr:uid="{00000000-0005-0000-0000-0000920E0000}"/>
    <cellStyle name="Note 3 5 4 2" xfId="2836" xr:uid="{00000000-0005-0000-0000-0000930E0000}"/>
    <cellStyle name="Note 3 5 5" xfId="1453" xr:uid="{00000000-0005-0000-0000-0000940E0000}"/>
    <cellStyle name="Note 3 5 5 2" xfId="3213" xr:uid="{00000000-0005-0000-0000-0000950E0000}"/>
    <cellStyle name="Note 3 5 6" xfId="1820" xr:uid="{00000000-0005-0000-0000-0000960E0000}"/>
    <cellStyle name="Note 3 5 6 2" xfId="3572" xr:uid="{00000000-0005-0000-0000-0000970E0000}"/>
    <cellStyle name="Note 3 5 7" xfId="2015" xr:uid="{00000000-0005-0000-0000-0000980E0000}"/>
    <cellStyle name="Note 3 6" xfId="216" xr:uid="{00000000-0005-0000-0000-0000990E0000}"/>
    <cellStyle name="Note 3 6 2" xfId="416" xr:uid="{00000000-0005-0000-0000-00009A0E0000}"/>
    <cellStyle name="Note 3 6 2 2" xfId="819" xr:uid="{00000000-0005-0000-0000-00009B0E0000}"/>
    <cellStyle name="Note 3 6 2 2 2" xfId="2609" xr:uid="{00000000-0005-0000-0000-00009C0E0000}"/>
    <cellStyle name="Note 3 6 2 3" xfId="1270" xr:uid="{00000000-0005-0000-0000-00009D0E0000}"/>
    <cellStyle name="Note 3 6 2 3 2" xfId="3039" xr:uid="{00000000-0005-0000-0000-00009E0E0000}"/>
    <cellStyle name="Note 3 6 2 4" xfId="1659" xr:uid="{00000000-0005-0000-0000-00009F0E0000}"/>
    <cellStyle name="Note 3 6 2 4 2" xfId="3416" xr:uid="{00000000-0005-0000-0000-0000A00E0000}"/>
    <cellStyle name="Note 3 6 2 5" xfId="2217" xr:uid="{00000000-0005-0000-0000-0000A10E0000}"/>
    <cellStyle name="Note 3 6 3" xfId="625" xr:uid="{00000000-0005-0000-0000-0000A20E0000}"/>
    <cellStyle name="Note 3 6 3 2" xfId="2416" xr:uid="{00000000-0005-0000-0000-0000A30E0000}"/>
    <cellStyle name="Note 3 6 4" xfId="1072" xr:uid="{00000000-0005-0000-0000-0000A40E0000}"/>
    <cellStyle name="Note 3 6 4 2" xfId="2842" xr:uid="{00000000-0005-0000-0000-0000A50E0000}"/>
    <cellStyle name="Note 3 6 5" xfId="1459" xr:uid="{00000000-0005-0000-0000-0000A60E0000}"/>
    <cellStyle name="Note 3 6 5 2" xfId="3219" xr:uid="{00000000-0005-0000-0000-0000A70E0000}"/>
    <cellStyle name="Note 3 6 6" xfId="1826" xr:uid="{00000000-0005-0000-0000-0000A80E0000}"/>
    <cellStyle name="Note 3 6 6 2" xfId="3578" xr:uid="{00000000-0005-0000-0000-0000A90E0000}"/>
    <cellStyle name="Note 3 6 7" xfId="2021" xr:uid="{00000000-0005-0000-0000-0000AA0E0000}"/>
    <cellStyle name="Note 3 7" xfId="235" xr:uid="{00000000-0005-0000-0000-0000AB0E0000}"/>
    <cellStyle name="Note 3 7 2" xfId="434" xr:uid="{00000000-0005-0000-0000-0000AC0E0000}"/>
    <cellStyle name="Note 3 7 2 2" xfId="837" xr:uid="{00000000-0005-0000-0000-0000AD0E0000}"/>
    <cellStyle name="Note 3 7 2 2 2" xfId="2627" xr:uid="{00000000-0005-0000-0000-0000AE0E0000}"/>
    <cellStyle name="Note 3 7 2 3" xfId="1288" xr:uid="{00000000-0005-0000-0000-0000AF0E0000}"/>
    <cellStyle name="Note 3 7 2 3 2" xfId="3057" xr:uid="{00000000-0005-0000-0000-0000B00E0000}"/>
    <cellStyle name="Note 3 7 2 4" xfId="1677" xr:uid="{00000000-0005-0000-0000-0000B10E0000}"/>
    <cellStyle name="Note 3 7 2 4 2" xfId="3434" xr:uid="{00000000-0005-0000-0000-0000B20E0000}"/>
    <cellStyle name="Note 3 7 2 5" xfId="2235" xr:uid="{00000000-0005-0000-0000-0000B30E0000}"/>
    <cellStyle name="Note 3 7 3" xfId="643" xr:uid="{00000000-0005-0000-0000-0000B40E0000}"/>
    <cellStyle name="Note 3 7 3 2" xfId="2434" xr:uid="{00000000-0005-0000-0000-0000B50E0000}"/>
    <cellStyle name="Note 3 7 4" xfId="1090" xr:uid="{00000000-0005-0000-0000-0000B60E0000}"/>
    <cellStyle name="Note 3 7 4 2" xfId="2860" xr:uid="{00000000-0005-0000-0000-0000B70E0000}"/>
    <cellStyle name="Note 3 7 5" xfId="1477" xr:uid="{00000000-0005-0000-0000-0000B80E0000}"/>
    <cellStyle name="Note 3 7 5 2" xfId="3237" xr:uid="{00000000-0005-0000-0000-0000B90E0000}"/>
    <cellStyle name="Note 3 7 6" xfId="1844" xr:uid="{00000000-0005-0000-0000-0000BA0E0000}"/>
    <cellStyle name="Note 3 7 6 2" xfId="3596" xr:uid="{00000000-0005-0000-0000-0000BB0E0000}"/>
    <cellStyle name="Note 3 7 7" xfId="2039" xr:uid="{00000000-0005-0000-0000-0000BC0E0000}"/>
    <cellStyle name="Note 3 8" xfId="254" xr:uid="{00000000-0005-0000-0000-0000BD0E0000}"/>
    <cellStyle name="Note 3 8 2" xfId="452" xr:uid="{00000000-0005-0000-0000-0000BE0E0000}"/>
    <cellStyle name="Note 3 8 2 2" xfId="855" xr:uid="{00000000-0005-0000-0000-0000BF0E0000}"/>
    <cellStyle name="Note 3 8 2 2 2" xfId="2645" xr:uid="{00000000-0005-0000-0000-0000C00E0000}"/>
    <cellStyle name="Note 3 8 2 3" xfId="1306" xr:uid="{00000000-0005-0000-0000-0000C10E0000}"/>
    <cellStyle name="Note 3 8 2 3 2" xfId="3075" xr:uid="{00000000-0005-0000-0000-0000C20E0000}"/>
    <cellStyle name="Note 3 8 2 4" xfId="1695" xr:uid="{00000000-0005-0000-0000-0000C30E0000}"/>
    <cellStyle name="Note 3 8 2 4 2" xfId="3452" xr:uid="{00000000-0005-0000-0000-0000C40E0000}"/>
    <cellStyle name="Note 3 8 2 5" xfId="2253" xr:uid="{00000000-0005-0000-0000-0000C50E0000}"/>
    <cellStyle name="Note 3 8 3" xfId="661" xr:uid="{00000000-0005-0000-0000-0000C60E0000}"/>
    <cellStyle name="Note 3 8 3 2" xfId="2452" xr:uid="{00000000-0005-0000-0000-0000C70E0000}"/>
    <cellStyle name="Note 3 8 4" xfId="1108" xr:uid="{00000000-0005-0000-0000-0000C80E0000}"/>
    <cellStyle name="Note 3 8 4 2" xfId="2878" xr:uid="{00000000-0005-0000-0000-0000C90E0000}"/>
    <cellStyle name="Note 3 8 5" xfId="1495" xr:uid="{00000000-0005-0000-0000-0000CA0E0000}"/>
    <cellStyle name="Note 3 8 5 2" xfId="3255" xr:uid="{00000000-0005-0000-0000-0000CB0E0000}"/>
    <cellStyle name="Note 3 8 6" xfId="1862" xr:uid="{00000000-0005-0000-0000-0000CC0E0000}"/>
    <cellStyle name="Note 3 8 6 2" xfId="3614" xr:uid="{00000000-0005-0000-0000-0000CD0E0000}"/>
    <cellStyle name="Note 3 8 7" xfId="2057" xr:uid="{00000000-0005-0000-0000-0000CE0E0000}"/>
    <cellStyle name="Note 3 9" xfId="273" xr:uid="{00000000-0005-0000-0000-0000CF0E0000}"/>
    <cellStyle name="Note 3 9 2" xfId="470" xr:uid="{00000000-0005-0000-0000-0000D00E0000}"/>
    <cellStyle name="Note 3 9 2 2" xfId="873" xr:uid="{00000000-0005-0000-0000-0000D10E0000}"/>
    <cellStyle name="Note 3 9 2 2 2" xfId="2663" xr:uid="{00000000-0005-0000-0000-0000D20E0000}"/>
    <cellStyle name="Note 3 9 2 3" xfId="1324" xr:uid="{00000000-0005-0000-0000-0000D30E0000}"/>
    <cellStyle name="Note 3 9 2 3 2" xfId="3093" xr:uid="{00000000-0005-0000-0000-0000D40E0000}"/>
    <cellStyle name="Note 3 9 2 4" xfId="1713" xr:uid="{00000000-0005-0000-0000-0000D50E0000}"/>
    <cellStyle name="Note 3 9 2 4 2" xfId="3470" xr:uid="{00000000-0005-0000-0000-0000D60E0000}"/>
    <cellStyle name="Note 3 9 2 5" xfId="2271" xr:uid="{00000000-0005-0000-0000-0000D70E0000}"/>
    <cellStyle name="Note 3 9 3" xfId="679" xr:uid="{00000000-0005-0000-0000-0000D80E0000}"/>
    <cellStyle name="Note 3 9 3 2" xfId="2470" xr:uid="{00000000-0005-0000-0000-0000D90E0000}"/>
    <cellStyle name="Note 3 9 4" xfId="1126" xr:uid="{00000000-0005-0000-0000-0000DA0E0000}"/>
    <cellStyle name="Note 3 9 4 2" xfId="2896" xr:uid="{00000000-0005-0000-0000-0000DB0E0000}"/>
    <cellStyle name="Note 3 9 5" xfId="1513" xr:uid="{00000000-0005-0000-0000-0000DC0E0000}"/>
    <cellStyle name="Note 3 9 5 2" xfId="3273" xr:uid="{00000000-0005-0000-0000-0000DD0E0000}"/>
    <cellStyle name="Note 3 9 6" xfId="1880" xr:uid="{00000000-0005-0000-0000-0000DE0E0000}"/>
    <cellStyle name="Note 3 9 6 2" xfId="3632" xr:uid="{00000000-0005-0000-0000-0000DF0E0000}"/>
    <cellStyle name="Note 3 9 7" xfId="2075" xr:uid="{00000000-0005-0000-0000-0000E00E0000}"/>
    <cellStyle name="Note 4" xfId="279" xr:uid="{00000000-0005-0000-0000-0000E10E0000}"/>
    <cellStyle name="Note 4 2" xfId="475" xr:uid="{00000000-0005-0000-0000-0000E20E0000}"/>
    <cellStyle name="Note 4 2 2" xfId="877" xr:uid="{00000000-0005-0000-0000-0000E30E0000}"/>
    <cellStyle name="Note 4 2 2 2" xfId="2667" xr:uid="{00000000-0005-0000-0000-0000E40E0000}"/>
    <cellStyle name="Note 4 2 3" xfId="1330" xr:uid="{00000000-0005-0000-0000-0000E50E0000}"/>
    <cellStyle name="Note 4 2 3 2" xfId="3099" xr:uid="{00000000-0005-0000-0000-0000E60E0000}"/>
    <cellStyle name="Note 4 2 4" xfId="1719" xr:uid="{00000000-0005-0000-0000-0000E70E0000}"/>
    <cellStyle name="Note 4 2 4 2" xfId="3475" xr:uid="{00000000-0005-0000-0000-0000E80E0000}"/>
    <cellStyle name="Note 4 2 5" xfId="2276" xr:uid="{00000000-0005-0000-0000-0000E90E0000}"/>
    <cellStyle name="Note 4 3" xfId="684" xr:uid="{00000000-0005-0000-0000-0000EA0E0000}"/>
    <cellStyle name="Note 4 3 2" xfId="2475" xr:uid="{00000000-0005-0000-0000-0000EB0E0000}"/>
    <cellStyle name="Note 4 4" xfId="1132" xr:uid="{00000000-0005-0000-0000-0000EC0E0000}"/>
    <cellStyle name="Note 4 4 2" xfId="2903" xr:uid="{00000000-0005-0000-0000-0000ED0E0000}"/>
    <cellStyle name="Note 4 5" xfId="1520" xr:uid="{00000000-0005-0000-0000-0000EE0E0000}"/>
    <cellStyle name="Note 4 5 2" xfId="3280" xr:uid="{00000000-0005-0000-0000-0000EF0E0000}"/>
    <cellStyle name="Note 4 6" xfId="1882" xr:uid="{00000000-0005-0000-0000-0000F00E0000}"/>
    <cellStyle name="Note 4 6 2" xfId="3634" xr:uid="{00000000-0005-0000-0000-0000F10E0000}"/>
    <cellStyle name="Note 4 7" xfId="2081" xr:uid="{00000000-0005-0000-0000-0000F20E0000}"/>
    <cellStyle name="OddBodyShade" xfId="67" xr:uid="{00000000-0005-0000-0000-0000F30E0000}"/>
    <cellStyle name="OddBodyShade 2" xfId="134" xr:uid="{00000000-0005-0000-0000-0000F40E0000}"/>
    <cellStyle name="OddBodyShade 3" xfId="3699" xr:uid="{00000000-0005-0000-0000-0000F50E0000}"/>
    <cellStyle name="OddBodyShade 4" xfId="3781" xr:uid="{00000000-0005-0000-0000-0000F60E0000}"/>
    <cellStyle name="Output" xfId="68" builtinId="21" customBuiltin="1"/>
    <cellStyle name="Overscore" xfId="69" xr:uid="{00000000-0005-0000-0000-0000F80E0000}"/>
    <cellStyle name="Overscore 2" xfId="135" xr:uid="{00000000-0005-0000-0000-0000F90E0000}"/>
    <cellStyle name="Overscore 3" xfId="3700" xr:uid="{00000000-0005-0000-0000-0000FA0E0000}"/>
    <cellStyle name="Overscore 4" xfId="3726" xr:uid="{00000000-0005-0000-0000-0000FB0E0000}"/>
    <cellStyle name="Percent" xfId="70" builtinId="5"/>
    <cellStyle name="Percent 2" xfId="71" xr:uid="{00000000-0005-0000-0000-0000FD0E0000}"/>
    <cellStyle name="Percent 2 2" xfId="72" xr:uid="{00000000-0005-0000-0000-0000FE0E0000}"/>
    <cellStyle name="Percent 2 3" xfId="3683" xr:uid="{00000000-0005-0000-0000-0000FF0E0000}"/>
    <cellStyle name="Percent 4 3 2" xfId="3849" xr:uid="{00000000-0005-0000-0000-0000000F0000}"/>
    <cellStyle name="T" xfId="73" xr:uid="{00000000-0005-0000-0000-0000010F0000}"/>
    <cellStyle name="Title" xfId="74" builtinId="15" customBuiltin="1"/>
    <cellStyle name="Title1" xfId="75" xr:uid="{00000000-0005-0000-0000-0000030F0000}"/>
    <cellStyle name="TitleOther" xfId="76" xr:uid="{00000000-0005-0000-0000-0000040F0000}"/>
    <cellStyle name="Total" xfId="77" builtinId="25" customBuiltin="1"/>
    <cellStyle name="TotShade" xfId="78" xr:uid="{00000000-0005-0000-0000-0000060F0000}"/>
    <cellStyle name="TotShade 2" xfId="136" xr:uid="{00000000-0005-0000-0000-0000070F0000}"/>
    <cellStyle name="TotShade 3" xfId="3701" xr:uid="{00000000-0005-0000-0000-0000080F0000}"/>
    <cellStyle name="TotShade 4" xfId="3788" xr:uid="{00000000-0005-0000-0000-0000090F0000}"/>
    <cellStyle name="Underscore" xfId="79" xr:uid="{00000000-0005-0000-0000-00000A0F0000}"/>
    <cellStyle name="Underscore 2" xfId="137" xr:uid="{00000000-0005-0000-0000-00000B0F0000}"/>
    <cellStyle name="Underscore 3" xfId="3702" xr:uid="{00000000-0005-0000-0000-00000C0F0000}"/>
    <cellStyle name="Underscore 4" xfId="3737" xr:uid="{00000000-0005-0000-0000-00000D0F0000}"/>
    <cellStyle name="Warning Text" xfId="80" builtinId="11" customBuiltin="1"/>
  </cellStyles>
  <dxfs count="5"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66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6" Type="http://schemas.openxmlformats.org/officeDocument/2006/relationships/worksheet" Target="worksheets/sheet24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19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styles" Target="styles.xml"/><Relationship Id="rId55" Type="http://schemas.microsoft.com/office/2017/06/relationships/rdRichValueTypes" Target="richData/rdRichValueTypes.xml"/><Relationship Id="rId7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9" Type="http://schemas.openxmlformats.org/officeDocument/2006/relationships/worksheet" Target="worksheets/sheet27.xml"/><Relationship Id="rId11" Type="http://schemas.openxmlformats.org/officeDocument/2006/relationships/worksheet" Target="worksheets/sheet9.xml"/><Relationship Id="rId24" Type="http://schemas.openxmlformats.org/officeDocument/2006/relationships/worksheet" Target="worksheets/sheet22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microsoft.com/office/2017/06/relationships/rdRichValue" Target="richData/rdrichvalue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2.xml"/><Relationship Id="rId22" Type="http://schemas.openxmlformats.org/officeDocument/2006/relationships/worksheet" Target="worksheets/sheet20.xml"/><Relationship Id="rId27" Type="http://schemas.openxmlformats.org/officeDocument/2006/relationships/worksheet" Target="worksheets/sheet25.xml"/><Relationship Id="rId30" Type="http://schemas.openxmlformats.org/officeDocument/2006/relationships/worksheet" Target="worksheets/sheet28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calcChain" Target="calcChain.xml"/><Relationship Id="rId8" Type="http://schemas.openxmlformats.org/officeDocument/2006/relationships/worksheet" Target="worksheets/sheet7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worksheet" Target="worksheets/sheet23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18.xml"/><Relationship Id="rId41" Type="http://schemas.openxmlformats.org/officeDocument/2006/relationships/externalLink" Target="externalLinks/externalLink11.xml"/><Relationship Id="rId54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36" Type="http://schemas.openxmlformats.org/officeDocument/2006/relationships/externalLink" Target="externalLinks/externalLink6.xml"/><Relationship Id="rId49" Type="http://schemas.openxmlformats.org/officeDocument/2006/relationships/theme" Target="theme/theme1.xml"/><Relationship Id="rId57" Type="http://schemas.openxmlformats.org/officeDocument/2006/relationships/customXml" Target="../customXml/item1.xml"/><Relationship Id="rId10" Type="http://schemas.openxmlformats.org/officeDocument/2006/relationships/chartsheet" Target="chartsheets/sheet2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Income!$D$37</c:f>
              <c:strCache>
                <c:ptCount val="1"/>
                <c:pt idx="0">
                  <c:v>2026 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F53-4A3F-969E-FCB9A9A70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F53-4A3F-969E-FCB9A9A70E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F53-4A3F-969E-FCB9A9A70E58}"/>
              </c:ext>
            </c:extLst>
          </c:dPt>
          <c:val>
            <c:numRef>
              <c:f>Income!$E$37:$G$37</c:f>
              <c:numCache>
                <c:formatCode>_(* #,##0_);_(* \(#,##0\);_(* "-"??_);_(@_)</c:formatCode>
                <c:ptCount val="3"/>
                <c:pt idx="0">
                  <c:v>51</c:v>
                </c:pt>
                <c:pt idx="1">
                  <c:v>49</c:v>
                </c:pt>
                <c:pt idx="2" formatCode="_(&quot;$&quot;* #,##0_);_(&quot;$&quot;* \(#,##0\);_(&quot;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0-4FBE-BE7A-851D455C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BUDGET EXPENSES 
</a:t>
            </a:r>
          </a:p>
        </c:rich>
      </c:tx>
      <c:layout>
        <c:manualLayout>
          <c:xMode val="edge"/>
          <c:yMode val="edge"/>
          <c:x val="0.41108556430446191"/>
          <c:y val="3.922160176731141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104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8190899001109881"/>
          <c:y val="0.43371522094927056"/>
          <c:w val="0.43507214206437922"/>
          <c:h val="0.25368248772505103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E0-4984-A017-A49247B0A65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E0-4984-A017-A49247B0A65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E0-4984-A017-A49247B0A658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9E0-4984-A017-A49247B0A658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9E0-4984-A017-A49247B0A658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9E0-4984-A017-A49247B0A658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9E0-4984-A017-A49247B0A658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9E0-4984-A017-A49247B0A658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9E0-4984-A017-A49247B0A658}"/>
              </c:ext>
            </c:extLst>
          </c:dPt>
          <c:dLbls>
            <c:dLbl>
              <c:idx val="0"/>
              <c:layout>
                <c:manualLayout>
                  <c:x val="0.13875672207640713"/>
                  <c:y val="4.22232070682610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9E0-4984-A017-A49247B0A658}"/>
                </c:ext>
              </c:extLst>
            </c:dLbl>
            <c:dLbl>
              <c:idx val="1"/>
              <c:layout>
                <c:manualLayout>
                  <c:x val="7.1968503937007877E-2"/>
                  <c:y val="2.10792864876170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E0-4984-A017-A49247B0A658}"/>
                </c:ext>
              </c:extLst>
            </c:dLbl>
            <c:dLbl>
              <c:idx val="2"/>
              <c:layout>
                <c:manualLayout>
                  <c:x val="0.26963942840478272"/>
                  <c:y val="0.100202474439959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36990376202976"/>
                      <c:h val="8.70643428526466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9E0-4984-A017-A49247B0A658}"/>
                </c:ext>
              </c:extLst>
            </c:dLbl>
            <c:dLbl>
              <c:idx val="3"/>
              <c:layout>
                <c:manualLayout>
                  <c:x val="0.13074541898864539"/>
                  <c:y val="0.19173879607403815"/>
                </c:manualLayout>
              </c:layout>
              <c:numFmt formatCode="0%" sourceLinked="0"/>
              <c:spPr/>
              <c:txPr>
                <a:bodyPr lIns="38100" tIns="19050" rIns="38100" bIns="19050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E0-4984-A017-A49247B0A658}"/>
                </c:ext>
              </c:extLst>
            </c:dLbl>
            <c:dLbl>
              <c:idx val="4"/>
              <c:layout>
                <c:manualLayout>
                  <c:x val="-8.8869174686497548E-2"/>
                  <c:y val="0.15957231774943059"/>
                </c:manualLayout>
              </c:layout>
              <c:numFmt formatCode="0%" sourceLinked="0"/>
              <c:spPr/>
              <c:txPr>
                <a:bodyPr lIns="38100" tIns="19050" rIns="38100" bIns="19050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E0-4984-A017-A49247B0A658}"/>
                </c:ext>
              </c:extLst>
            </c:dLbl>
            <c:dLbl>
              <c:idx val="5"/>
              <c:layout>
                <c:manualLayout>
                  <c:x val="-9.8618955963837851E-2"/>
                  <c:y val="7.36850948123854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E0-4984-A017-A49247B0A658}"/>
                </c:ext>
              </c:extLst>
            </c:dLbl>
            <c:dLbl>
              <c:idx val="6"/>
              <c:layout>
                <c:manualLayout>
                  <c:x val="-9.4669466316710416E-2"/>
                  <c:y val="-5.544593666716107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9E0-4984-A017-A49247B0A658}"/>
                </c:ext>
              </c:extLst>
            </c:dLbl>
            <c:dLbl>
              <c:idx val="7"/>
              <c:layout>
                <c:manualLayout>
                  <c:x val="-6.4634120734908138E-2"/>
                  <c:y val="-0.1233369364982894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640653980774576"/>
                      <c:h val="8.58516219051102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89E0-4984-A017-A49247B0A658}"/>
                </c:ext>
              </c:extLst>
            </c:dLbl>
            <c:dLbl>
              <c:idx val="8"/>
              <c:layout>
                <c:manualLayout>
                  <c:x val="-9.4848293963254587E-2"/>
                  <c:y val="-0.2005396582107529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9E0-4984-A017-A49247B0A658}"/>
                </c:ext>
              </c:extLst>
            </c:dLbl>
            <c:dLbl>
              <c:idx val="9"/>
              <c:layout>
                <c:manualLayout>
                  <c:x val="6.1759230096237967E-2"/>
                  <c:y val="-0.1492292764065111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9E0-4984-A017-A49247B0A658}"/>
                </c:ext>
              </c:extLst>
            </c:dLbl>
            <c:dLbl>
              <c:idx val="10"/>
              <c:layout>
                <c:manualLayout>
                  <c:x val="7.1281189851268592E-2"/>
                  <c:y val="-3.4649017158894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9E0-4984-A017-A49247B0A658}"/>
                </c:ext>
              </c:extLst>
            </c:dLbl>
            <c:dLbl>
              <c:idx val="11"/>
              <c:layout>
                <c:manualLayout>
                  <c:x val="4.9363546223388635E-2"/>
                  <c:y val="5.07261048872460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9E0-4984-A017-A49247B0A658}"/>
                </c:ext>
              </c:extLst>
            </c:dLbl>
            <c:dLbl>
              <c:idx val="12"/>
              <c:layout>
                <c:manualLayout>
                  <c:x val="4.3094488188976376E-2"/>
                  <c:y val="-1.69508395842809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9E0-4984-A017-A49247B0A658}"/>
                </c:ext>
              </c:extLst>
            </c:dLbl>
            <c:dLbl>
              <c:idx val="13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9E0-4984-A017-A49247B0A658}"/>
                </c:ext>
              </c:extLst>
            </c:dLbl>
            <c:dLbl>
              <c:idx val="14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9E0-4984-A017-A49247B0A65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 bud'!$B$68:$B$79</c:f>
              <c:strCache>
                <c:ptCount val="12"/>
                <c:pt idx="0">
                  <c:v>Payroll </c:v>
                </c:pt>
                <c:pt idx="1">
                  <c:v>Electric</c:v>
                </c:pt>
                <c:pt idx="2">
                  <c:v>Gas Cooking / Heating</c:v>
                </c:pt>
                <c:pt idx="3">
                  <c:v>Water &amp; Sewer</c:v>
                </c:pt>
                <c:pt idx="4">
                  <c:v>Supplies</c:v>
                </c:pt>
                <c:pt idx="5">
                  <c:v>Repairs &amp; Maintenance</c:v>
                </c:pt>
                <c:pt idx="6">
                  <c:v>Insurance</c:v>
                </c:pt>
                <c:pt idx="7">
                  <c:v>Real Estate Tax (Net of Credits)</c:v>
                </c:pt>
                <c:pt idx="8">
                  <c:v>Corporate Taxes</c:v>
                </c:pt>
                <c:pt idx="9">
                  <c:v>Professional Fees</c:v>
                </c:pt>
                <c:pt idx="10">
                  <c:v>Administrative &amp; Other</c:v>
                </c:pt>
                <c:pt idx="11">
                  <c:v>Financial Expenses  </c:v>
                </c:pt>
              </c:strCache>
            </c:strRef>
          </c:cat>
          <c:val>
            <c:numRef>
              <c:f>' bud'!$C$68:$C$79</c:f>
              <c:numCache>
                <c:formatCode>"$"#,##0_);\("$"#,##0\)</c:formatCode>
                <c:ptCount val="12"/>
                <c:pt idx="0">
                  <c:v>1540644.6985656805</c:v>
                </c:pt>
                <c:pt idx="1">
                  <c:v>251140.75679767205</c:v>
                </c:pt>
                <c:pt idx="2">
                  <c:v>569699.58878812881</c:v>
                </c:pt>
                <c:pt idx="3">
                  <c:v>216507.31812998964</c:v>
                </c:pt>
                <c:pt idx="4">
                  <c:v>90000</c:v>
                </c:pt>
                <c:pt idx="5">
                  <c:v>675000.25760000001</c:v>
                </c:pt>
                <c:pt idx="6">
                  <c:v>641578.18050000002</c:v>
                </c:pt>
                <c:pt idx="7" formatCode="_(* #,##0_);_(* \(#,##0\);_(* &quot;-&quot;??_);_(@_)">
                  <c:v>4268589.1811543638</c:v>
                </c:pt>
                <c:pt idx="8">
                  <c:v>24500</c:v>
                </c:pt>
                <c:pt idx="9">
                  <c:v>178772.59999999998</c:v>
                </c:pt>
                <c:pt idx="10">
                  <c:v>87575</c:v>
                </c:pt>
                <c:pt idx="11">
                  <c:v>890420.12000000011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9E0-4984-A017-A49247B0A65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34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3"/>
          <c:dPt>
            <c:idx val="0"/>
            <c:bubble3D val="0"/>
            <c:explosion val="15"/>
            <c:extLst>
              <c:ext xmlns:c16="http://schemas.microsoft.com/office/drawing/2014/chart" uri="{C3380CC4-5D6E-409C-BE32-E72D297353CC}">
                <c16:uniqueId val="{00000000-DEF5-4538-AA0B-30F3A9DC993A}"/>
              </c:ext>
            </c:extLst>
          </c:dPt>
          <c:dPt>
            <c:idx val="2"/>
            <c:bubble3D val="0"/>
            <c:explosion val="11"/>
            <c:extLst>
              <c:ext xmlns:c16="http://schemas.microsoft.com/office/drawing/2014/chart" uri="{C3380CC4-5D6E-409C-BE32-E72D297353CC}">
                <c16:uniqueId val="{00000001-DEF5-4538-AA0B-30F3A9DC993A}"/>
              </c:ext>
            </c:extLst>
          </c:dPt>
          <c:dLbls>
            <c:dLbl>
              <c:idx val="0"/>
              <c:layout>
                <c:manualLayout>
                  <c:x val="-1.2992813071140976E-3"/>
                  <c:y val="-0.107173207122694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F5-4538-AA0B-30F3A9DC993A}"/>
                </c:ext>
              </c:extLst>
            </c:dLbl>
            <c:dLbl>
              <c:idx val="1"/>
              <c:layout>
                <c:manualLayout>
                  <c:x val="2.1450096879251351E-2"/>
                  <c:y val="2.51903417733160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F5-4538-AA0B-30F3A9DC993A}"/>
                </c:ext>
              </c:extLst>
            </c:dLbl>
            <c:dLbl>
              <c:idx val="2"/>
              <c:layout>
                <c:manualLayout>
                  <c:x val="-5.7250965357079055E-2"/>
                  <c:y val="7.85120727833549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F5-4538-AA0B-30F3A9DC993A}"/>
                </c:ext>
              </c:extLst>
            </c:dLbl>
            <c:dLbl>
              <c:idx val="3"/>
              <c:layout>
                <c:manualLayout>
                  <c:x val="-7.7618556842698333E-2"/>
                  <c:y val="0.108953739273156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F5-4538-AA0B-30F3A9DC993A}"/>
                </c:ext>
              </c:extLst>
            </c:dLbl>
            <c:dLbl>
              <c:idx val="4"/>
              <c:layout>
                <c:manualLayout>
                  <c:x val="-0.13631460334473897"/>
                  <c:y val="5.7316043041789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F5-4538-AA0B-30F3A9DC993A}"/>
                </c:ext>
              </c:extLst>
            </c:dLbl>
            <c:dLbl>
              <c:idx val="5"/>
              <c:layout>
                <c:manualLayout>
                  <c:x val="-0.17125681933737341"/>
                  <c:y val="-3.97342784982065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F5-4538-AA0B-30F3A9DC993A}"/>
                </c:ext>
              </c:extLst>
            </c:dLbl>
            <c:dLbl>
              <c:idx val="6"/>
              <c:layout>
                <c:manualLayout>
                  <c:x val="-0.12599826854103971"/>
                  <c:y val="-4.59975521927683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F5-4538-AA0B-30F3A9DC993A}"/>
                </c:ext>
              </c:extLst>
            </c:dLbl>
            <c:dLbl>
              <c:idx val="7"/>
              <c:layout>
                <c:manualLayout>
                  <c:x val="-2.5914031688447352E-2"/>
                  <c:y val="-4.25335512306244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F5-4538-AA0B-30F3A9DC993A}"/>
                </c:ext>
              </c:extLst>
            </c:dLbl>
            <c:dLbl>
              <c:idx val="8"/>
              <c:layout>
                <c:manualLayout>
                  <c:x val="9.3772543649435131E-2"/>
                  <c:y val="-3.41062922690219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F5-4538-AA0B-30F3A9DC993A}"/>
                </c:ext>
              </c:extLst>
            </c:dLbl>
            <c:dLbl>
              <c:idx val="9"/>
              <c:layout>
                <c:manualLayout>
                  <c:x val="0.17380859133446017"/>
                  <c:y val="-3.895833775495044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F5-4538-AA0B-30F3A9DC993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for Annual Meeting'!$O$10:$O$18</c:f>
              <c:strCache>
                <c:ptCount val="9"/>
                <c:pt idx="0">
                  <c:v> Taxes </c:v>
                </c:pt>
                <c:pt idx="1">
                  <c:v> Payroll </c:v>
                </c:pt>
                <c:pt idx="2">
                  <c:v> Financial </c:v>
                </c:pt>
                <c:pt idx="3">
                  <c:v> Utilities </c:v>
                </c:pt>
                <c:pt idx="4">
                  <c:v> Insurance </c:v>
                </c:pt>
                <c:pt idx="5">
                  <c:v> Professional </c:v>
                </c:pt>
                <c:pt idx="6">
                  <c:v> Repairs &amp; Maint </c:v>
                </c:pt>
                <c:pt idx="7">
                  <c:v> Supplies </c:v>
                </c:pt>
                <c:pt idx="8">
                  <c:v> Administrative </c:v>
                </c:pt>
              </c:strCache>
            </c:strRef>
          </c:cat>
          <c:val>
            <c:numRef>
              <c:f>'Chart for Annual Meeting'!$P$10:$P$18</c:f>
              <c:numCache>
                <c:formatCode>_("$"* #,##0_);_("$"* \(#,##0\);_("$"* "-"??_);_(@_)</c:formatCode>
                <c:ptCount val="9"/>
                <c:pt idx="0">
                  <c:v>4293089.1811543638</c:v>
                </c:pt>
                <c:pt idx="1">
                  <c:v>1540644.6985656805</c:v>
                </c:pt>
                <c:pt idx="2">
                  <c:v>890420.12000000011</c:v>
                </c:pt>
                <c:pt idx="3">
                  <c:v>1037347.6637157905</c:v>
                </c:pt>
                <c:pt idx="4">
                  <c:v>641578.18050000002</c:v>
                </c:pt>
                <c:pt idx="5">
                  <c:v>178772.59999999998</c:v>
                </c:pt>
                <c:pt idx="6">
                  <c:v>675000.25760000001</c:v>
                </c:pt>
                <c:pt idx="7">
                  <c:v>90000</c:v>
                </c:pt>
                <c:pt idx="8">
                  <c:v>87575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F5-4538-AA0B-30F3A9DC993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3" l="0.2" r="0.2" t="0.750000000000003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Annual Comparison of Expenses</a:t>
            </a:r>
          </a:p>
        </c:rich>
      </c:tx>
      <c:layout>
        <c:manualLayout>
          <c:xMode val="edge"/>
          <c:yMode val="edge"/>
          <c:x val="0.24245232726513041"/>
          <c:y val="2.7611044417769057E-2"/>
        </c:manualLayout>
      </c:layout>
      <c:overlay val="0"/>
      <c:spPr>
        <a:noFill/>
        <a:ln w="12700">
          <a:solidFill>
            <a:srgbClr val="000000"/>
          </a:solidFill>
          <a:prstDash val="solid"/>
        </a:ln>
      </c:spPr>
    </c:title>
    <c:autoTitleDeleted val="0"/>
    <c:view3D>
      <c:rotX val="50"/>
      <c:hPercent val="64"/>
      <c:rotY val="340"/>
      <c:depthPercent val="5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solidFill>
          <a:srgbClr val="FFFFCC"/>
        </a:solidFill>
        <a:ln w="3175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FFFFCC"/>
        </a:solidFill>
        <a:ln w="3175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4.9252476811716503E-2"/>
          <c:y val="5.8823555272304047E-2"/>
          <c:w val="0.87599048043690064"/>
          <c:h val="0.8391360231702155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'Pie Chart for Annual'!$S$8</c:f>
              <c:strCache>
                <c:ptCount val="1"/>
                <c:pt idx="0">
                  <c:v>2021</c:v>
                </c:pt>
              </c:strCache>
            </c:strRef>
          </c:tx>
          <c:spPr>
            <a:pattFill prst="dkHorz">
              <a:fgClr>
                <a:srgbClr val="0000FF"/>
              </a:fgClr>
              <a:bgClr>
                <a:srgbClr val="FF00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'Pie Chart for Annual'!$R$9:$R$17</c:f>
              <c:strCache>
                <c:ptCount val="9"/>
                <c:pt idx="0">
                  <c:v> Taxes </c:v>
                </c:pt>
                <c:pt idx="1">
                  <c:v> Payroll </c:v>
                </c:pt>
                <c:pt idx="2">
                  <c:v> Financial </c:v>
                </c:pt>
                <c:pt idx="3">
                  <c:v> Utilities </c:v>
                </c:pt>
                <c:pt idx="4">
                  <c:v> Repairs &amp; Maint </c:v>
                </c:pt>
                <c:pt idx="5">
                  <c:v> Insurance </c:v>
                </c:pt>
                <c:pt idx="6">
                  <c:v> Prof Fees </c:v>
                </c:pt>
                <c:pt idx="7">
                  <c:v> Supplies </c:v>
                </c:pt>
                <c:pt idx="8">
                  <c:v> Administrative </c:v>
                </c:pt>
              </c:strCache>
            </c:strRef>
          </c:cat>
          <c:val>
            <c:numRef>
              <c:f>'Pie Chart for Annual'!$S$9:$S$17</c:f>
              <c:numCache>
                <c:formatCode>#,##0_);[Red]\(#,##0\)</c:formatCode>
                <c:ptCount val="9"/>
                <c:pt idx="0">
                  <c:v>3837960</c:v>
                </c:pt>
                <c:pt idx="1">
                  <c:v>1273581</c:v>
                </c:pt>
                <c:pt idx="2">
                  <c:v>755552</c:v>
                </c:pt>
                <c:pt idx="3">
                  <c:v>829208</c:v>
                </c:pt>
                <c:pt idx="4">
                  <c:v>527444</c:v>
                </c:pt>
                <c:pt idx="5">
                  <c:v>249055</c:v>
                </c:pt>
                <c:pt idx="6">
                  <c:v>208255</c:v>
                </c:pt>
                <c:pt idx="7">
                  <c:v>87755</c:v>
                </c:pt>
                <c:pt idx="8">
                  <c:v>73664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6-4E63-B8E7-26069A23B541}"/>
            </c:ext>
          </c:extLst>
        </c:ser>
        <c:ser>
          <c:idx val="1"/>
          <c:order val="1"/>
          <c:tx>
            <c:strRef>
              <c:f>'Pie Chart for Annual'!$T$8</c:f>
              <c:strCache>
                <c:ptCount val="1"/>
                <c:pt idx="0">
                  <c:v>2022</c:v>
                </c:pt>
              </c:strCache>
            </c:strRef>
          </c:tx>
          <c:spPr>
            <a:pattFill prst="dkVert">
              <a:fgClr>
                <a:srgbClr val="FFFF00"/>
              </a:fgClr>
              <a:bgClr>
                <a:srgbClr val="C0C0C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'Pie Chart for Annual'!$R$9:$R$17</c:f>
              <c:strCache>
                <c:ptCount val="9"/>
                <c:pt idx="0">
                  <c:v> Taxes </c:v>
                </c:pt>
                <c:pt idx="1">
                  <c:v> Payroll </c:v>
                </c:pt>
                <c:pt idx="2">
                  <c:v> Financial </c:v>
                </c:pt>
                <c:pt idx="3">
                  <c:v> Utilities </c:v>
                </c:pt>
                <c:pt idx="4">
                  <c:v> Repairs &amp; Maint </c:v>
                </c:pt>
                <c:pt idx="5">
                  <c:v> Insurance </c:v>
                </c:pt>
                <c:pt idx="6">
                  <c:v> Prof Fees </c:v>
                </c:pt>
                <c:pt idx="7">
                  <c:v> Supplies </c:v>
                </c:pt>
                <c:pt idx="8">
                  <c:v> Administrative </c:v>
                </c:pt>
              </c:strCache>
            </c:strRef>
          </c:cat>
          <c:val>
            <c:numRef>
              <c:f>'Pie Chart for Annual'!$T$9:$T$17</c:f>
              <c:numCache>
                <c:formatCode>#,##0_);[Red]\(#,##0\)</c:formatCode>
                <c:ptCount val="9"/>
                <c:pt idx="0">
                  <c:v>3979788</c:v>
                </c:pt>
                <c:pt idx="1">
                  <c:v>1321667</c:v>
                </c:pt>
                <c:pt idx="2">
                  <c:v>799714</c:v>
                </c:pt>
                <c:pt idx="3">
                  <c:v>983989</c:v>
                </c:pt>
                <c:pt idx="4">
                  <c:v>494781</c:v>
                </c:pt>
                <c:pt idx="5">
                  <c:v>277481</c:v>
                </c:pt>
                <c:pt idx="6">
                  <c:v>220126</c:v>
                </c:pt>
                <c:pt idx="7">
                  <c:v>78804</c:v>
                </c:pt>
                <c:pt idx="8">
                  <c:v>72526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6-4E63-B8E7-26069A23B541}"/>
            </c:ext>
          </c:extLst>
        </c:ser>
        <c:ser>
          <c:idx val="2"/>
          <c:order val="2"/>
          <c:tx>
            <c:strRef>
              <c:f>'Pie Chart for Annual'!$U$8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'Pie Chart for Annual'!$R$9:$R$17</c:f>
              <c:strCache>
                <c:ptCount val="9"/>
                <c:pt idx="0">
                  <c:v> Taxes </c:v>
                </c:pt>
                <c:pt idx="1">
                  <c:v> Payroll </c:v>
                </c:pt>
                <c:pt idx="2">
                  <c:v> Financial </c:v>
                </c:pt>
                <c:pt idx="3">
                  <c:v> Utilities </c:v>
                </c:pt>
                <c:pt idx="4">
                  <c:v> Repairs &amp; Maint </c:v>
                </c:pt>
                <c:pt idx="5">
                  <c:v> Insurance </c:v>
                </c:pt>
                <c:pt idx="6">
                  <c:v> Prof Fees </c:v>
                </c:pt>
                <c:pt idx="7">
                  <c:v> Supplies </c:v>
                </c:pt>
                <c:pt idx="8">
                  <c:v> Administrative </c:v>
                </c:pt>
              </c:strCache>
            </c:strRef>
          </c:cat>
          <c:val>
            <c:numRef>
              <c:f>'Pie Chart for Annual'!$U$9:$U$17</c:f>
              <c:numCache>
                <c:formatCode>#,##0_);[Red]\(#,##0\)</c:formatCode>
                <c:ptCount val="9"/>
                <c:pt idx="0">
                  <c:v>3979788</c:v>
                </c:pt>
                <c:pt idx="1">
                  <c:v>1321667</c:v>
                </c:pt>
                <c:pt idx="2">
                  <c:v>799714</c:v>
                </c:pt>
                <c:pt idx="3">
                  <c:v>983989</c:v>
                </c:pt>
                <c:pt idx="4">
                  <c:v>494781</c:v>
                </c:pt>
                <c:pt idx="5">
                  <c:v>277481</c:v>
                </c:pt>
                <c:pt idx="6">
                  <c:v>220126</c:v>
                </c:pt>
                <c:pt idx="7">
                  <c:v>78804</c:v>
                </c:pt>
                <c:pt idx="8">
                  <c:v>72526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6-4E63-B8E7-26069A23B541}"/>
            </c:ext>
          </c:extLst>
        </c:ser>
        <c:ser>
          <c:idx val="3"/>
          <c:order val="3"/>
          <c:tx>
            <c:strRef>
              <c:f>'Pie Chart for Annual'!$V$8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'Pie Chart for Annual'!$V$9:$V$17</c:f>
              <c:numCache>
                <c:formatCode>#,##0_);[Red]\(#,##0\)</c:formatCode>
                <c:ptCount val="9"/>
                <c:pt idx="0">
                  <c:v>4293089.1811543638</c:v>
                </c:pt>
                <c:pt idx="1">
                  <c:v>1540644.6985656805</c:v>
                </c:pt>
                <c:pt idx="2">
                  <c:v>890420.12000000011</c:v>
                </c:pt>
                <c:pt idx="3">
                  <c:v>1037347.6637157905</c:v>
                </c:pt>
                <c:pt idx="4">
                  <c:v>675000.25760000001</c:v>
                </c:pt>
                <c:pt idx="5">
                  <c:v>641578.18050000002</c:v>
                </c:pt>
                <c:pt idx="6">
                  <c:v>178772.59999999998</c:v>
                </c:pt>
                <c:pt idx="7">
                  <c:v>90000</c:v>
                </c:pt>
                <c:pt idx="8">
                  <c:v>87575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6-4E63-B8E7-26069A23B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gapDepth val="240"/>
        <c:shape val="box"/>
        <c:axId val="542066792"/>
        <c:axId val="492770744"/>
        <c:axId val="493221592"/>
      </c:bar3DChart>
      <c:catAx>
        <c:axId val="542066792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FF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2770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92770744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_);[Red]\(#,##0\)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3366FF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2066792"/>
        <c:crosses val="max"/>
        <c:crossBetween val="between"/>
      </c:valAx>
      <c:serAx>
        <c:axId val="493221592"/>
        <c:scaling>
          <c:orientation val="minMax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FF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2770744"/>
        <c:crosses val="autoZero"/>
        <c:tickLblSkip val="1"/>
        <c:tickMarkSkip val="1"/>
      </c:serAx>
      <c:spPr>
        <a:solidFill>
          <a:srgbClr val="CC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44854934239238525"/>
          <c:y val="0.94837976867592344"/>
          <c:w val="0.3034304375007314"/>
          <c:h val="4.5618267354032113E-2"/>
        </c:manualLayout>
      </c:layout>
      <c:overlay val="0"/>
      <c:spPr>
        <a:noFill/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138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99" r="0.75000000000001499" t="1" header="0.5" footer="0.5"/>
    <c:pageSetup orientation="landscape" horizontalDpi="300" verticalDpi="3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6CFA63-4DE3-4F0C-986D-936C1D79B5EC}">
  <sheetPr>
    <tabColor rgb="FF00B050"/>
  </sheetPr>
  <sheetViews>
    <sheetView zoomScale="11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103"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9</xdr:row>
      <xdr:rowOff>76200</xdr:rowOff>
    </xdr:from>
    <xdr:to>
      <xdr:col>2</xdr:col>
      <xdr:colOff>523875</xdr:colOff>
      <xdr:row>10</xdr:row>
      <xdr:rowOff>171450</xdr:rowOff>
    </xdr:to>
    <xdr:sp macro="" textlink="">
      <xdr:nvSpPr>
        <xdr:cNvPr id="6170" name="Rectangle 1">
          <a:extLst>
            <a:ext uri="{FF2B5EF4-FFF2-40B4-BE49-F238E27FC236}">
              <a16:creationId xmlns:a16="http://schemas.microsoft.com/office/drawing/2014/main" id="{00000000-0008-0000-0200-00001A180000}"/>
            </a:ext>
          </a:extLst>
        </xdr:cNvPr>
        <xdr:cNvSpPr>
          <a:spLocks noChangeArrowheads="1"/>
        </xdr:cNvSpPr>
      </xdr:nvSpPr>
      <xdr:spPr bwMode="auto">
        <a:xfrm>
          <a:off x="1400175" y="2581275"/>
          <a:ext cx="1905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152400</xdr:colOff>
      <xdr:row>5</xdr:row>
      <xdr:rowOff>95250</xdr:rowOff>
    </xdr:from>
    <xdr:to>
      <xdr:col>6</xdr:col>
      <xdr:colOff>447675</xdr:colOff>
      <xdr:row>12</xdr:row>
      <xdr:rowOff>171450</xdr:rowOff>
    </xdr:to>
    <xdr:pic>
      <xdr:nvPicPr>
        <xdr:cNvPr id="4" name="Picture 3" descr="C:\Users\mcatanzaro\Desktop\century logo (2)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47825"/>
          <a:ext cx="4257675" cy="160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92132-9930-7A52-499B-E9B20EBB24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1748" cy="5825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9</xdr:col>
      <xdr:colOff>0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</xdr:colOff>
      <xdr:row>5</xdr:row>
      <xdr:rowOff>0</xdr:rowOff>
    </xdr:from>
    <xdr:to>
      <xdr:col>13</xdr:col>
      <xdr:colOff>137160</xdr:colOff>
      <xdr:row>38</xdr:row>
      <xdr:rowOff>60960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ilesh/2011%20bidget/282/282%20-%20Morton%20Square%20Condo%20Operating%20Budget%202011%20-First%20Draft%20.xls" TargetMode="External"/><Relationship Id="rId1" Type="http://schemas.openxmlformats.org/officeDocument/2006/relationships/externalLinkPath" Target="/Nilesh/2011%20bidget/282/282%20-%20Morton%20Square%20Condo%20Operating%20Budget%202011%20-First%20Draft%2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ilesh/2011%20bidget/512/512%20-%20The%20Smith%20Condominium%202011%20Fiscal%20budget%201st%20Draft.xls" TargetMode="External"/><Relationship Id="rId1" Type="http://schemas.openxmlformats.org/officeDocument/2006/relationships/externalLinkPath" Target="/Nilesh/2011%20bidget/512/512%20-%20The%20Smith%20Condominium%202011%20Fiscal%20budget%201st%20Draft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ilesh/2011%20bidget/166/166%20-%20Carnegie%20Hill%20Tower%202011%20Budget%20-%203rd%20Draft.xls" TargetMode="External"/><Relationship Id="rId1" Type="http://schemas.openxmlformats.org/officeDocument/2006/relationships/externalLinkPath" Target="/Nilesh/2011%20bidget/166/166%20-%20Carnegie%20Hill%20Tower%202011%20Budget%20-%203rd%20Draf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Accounting/Budget/2004/Finrep%20Cash%20Flow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5%20Budget/204/204%20%202015%20Budget.xlsx" TargetMode="External"/><Relationship Id="rId1" Type="http://schemas.openxmlformats.org/officeDocument/2006/relationships/externalLinkPath" Target="/15%20Budget/204/204%20%202015%20Budge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cohen/Local%20Settings/Temp/Real%20Estate/LBREP/Campbell/Deal%20Screening/First%20City%20Tower%20-%20Houston/Parking%20Model-First%20City%206-0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09%20Budget/215/215-2009%20Budget.xls" TargetMode="External"/><Relationship Id="rId1" Type="http://schemas.openxmlformats.org/officeDocument/2006/relationships/externalLinkPath" Target="/09%20Budget/215/215-2009%20Budge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6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Swap01/Swapstation2000/SwapStation_2000_L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Master%20Creations/Check%20Request%20For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Accounting/Budget/2004/Lenox%20Terrace/Building%20Rent%20Charts/L1%20-%2010%20West%20135th%20Street%20-%20Stacking%20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ccounting%20Dept/Financial%20Analyst/Loan%20Amortization%20Schedules/148%20Line%20of%20Credit%20Amortiz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cohen/Local%20Settings/Temp/Rental/Building%20Rent%20Charts/Lenox%20-%20Market%20Value_9-13-05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scalations/Nicole%20Escalations%202003-2004/Retax0304.xls" TargetMode="External"/><Relationship Id="rId1" Type="http://schemas.openxmlformats.org/officeDocument/2006/relationships/externalLinkPath" Target="/Escalations/Nicole%20Escalations%202003-2004/Retax03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cohen/Local%20Settings/Temp/DOCUME~1/34900cdr/LOCALS~1/Temp/7/5537404464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y%20Briefcase/cash%20flow%20model-toronto%2012-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pcohen/Local%20Settings/Temp/Rental/Building%20Rent%20Charts/Rent%20Chart%20-%20200%20East%2087th%20Street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ilesh/2011%20bidget/552/512%20-%20The%20Smith%20Condominium%202011%20Fiscal%20budget%201st%20Draft.xls" TargetMode="External"/><Relationship Id="rId1" Type="http://schemas.openxmlformats.org/officeDocument/2006/relationships/externalLinkPath" Target="/Nilesh/2011%20bidget/552/512%20-%20The%20Smith%20Condominium%202011%20Fiscal%20budget%201st%20Draf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load"/>
      <sheetName val="COV"/>
      <sheetName val="contents"/>
      <sheetName val="2010 bud"/>
      <sheetName val="yrlycomp"/>
      <sheetName val="income"/>
      <sheetName val="EXP-Pie"/>
      <sheetName val="pyrl"/>
      <sheetName val="heating"/>
      <sheetName val="elect"/>
      <sheetName val="Gas"/>
      <sheetName val="other"/>
      <sheetName val="other1"/>
      <sheetName val="wtrswr"/>
      <sheetName val="mtg"/>
      <sheetName val="CAP"/>
      <sheetName val="2010_bud"/>
      <sheetName val="2010_bud1"/>
      <sheetName val="2010_bud2"/>
      <sheetName val="2010_bud3"/>
      <sheetName val="2010_bud4"/>
      <sheetName val="2010_bud5"/>
      <sheetName val="2010_bud6"/>
      <sheetName val="2010_bud7"/>
      <sheetName val="2010_bud9"/>
      <sheetName val="2010_bud8"/>
      <sheetName val="2010_bud10"/>
      <sheetName val="2010_bud11"/>
      <sheetName val="2010_bud12"/>
      <sheetName val="2010_bud13"/>
      <sheetName val="2010_bud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load"/>
      <sheetName val="COV"/>
      <sheetName val="contents"/>
      <sheetName val="2011 bud"/>
      <sheetName val="yrlycomp"/>
      <sheetName val="income "/>
      <sheetName val="CAM Allocation"/>
      <sheetName val="EXP-Pie"/>
      <sheetName val="Payroll"/>
      <sheetName val="Utility"/>
      <sheetName val="electric"/>
      <sheetName val="other Operating"/>
      <sheetName val="Other operating 2"/>
      <sheetName val="heating"/>
      <sheetName val="2011_bud"/>
      <sheetName val="income_"/>
      <sheetName val="CAM_Allocation"/>
      <sheetName val="other_Operating"/>
      <sheetName val="Other_operating_2"/>
      <sheetName val="2011_bud1"/>
      <sheetName val="income_1"/>
      <sheetName val="CAM_Allocation1"/>
      <sheetName val="other_Operating1"/>
      <sheetName val="Other_operating_21"/>
      <sheetName val="2011_bud2"/>
      <sheetName val="income_2"/>
      <sheetName val="CAM_Allocation2"/>
      <sheetName val="other_Operating2"/>
      <sheetName val="Other_operating_22"/>
      <sheetName val="2011_bud3"/>
      <sheetName val="income_3"/>
      <sheetName val="CAM_Allocation3"/>
      <sheetName val="other_Operating3"/>
      <sheetName val="Other_operating_23"/>
      <sheetName val="2011_bud4"/>
      <sheetName val="income_4"/>
      <sheetName val="CAM_Allocation4"/>
      <sheetName val="other_Operating4"/>
      <sheetName val="Other_operating_24"/>
      <sheetName val="2011_bud5"/>
      <sheetName val="income_5"/>
      <sheetName val="CAM_Allocation5"/>
      <sheetName val="other_Operating5"/>
      <sheetName val="Other_operating_25"/>
      <sheetName val="2011_bud6"/>
      <sheetName val="income_6"/>
      <sheetName val="CAM_Allocation6"/>
      <sheetName val="other_Operating6"/>
      <sheetName val="Other_operating_26"/>
      <sheetName val="2011_bud7"/>
      <sheetName val="income_7"/>
      <sheetName val="CAM_Allocation7"/>
      <sheetName val="other_Operating7"/>
      <sheetName val="Other_operating_27"/>
      <sheetName val="2011_bud9"/>
      <sheetName val="income_9"/>
      <sheetName val="CAM_Allocation9"/>
      <sheetName val="other_Operating9"/>
      <sheetName val="Other_operating_29"/>
      <sheetName val="2011_bud8"/>
      <sheetName val="income_8"/>
      <sheetName val="CAM_Allocation8"/>
      <sheetName val="other_Operating8"/>
      <sheetName val="Other_operating_28"/>
      <sheetName val="2011_bud10"/>
      <sheetName val="income_10"/>
      <sheetName val="CAM_Allocation10"/>
      <sheetName val="other_Operating10"/>
      <sheetName val="Other_operating_210"/>
      <sheetName val="2011_bud11"/>
      <sheetName val="income_11"/>
      <sheetName val="CAM_Allocation11"/>
      <sheetName val="other_Operating11"/>
      <sheetName val="Other_operating_211"/>
      <sheetName val="2011_bud12"/>
      <sheetName val="income_12"/>
      <sheetName val="CAM_Allocation12"/>
      <sheetName val="other_Operating12"/>
      <sheetName val="Other_operating_212"/>
      <sheetName val="2011_bud13"/>
      <sheetName val="income_13"/>
      <sheetName val="CAM_Allocation13"/>
      <sheetName val="other_Operating13"/>
      <sheetName val="Other_operating_213"/>
      <sheetName val="2011_bud14"/>
      <sheetName val="income_14"/>
      <sheetName val="CAM_Allocation14"/>
      <sheetName val="other_Operating14"/>
      <sheetName val="Other_operating_2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load"/>
      <sheetName val="COV"/>
      <sheetName val="contents"/>
      <sheetName val="2011 bud"/>
      <sheetName val="yrlycomp"/>
      <sheetName val="income"/>
      <sheetName val="EXP-Pie"/>
      <sheetName val="pyrl"/>
      <sheetName val="heating"/>
      <sheetName val="electric"/>
      <sheetName val="cooking"/>
      <sheetName val="wtrswr"/>
      <sheetName val="other Operating"/>
      <sheetName val="other Operating 2"/>
      <sheetName val="CAP"/>
      <sheetName val="2011_bud"/>
      <sheetName val="other_Operating"/>
      <sheetName val="other_Operating_2"/>
      <sheetName val="2011_bud1"/>
      <sheetName val="other_Operating1"/>
      <sheetName val="other_Operating_21"/>
      <sheetName val="2011_bud2"/>
      <sheetName val="other_Operating2"/>
      <sheetName val="other_Operating_22"/>
      <sheetName val="2011_bud3"/>
      <sheetName val="other_Operating3"/>
      <sheetName val="other_Operating_23"/>
      <sheetName val="2011_bud4"/>
      <sheetName val="other_Operating4"/>
      <sheetName val="other_Operating_24"/>
      <sheetName val="2011_bud5"/>
      <sheetName val="other_Operating5"/>
      <sheetName val="other_Operating_25"/>
      <sheetName val="2011_bud6"/>
      <sheetName val="other_Operating6"/>
      <sheetName val="other_Operating_26"/>
      <sheetName val="2011_bud7"/>
      <sheetName val="other_Operating7"/>
      <sheetName val="other_Operating_27"/>
      <sheetName val="2011_bud9"/>
      <sheetName val="other_Operating9"/>
      <sheetName val="other_Operating_29"/>
      <sheetName val="2011_bud8"/>
      <sheetName val="other_Operating8"/>
      <sheetName val="other_Operating_28"/>
      <sheetName val="2011_bud10"/>
      <sheetName val="other_Operating10"/>
      <sheetName val="other_Operating_210"/>
      <sheetName val="2011_bud11"/>
      <sheetName val="other_Operating11"/>
      <sheetName val="other_Operating_211"/>
      <sheetName val="2011_bud12"/>
      <sheetName val="other_Operating12"/>
      <sheetName val="other_Operating_212"/>
      <sheetName val="2011_bud13"/>
      <sheetName val="other_Operating13"/>
      <sheetName val="other_Operating_213"/>
      <sheetName val="2011_bud14"/>
      <sheetName val="other_Operating14"/>
      <sheetName val="other_Operating_214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-IBS"/>
      <sheetName val="Finrep2003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QUIRED AND BASE INFO"/>
      <sheetName val="Cover"/>
      <sheetName val="Contents"/>
      <sheetName val="Budget"/>
      <sheetName val="Sheet2"/>
      <sheetName val="Budget Summary "/>
      <sheetName val="VLOOKUP DATA"/>
      <sheetName val="Payroll"/>
      <sheetName val="Payroll Data"/>
      <sheetName val="Payroll Data Table"/>
      <sheetName val="Gas and Elect"/>
      <sheetName val="GAS DATA"/>
      <sheetName val="ELECTRIC DATA"/>
      <sheetName val="Con Ed Data Drop"/>
      <sheetName val="Fuel"/>
      <sheetName val="Energy Data"/>
      <sheetName val="Insurance"/>
      <sheetName val="Water n Sewer"/>
      <sheetName val="Water and Sewer NEW"/>
      <sheetName val="Real Est Txs"/>
      <sheetName val="RE Tax Values"/>
      <sheetName val="Tax Escalation"/>
      <sheetName val="Graph I"/>
      <sheetName val="Graph I- Alternate "/>
      <sheetName val="Graph II"/>
      <sheetName val="Yahdi Import"/>
      <sheetName val="Footnotes"/>
      <sheetName val="WORKING CAPITAL"/>
      <sheetName val="Debt Service "/>
      <sheetName val="AGENT - WORKPAPER"/>
      <sheetName val="AGENT - RECURRING INCOME"/>
      <sheetName val="AGENT - CONTRACTS"/>
      <sheetName val="Variable"/>
      <sheetName val="report1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1 Cash Flow"/>
      <sheetName val="2Assumption"/>
      <sheetName val="3 Parking Rent Roll"/>
      <sheetName val="4 Monthly Cashflow"/>
      <sheetName val="5 cashflow array"/>
      <sheetName val="6 market rate array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QUIRED AND BASE INFO"/>
      <sheetName val="Cover"/>
      <sheetName val="Contents"/>
      <sheetName val="Budget"/>
      <sheetName val="Payroll"/>
      <sheetName val="Payroll Data"/>
      <sheetName val="Gas and Elect"/>
      <sheetName val="Steam"/>
      <sheetName val="Fuel"/>
      <sheetName val="Insurance"/>
      <sheetName val="Water n Sewer"/>
      <sheetName val="Real Est Txs"/>
      <sheetName val="Graph I"/>
      <sheetName val="Graph II"/>
      <sheetName val="Footnotes"/>
      <sheetName val="WORKING CAPITAL"/>
      <sheetName val="Debt Service "/>
      <sheetName val="Energy Data"/>
      <sheetName val="GAS DATA"/>
      <sheetName val="ELECTRIC DATA"/>
      <sheetName val="VLOOKUP DATA"/>
      <sheetName val="Yardi Import"/>
      <sheetName val="Yardi Export"/>
      <sheetName val="Budget_Template"/>
      <sheetName val="AGENT - WORKPAPER"/>
      <sheetName val="AGENT - CONTRACTS"/>
      <sheetName val="AGENT - RECURRING IN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T - WORKPAPER (2)"/>
      <sheetName val="Book6"/>
      <sheetName val="Sheet1"/>
    </sheetNames>
    <definedNames>
      <definedName name="Data.Top.Left"/>
      <definedName name="DefaultCrv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Data"/>
      <sheetName val="Sheet1"/>
      <sheetName val="Swap1"/>
      <sheetName val="Swap2"/>
      <sheetName val="Exchange"/>
      <sheetName val="Agencies"/>
      <sheetName val="Multi"/>
      <sheetName val="Curve"/>
      <sheetName val="SwapBoxes"/>
      <sheetName val="SwapHedge"/>
      <sheetName val="Simple"/>
      <sheetName val="Regress"/>
      <sheetName val="CvxImport"/>
      <sheetName val="Close"/>
      <sheetName val="Cac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Request Form - Co-op Sale"/>
      <sheetName val="Check Request Form"/>
      <sheetName val="Chart of Accounts"/>
      <sheetName val="Entity List"/>
      <sheetName val="Herb's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NT CHART"/>
      <sheetName val="MARKET VALUE"/>
      <sheetName val="Sheet2"/>
    </sheetNames>
    <sheetDataSet>
      <sheetData sheetId="0">
        <row r="7">
          <cell r="AB7" t="str">
            <v xml:space="preserve"> </v>
          </cell>
          <cell r="AC7" t="str">
            <v xml:space="preserve"> </v>
          </cell>
          <cell r="AD7" t="str">
            <v xml:space="preserve"> </v>
          </cell>
        </row>
        <row r="8">
          <cell r="AB8" t="str">
            <v xml:space="preserve"> </v>
          </cell>
          <cell r="AC8" t="str">
            <v xml:space="preserve"> </v>
          </cell>
          <cell r="AD8" t="str">
            <v xml:space="preserve"> </v>
          </cell>
        </row>
        <row r="9">
          <cell r="AB9" t="str">
            <v xml:space="preserve"> </v>
          </cell>
          <cell r="AC9" t="str">
            <v xml:space="preserve"> </v>
          </cell>
          <cell r="AD9" t="str">
            <v xml:space="preserve"> </v>
          </cell>
        </row>
        <row r="10">
          <cell r="AB10" t="str">
            <v xml:space="preserve"> </v>
          </cell>
          <cell r="AC10" t="str">
            <v xml:space="preserve"> </v>
          </cell>
          <cell r="AD10" t="str">
            <v xml:space="preserve"> </v>
          </cell>
        </row>
        <row r="11">
          <cell r="AB11" t="str">
            <v xml:space="preserve"> </v>
          </cell>
          <cell r="AC11" t="str">
            <v xml:space="preserve"> </v>
          </cell>
          <cell r="AD11" t="str">
            <v xml:space="preserve"> </v>
          </cell>
        </row>
        <row r="12">
          <cell r="AB12" t="str">
            <v xml:space="preserve"> </v>
          </cell>
          <cell r="AC12" t="str">
            <v xml:space="preserve"> </v>
          </cell>
          <cell r="AD12" t="str">
            <v xml:space="preserve"> </v>
          </cell>
        </row>
        <row r="13">
          <cell r="AB13" t="str">
            <v xml:space="preserve"> </v>
          </cell>
          <cell r="AC13" t="str">
            <v xml:space="preserve"> </v>
          </cell>
          <cell r="AD13" t="str">
            <v xml:space="preserve"> </v>
          </cell>
        </row>
        <row r="14">
          <cell r="AB14" t="str">
            <v xml:space="preserve"> </v>
          </cell>
          <cell r="AC14" t="str">
            <v xml:space="preserve"> </v>
          </cell>
          <cell r="AD14" t="str">
            <v xml:space="preserve"> </v>
          </cell>
        </row>
        <row r="15">
          <cell r="AB15" t="str">
            <v xml:space="preserve"> </v>
          </cell>
          <cell r="AC15" t="str">
            <v xml:space="preserve"> </v>
          </cell>
          <cell r="AD15" t="str">
            <v xml:space="preserve"> </v>
          </cell>
        </row>
        <row r="16">
          <cell r="AB16" t="str">
            <v xml:space="preserve"> </v>
          </cell>
          <cell r="AC16" t="str">
            <v xml:space="preserve"> </v>
          </cell>
          <cell r="AD16" t="str">
            <v xml:space="preserve"> </v>
          </cell>
        </row>
        <row r="17">
          <cell r="AB17" t="str">
            <v xml:space="preserve"> </v>
          </cell>
          <cell r="AC17" t="str">
            <v xml:space="preserve"> </v>
          </cell>
          <cell r="AD17" t="str">
            <v xml:space="preserve"> </v>
          </cell>
        </row>
        <row r="18">
          <cell r="AB18" t="str">
            <v xml:space="preserve"> </v>
          </cell>
          <cell r="AC18" t="str">
            <v xml:space="preserve"> </v>
          </cell>
          <cell r="AD18" t="str">
            <v xml:space="preserve"> </v>
          </cell>
        </row>
        <row r="19">
          <cell r="AB19" t="str">
            <v xml:space="preserve"> </v>
          </cell>
          <cell r="AC19" t="str">
            <v xml:space="preserve"> </v>
          </cell>
          <cell r="AD19" t="str">
            <v xml:space="preserve"> </v>
          </cell>
        </row>
        <row r="20">
          <cell r="AB20" t="str">
            <v xml:space="preserve"> </v>
          </cell>
          <cell r="AC20" t="str">
            <v xml:space="preserve"> </v>
          </cell>
          <cell r="AD20" t="str">
            <v xml:space="preserve"> </v>
          </cell>
        </row>
        <row r="21">
          <cell r="AB21" t="str">
            <v xml:space="preserve"> </v>
          </cell>
          <cell r="AC21" t="str">
            <v xml:space="preserve"> </v>
          </cell>
          <cell r="AD21" t="str">
            <v xml:space="preserve"> </v>
          </cell>
        </row>
        <row r="22">
          <cell r="AB22" t="str">
            <v xml:space="preserve"> </v>
          </cell>
          <cell r="AC22" t="str">
            <v xml:space="preserve"> </v>
          </cell>
          <cell r="AD22" t="str">
            <v xml:space="preserve"> </v>
          </cell>
        </row>
        <row r="23">
          <cell r="AB23" t="str">
            <v>PFV</v>
          </cell>
          <cell r="AC23" t="str">
            <v xml:space="preserve"> </v>
          </cell>
          <cell r="AD23" t="str">
            <v xml:space="preserve"> </v>
          </cell>
        </row>
        <row r="24">
          <cell r="AB24" t="str">
            <v xml:space="preserve"> </v>
          </cell>
          <cell r="AC24" t="str">
            <v xml:space="preserve"> </v>
          </cell>
          <cell r="AD24" t="str">
            <v xml:space="preserve"> </v>
          </cell>
        </row>
        <row r="25">
          <cell r="AB25" t="str">
            <v xml:space="preserve"> </v>
          </cell>
          <cell r="AC25" t="str">
            <v xml:space="preserve"> </v>
          </cell>
          <cell r="AD25" t="str">
            <v xml:space="preserve"> </v>
          </cell>
        </row>
        <row r="26">
          <cell r="AB26" t="str">
            <v xml:space="preserve"> </v>
          </cell>
          <cell r="AC26" t="str">
            <v xml:space="preserve"> </v>
          </cell>
          <cell r="AD26" t="str">
            <v xml:space="preserve"> </v>
          </cell>
        </row>
        <row r="27">
          <cell r="AB27" t="str">
            <v xml:space="preserve"> </v>
          </cell>
          <cell r="AC27" t="str">
            <v xml:space="preserve"> </v>
          </cell>
          <cell r="AD27" t="str">
            <v xml:space="preserve"> </v>
          </cell>
        </row>
        <row r="28">
          <cell r="AB28" t="str">
            <v xml:space="preserve"> </v>
          </cell>
          <cell r="AC28" t="str">
            <v xml:space="preserve"> </v>
          </cell>
          <cell r="AD28" t="str">
            <v xml:space="preserve"> </v>
          </cell>
        </row>
        <row r="29">
          <cell r="AB29" t="str">
            <v xml:space="preserve"> </v>
          </cell>
          <cell r="AC29" t="str">
            <v xml:space="preserve"> </v>
          </cell>
          <cell r="AD29" t="str">
            <v xml:space="preserve"> </v>
          </cell>
        </row>
        <row r="30">
          <cell r="AB30" t="str">
            <v xml:space="preserve"> </v>
          </cell>
          <cell r="AC30" t="str">
            <v xml:space="preserve"> </v>
          </cell>
          <cell r="AD30" t="str">
            <v xml:space="preserve"> </v>
          </cell>
        </row>
        <row r="31">
          <cell r="AB31" t="str">
            <v xml:space="preserve"> </v>
          </cell>
          <cell r="AC31" t="str">
            <v xml:space="preserve"> </v>
          </cell>
          <cell r="AD31" t="str">
            <v xml:space="preserve"> </v>
          </cell>
        </row>
        <row r="32">
          <cell r="AB32" t="str">
            <v xml:space="preserve"> </v>
          </cell>
          <cell r="AC32" t="str">
            <v xml:space="preserve"> </v>
          </cell>
          <cell r="AD32" t="str">
            <v xml:space="preserve"> </v>
          </cell>
        </row>
        <row r="33">
          <cell r="AB33" t="str">
            <v xml:space="preserve"> </v>
          </cell>
          <cell r="AC33" t="str">
            <v xml:space="preserve"> </v>
          </cell>
          <cell r="AD33" t="str">
            <v xml:space="preserve"> </v>
          </cell>
        </row>
        <row r="34">
          <cell r="AB34" t="str">
            <v xml:space="preserve"> </v>
          </cell>
          <cell r="AC34" t="str">
            <v xml:space="preserve"> </v>
          </cell>
          <cell r="AD34" t="str">
            <v xml:space="preserve"> </v>
          </cell>
        </row>
        <row r="35">
          <cell r="AB35" t="str">
            <v xml:space="preserve"> </v>
          </cell>
          <cell r="AC35" t="str">
            <v xml:space="preserve"> </v>
          </cell>
          <cell r="AD35" t="str">
            <v xml:space="preserve"> </v>
          </cell>
        </row>
        <row r="36">
          <cell r="AB36" t="str">
            <v xml:space="preserve"> </v>
          </cell>
          <cell r="AC36" t="str">
            <v xml:space="preserve"> </v>
          </cell>
          <cell r="AD36" t="str">
            <v xml:space="preserve"> </v>
          </cell>
        </row>
        <row r="37">
          <cell r="AB37" t="str">
            <v xml:space="preserve"> </v>
          </cell>
          <cell r="AC37" t="str">
            <v xml:space="preserve"> </v>
          </cell>
          <cell r="AD37" t="str">
            <v xml:space="preserve"> </v>
          </cell>
        </row>
        <row r="38">
          <cell r="AB38" t="str">
            <v xml:space="preserve"> </v>
          </cell>
          <cell r="AC38" t="str">
            <v xml:space="preserve"> </v>
          </cell>
          <cell r="AD38" t="str">
            <v xml:space="preserve"> </v>
          </cell>
        </row>
        <row r="39">
          <cell r="AB39" t="str">
            <v xml:space="preserve"> </v>
          </cell>
          <cell r="AC39" t="str">
            <v xml:space="preserve"> </v>
          </cell>
          <cell r="AD39" t="str">
            <v xml:space="preserve"> </v>
          </cell>
        </row>
        <row r="40">
          <cell r="AB40" t="str">
            <v xml:space="preserve"> </v>
          </cell>
          <cell r="AC40" t="str">
            <v xml:space="preserve"> </v>
          </cell>
          <cell r="AD40" t="str">
            <v xml:space="preserve"> </v>
          </cell>
        </row>
        <row r="41">
          <cell r="AB41" t="str">
            <v xml:space="preserve"> </v>
          </cell>
          <cell r="AC41" t="str">
            <v xml:space="preserve"> </v>
          </cell>
          <cell r="AD41" t="str">
            <v xml:space="preserve"> </v>
          </cell>
        </row>
        <row r="42">
          <cell r="AB42" t="str">
            <v xml:space="preserve"> </v>
          </cell>
          <cell r="AC42" t="str">
            <v xml:space="preserve"> </v>
          </cell>
          <cell r="AD42" t="str">
            <v xml:space="preserve"> </v>
          </cell>
        </row>
        <row r="43">
          <cell r="AB43" t="str">
            <v xml:space="preserve"> </v>
          </cell>
          <cell r="AC43" t="str">
            <v xml:space="preserve"> </v>
          </cell>
          <cell r="AD43" t="str">
            <v xml:space="preserve"> </v>
          </cell>
        </row>
        <row r="44">
          <cell r="AB44" t="str">
            <v xml:space="preserve"> </v>
          </cell>
          <cell r="AC44" t="str">
            <v xml:space="preserve"> </v>
          </cell>
          <cell r="AD44" t="str">
            <v xml:space="preserve"> </v>
          </cell>
        </row>
        <row r="45">
          <cell r="AB45" t="str">
            <v xml:space="preserve"> </v>
          </cell>
          <cell r="AC45" t="str">
            <v xml:space="preserve"> </v>
          </cell>
          <cell r="AD45" t="str">
            <v xml:space="preserve"> </v>
          </cell>
        </row>
        <row r="46">
          <cell r="AB46" t="str">
            <v xml:space="preserve"> </v>
          </cell>
          <cell r="AC46" t="str">
            <v xml:space="preserve"> </v>
          </cell>
          <cell r="AD46" t="str">
            <v xml:space="preserve"> </v>
          </cell>
        </row>
        <row r="47">
          <cell r="AB47" t="str">
            <v xml:space="preserve"> </v>
          </cell>
          <cell r="AC47" t="str">
            <v xml:space="preserve"> </v>
          </cell>
          <cell r="AD47" t="str">
            <v xml:space="preserve"> </v>
          </cell>
        </row>
        <row r="48">
          <cell r="AB48" t="str">
            <v xml:space="preserve"> </v>
          </cell>
          <cell r="AC48" t="str">
            <v xml:space="preserve"> </v>
          </cell>
          <cell r="AD48" t="str">
            <v xml:space="preserve"> </v>
          </cell>
        </row>
        <row r="49">
          <cell r="AB49" t="str">
            <v xml:space="preserve"> </v>
          </cell>
          <cell r="AC49" t="str">
            <v xml:space="preserve"> </v>
          </cell>
          <cell r="AD49" t="str">
            <v xml:space="preserve"> </v>
          </cell>
        </row>
        <row r="50">
          <cell r="AB50" t="str">
            <v xml:space="preserve"> </v>
          </cell>
          <cell r="AC50" t="str">
            <v xml:space="preserve"> </v>
          </cell>
          <cell r="AD50" t="str">
            <v xml:space="preserve"> </v>
          </cell>
        </row>
        <row r="51"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</row>
        <row r="52">
          <cell r="AB52" t="str">
            <v xml:space="preserve"> </v>
          </cell>
          <cell r="AC52" t="str">
            <v xml:space="preserve"> </v>
          </cell>
          <cell r="AD52" t="str">
            <v xml:space="preserve"> </v>
          </cell>
        </row>
        <row r="53"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</row>
        <row r="54">
          <cell r="AB54" t="str">
            <v xml:space="preserve"> </v>
          </cell>
          <cell r="AC54" t="str">
            <v xml:space="preserve"> </v>
          </cell>
          <cell r="AD54" t="str">
            <v xml:space="preserve"> </v>
          </cell>
        </row>
        <row r="55">
          <cell r="AB55" t="str">
            <v xml:space="preserve"> </v>
          </cell>
          <cell r="AC55" t="str">
            <v xml:space="preserve"> </v>
          </cell>
          <cell r="AD55" t="str">
            <v xml:space="preserve"> </v>
          </cell>
        </row>
        <row r="56">
          <cell r="AB56" t="str">
            <v xml:space="preserve"> </v>
          </cell>
          <cell r="AC56" t="str">
            <v xml:space="preserve"> </v>
          </cell>
          <cell r="AD56" t="str">
            <v xml:space="preserve"> </v>
          </cell>
        </row>
        <row r="57">
          <cell r="AB57" t="str">
            <v xml:space="preserve"> </v>
          </cell>
          <cell r="AC57" t="str">
            <v xml:space="preserve"> </v>
          </cell>
          <cell r="AD57" t="str">
            <v xml:space="preserve"> </v>
          </cell>
        </row>
        <row r="58">
          <cell r="AB58" t="str">
            <v xml:space="preserve"> </v>
          </cell>
          <cell r="AC58" t="str">
            <v xml:space="preserve"> </v>
          </cell>
          <cell r="AD58" t="str">
            <v xml:space="preserve"> </v>
          </cell>
        </row>
        <row r="59">
          <cell r="AB59" t="str">
            <v xml:space="preserve"> </v>
          </cell>
          <cell r="AC59" t="str">
            <v xml:space="preserve"> </v>
          </cell>
          <cell r="AD59" t="str">
            <v xml:space="preserve"> </v>
          </cell>
        </row>
        <row r="60">
          <cell r="AB60" t="str">
            <v xml:space="preserve"> </v>
          </cell>
          <cell r="AC60" t="str">
            <v xml:space="preserve"> </v>
          </cell>
          <cell r="AD60" t="str">
            <v xml:space="preserve"> </v>
          </cell>
        </row>
        <row r="61">
          <cell r="AB61" t="str">
            <v xml:space="preserve"> </v>
          </cell>
          <cell r="AC61" t="str">
            <v xml:space="preserve"> </v>
          </cell>
          <cell r="AD61" t="str">
            <v xml:space="preserve"> </v>
          </cell>
        </row>
        <row r="62">
          <cell r="AB62" t="str">
            <v xml:space="preserve"> </v>
          </cell>
          <cell r="AC62" t="str">
            <v xml:space="preserve"> </v>
          </cell>
          <cell r="AD62" t="str">
            <v xml:space="preserve"> </v>
          </cell>
        </row>
        <row r="63">
          <cell r="AB63" t="str">
            <v xml:space="preserve"> </v>
          </cell>
          <cell r="AC63" t="str">
            <v xml:space="preserve"> </v>
          </cell>
          <cell r="AD63" t="str">
            <v xml:space="preserve"> </v>
          </cell>
        </row>
        <row r="64">
          <cell r="AB64" t="str">
            <v xml:space="preserve"> </v>
          </cell>
          <cell r="AC64" t="str">
            <v xml:space="preserve"> </v>
          </cell>
          <cell r="AD64" t="str">
            <v xml:space="preserve"> </v>
          </cell>
        </row>
        <row r="65"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</row>
        <row r="66">
          <cell r="AB66" t="str">
            <v xml:space="preserve"> </v>
          </cell>
          <cell r="AC66" t="str">
            <v xml:space="preserve"> </v>
          </cell>
          <cell r="AD66" t="str">
            <v xml:space="preserve"> </v>
          </cell>
        </row>
        <row r="67">
          <cell r="AB67" t="str">
            <v xml:space="preserve"> </v>
          </cell>
          <cell r="AC67" t="str">
            <v xml:space="preserve"> </v>
          </cell>
          <cell r="AD67" t="str">
            <v xml:space="preserve"> </v>
          </cell>
        </row>
        <row r="68"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</row>
        <row r="69">
          <cell r="AB69" t="str">
            <v xml:space="preserve"> </v>
          </cell>
          <cell r="AC69" t="str">
            <v xml:space="preserve"> </v>
          </cell>
          <cell r="AD69" t="str">
            <v xml:space="preserve"> </v>
          </cell>
        </row>
        <row r="70">
          <cell r="AB70" t="str">
            <v xml:space="preserve"> </v>
          </cell>
          <cell r="AC70" t="str">
            <v xml:space="preserve"> </v>
          </cell>
          <cell r="AD70" t="str">
            <v xml:space="preserve"> </v>
          </cell>
        </row>
        <row r="71">
          <cell r="AB71" t="str">
            <v xml:space="preserve"> </v>
          </cell>
          <cell r="AC71" t="str">
            <v xml:space="preserve"> </v>
          </cell>
          <cell r="AD71" t="str">
            <v xml:space="preserve"> </v>
          </cell>
        </row>
        <row r="72">
          <cell r="AB72" t="str">
            <v xml:space="preserve"> </v>
          </cell>
          <cell r="AC72" t="str">
            <v xml:space="preserve"> </v>
          </cell>
          <cell r="AD72" t="str">
            <v xml:space="preserve"> </v>
          </cell>
        </row>
        <row r="73"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</row>
        <row r="74">
          <cell r="AB74" t="str">
            <v xml:space="preserve"> </v>
          </cell>
          <cell r="AC74" t="str">
            <v xml:space="preserve"> </v>
          </cell>
          <cell r="AD74" t="str">
            <v xml:space="preserve"> </v>
          </cell>
        </row>
        <row r="75">
          <cell r="AB75" t="str">
            <v xml:space="preserve"> </v>
          </cell>
          <cell r="AC75" t="str">
            <v xml:space="preserve"> </v>
          </cell>
          <cell r="AD75" t="str">
            <v xml:space="preserve"> </v>
          </cell>
        </row>
        <row r="76">
          <cell r="AB76" t="str">
            <v xml:space="preserve"> </v>
          </cell>
          <cell r="AC76" t="str">
            <v xml:space="preserve"> </v>
          </cell>
          <cell r="AD76" t="str">
            <v xml:space="preserve"> </v>
          </cell>
        </row>
        <row r="77"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</row>
        <row r="78">
          <cell r="AB78" t="str">
            <v xml:space="preserve"> </v>
          </cell>
          <cell r="AC78" t="str">
            <v xml:space="preserve"> </v>
          </cell>
          <cell r="AD78" t="str">
            <v xml:space="preserve"> </v>
          </cell>
        </row>
        <row r="79"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</row>
        <row r="80">
          <cell r="AB80" t="str">
            <v xml:space="preserve"> </v>
          </cell>
          <cell r="AC80" t="str">
            <v xml:space="preserve"> </v>
          </cell>
          <cell r="AD80" t="str">
            <v xml:space="preserve"> </v>
          </cell>
        </row>
        <row r="81">
          <cell r="AB81" t="str">
            <v xml:space="preserve"> </v>
          </cell>
          <cell r="AC81" t="str">
            <v xml:space="preserve"> </v>
          </cell>
          <cell r="AD81" t="str">
            <v xml:space="preserve"> </v>
          </cell>
        </row>
        <row r="82">
          <cell r="AB82" t="str">
            <v xml:space="preserve"> </v>
          </cell>
          <cell r="AC82" t="str">
            <v xml:space="preserve"> </v>
          </cell>
          <cell r="AD82" t="str">
            <v xml:space="preserve"> </v>
          </cell>
        </row>
        <row r="83">
          <cell r="AB83" t="str">
            <v xml:space="preserve"> </v>
          </cell>
          <cell r="AC83" t="str">
            <v xml:space="preserve"> </v>
          </cell>
          <cell r="AD83" t="str">
            <v xml:space="preserve"> </v>
          </cell>
        </row>
        <row r="84">
          <cell r="AB84" t="str">
            <v xml:space="preserve"> </v>
          </cell>
          <cell r="AC84" t="str">
            <v xml:space="preserve"> </v>
          </cell>
          <cell r="AD84" t="str">
            <v xml:space="preserve"> </v>
          </cell>
        </row>
        <row r="85">
          <cell r="AB85" t="str">
            <v xml:space="preserve"> </v>
          </cell>
          <cell r="AC85" t="str">
            <v xml:space="preserve"> </v>
          </cell>
          <cell r="AD85" t="str">
            <v xml:space="preserve"> </v>
          </cell>
        </row>
        <row r="86">
          <cell r="AB86" t="str">
            <v xml:space="preserve"> </v>
          </cell>
          <cell r="AC86" t="str">
            <v xml:space="preserve"> </v>
          </cell>
          <cell r="AD86" t="str">
            <v xml:space="preserve"> </v>
          </cell>
        </row>
        <row r="87">
          <cell r="AB87" t="str">
            <v xml:space="preserve"> </v>
          </cell>
          <cell r="AC87" t="str">
            <v xml:space="preserve"> </v>
          </cell>
          <cell r="AD87" t="str">
            <v xml:space="preserve"> </v>
          </cell>
        </row>
        <row r="88">
          <cell r="AB88" t="str">
            <v xml:space="preserve"> </v>
          </cell>
          <cell r="AC88" t="str">
            <v xml:space="preserve"> </v>
          </cell>
          <cell r="AD88" t="str">
            <v xml:space="preserve"> </v>
          </cell>
        </row>
        <row r="89">
          <cell r="AB89" t="str">
            <v>PFV</v>
          </cell>
          <cell r="AC89" t="str">
            <v xml:space="preserve"> </v>
          </cell>
          <cell r="AD89" t="str">
            <v xml:space="preserve"> </v>
          </cell>
        </row>
        <row r="90"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</row>
        <row r="91">
          <cell r="AB91" t="str">
            <v xml:space="preserve"> </v>
          </cell>
          <cell r="AC91" t="str">
            <v xml:space="preserve"> </v>
          </cell>
          <cell r="AD91" t="str">
            <v xml:space="preserve"> </v>
          </cell>
        </row>
        <row r="92">
          <cell r="AB92" t="str">
            <v xml:space="preserve"> </v>
          </cell>
          <cell r="AC92" t="str">
            <v xml:space="preserve"> </v>
          </cell>
          <cell r="AD92" t="str">
            <v xml:space="preserve"> </v>
          </cell>
        </row>
        <row r="93">
          <cell r="AB93" t="str">
            <v xml:space="preserve"> </v>
          </cell>
          <cell r="AC93" t="str">
            <v xml:space="preserve"> </v>
          </cell>
          <cell r="AD93" t="str">
            <v xml:space="preserve"> </v>
          </cell>
        </row>
        <row r="94">
          <cell r="AB94" t="str">
            <v xml:space="preserve"> </v>
          </cell>
          <cell r="AC94" t="str">
            <v xml:space="preserve"> </v>
          </cell>
          <cell r="AD94" t="str">
            <v xml:space="preserve"> </v>
          </cell>
        </row>
        <row r="95">
          <cell r="AB95" t="str">
            <v xml:space="preserve"> </v>
          </cell>
          <cell r="AC95" t="str">
            <v xml:space="preserve"> </v>
          </cell>
          <cell r="AD95" t="str">
            <v xml:space="preserve"> </v>
          </cell>
        </row>
        <row r="96">
          <cell r="AB96" t="str">
            <v xml:space="preserve"> </v>
          </cell>
          <cell r="AC96" t="str">
            <v xml:space="preserve"> </v>
          </cell>
          <cell r="AD96" t="str">
            <v xml:space="preserve"> </v>
          </cell>
        </row>
        <row r="97">
          <cell r="AB97" t="str">
            <v xml:space="preserve"> </v>
          </cell>
          <cell r="AC97" t="str">
            <v xml:space="preserve"> </v>
          </cell>
          <cell r="AD97" t="str">
            <v xml:space="preserve"> </v>
          </cell>
        </row>
        <row r="98">
          <cell r="AB98" t="str">
            <v xml:space="preserve"> </v>
          </cell>
          <cell r="AC98" t="str">
            <v xml:space="preserve"> </v>
          </cell>
          <cell r="AD98" t="str">
            <v xml:space="preserve"> </v>
          </cell>
        </row>
        <row r="99">
          <cell r="AB99" t="str">
            <v xml:space="preserve"> </v>
          </cell>
          <cell r="AC99" t="str">
            <v xml:space="preserve"> </v>
          </cell>
          <cell r="AD99" t="str">
            <v xml:space="preserve"> </v>
          </cell>
        </row>
        <row r="100">
          <cell r="AB100" t="str">
            <v xml:space="preserve"> </v>
          </cell>
          <cell r="AC100" t="str">
            <v xml:space="preserve"> </v>
          </cell>
          <cell r="AD100" t="str">
            <v xml:space="preserve"> </v>
          </cell>
        </row>
        <row r="101">
          <cell r="AB101" t="str">
            <v xml:space="preserve"> </v>
          </cell>
          <cell r="AC101" t="str">
            <v xml:space="preserve"> </v>
          </cell>
          <cell r="AD101" t="str">
            <v xml:space="preserve"> </v>
          </cell>
        </row>
        <row r="102">
          <cell r="AB102" t="str">
            <v xml:space="preserve"> </v>
          </cell>
          <cell r="AC102" t="str">
            <v xml:space="preserve"> </v>
          </cell>
          <cell r="AD102" t="str">
            <v xml:space="preserve"> </v>
          </cell>
        </row>
        <row r="103">
          <cell r="AB103" t="str">
            <v xml:space="preserve"> </v>
          </cell>
          <cell r="AC103" t="str">
            <v xml:space="preserve"> </v>
          </cell>
          <cell r="AD103" t="str">
            <v xml:space="preserve"> </v>
          </cell>
        </row>
        <row r="104">
          <cell r="AB104" t="str">
            <v xml:space="preserve"> </v>
          </cell>
          <cell r="AC104" t="str">
            <v xml:space="preserve"> </v>
          </cell>
          <cell r="AD104" t="str">
            <v xml:space="preserve"> </v>
          </cell>
        </row>
        <row r="105">
          <cell r="AB105" t="str">
            <v xml:space="preserve"> </v>
          </cell>
          <cell r="AC105" t="str">
            <v xml:space="preserve"> </v>
          </cell>
          <cell r="AD105" t="str">
            <v xml:space="preserve"> </v>
          </cell>
        </row>
        <row r="106">
          <cell r="AB106" t="str">
            <v xml:space="preserve"> </v>
          </cell>
          <cell r="AC106" t="str">
            <v xml:space="preserve"> </v>
          </cell>
          <cell r="AD106" t="str">
            <v xml:space="preserve"> </v>
          </cell>
        </row>
        <row r="107">
          <cell r="AB107" t="str">
            <v xml:space="preserve"> </v>
          </cell>
          <cell r="AC107" t="str">
            <v xml:space="preserve"> </v>
          </cell>
          <cell r="AD107" t="str">
            <v xml:space="preserve"> </v>
          </cell>
        </row>
        <row r="108">
          <cell r="AB108" t="str">
            <v xml:space="preserve"> </v>
          </cell>
          <cell r="AC108" t="str">
            <v xml:space="preserve"> </v>
          </cell>
          <cell r="AD108" t="str">
            <v xml:space="preserve"> </v>
          </cell>
        </row>
        <row r="109">
          <cell r="AB109" t="str">
            <v xml:space="preserve"> </v>
          </cell>
          <cell r="AC109" t="str">
            <v xml:space="preserve"> </v>
          </cell>
          <cell r="AD109" t="str">
            <v xml:space="preserve"> </v>
          </cell>
        </row>
        <row r="110">
          <cell r="AB110" t="str">
            <v xml:space="preserve"> </v>
          </cell>
          <cell r="AC110" t="str">
            <v xml:space="preserve"> </v>
          </cell>
          <cell r="AD110" t="str">
            <v xml:space="preserve"> </v>
          </cell>
        </row>
        <row r="111">
          <cell r="AB111" t="str">
            <v xml:space="preserve"> </v>
          </cell>
          <cell r="AC111" t="str">
            <v xml:space="preserve"> </v>
          </cell>
          <cell r="AD111" t="str">
            <v xml:space="preserve"> </v>
          </cell>
        </row>
        <row r="112">
          <cell r="AB112" t="str">
            <v xml:space="preserve"> </v>
          </cell>
          <cell r="AC112" t="str">
            <v xml:space="preserve"> </v>
          </cell>
          <cell r="AD112" t="str">
            <v xml:space="preserve"> </v>
          </cell>
        </row>
        <row r="113">
          <cell r="AB113" t="str">
            <v xml:space="preserve"> </v>
          </cell>
          <cell r="AC113" t="str">
            <v xml:space="preserve"> </v>
          </cell>
          <cell r="AD113" t="str">
            <v xml:space="preserve"> </v>
          </cell>
        </row>
        <row r="114">
          <cell r="AB114" t="str">
            <v xml:space="preserve"> </v>
          </cell>
          <cell r="AC114" t="str">
            <v xml:space="preserve"> </v>
          </cell>
          <cell r="AD114" t="str">
            <v xml:space="preserve"> </v>
          </cell>
        </row>
        <row r="115">
          <cell r="AB115" t="str">
            <v xml:space="preserve"> </v>
          </cell>
          <cell r="AC115" t="str">
            <v xml:space="preserve"> </v>
          </cell>
          <cell r="AD115" t="str">
            <v xml:space="preserve"> </v>
          </cell>
        </row>
        <row r="116">
          <cell r="AB116" t="str">
            <v xml:space="preserve"> </v>
          </cell>
          <cell r="AC116" t="str">
            <v xml:space="preserve"> </v>
          </cell>
          <cell r="AD116" t="str">
            <v xml:space="preserve"> </v>
          </cell>
        </row>
        <row r="117">
          <cell r="AB117" t="str">
            <v xml:space="preserve"> </v>
          </cell>
          <cell r="AC117" t="str">
            <v xml:space="preserve"> </v>
          </cell>
          <cell r="AD117" t="str">
            <v xml:space="preserve"> </v>
          </cell>
        </row>
        <row r="118">
          <cell r="AB118" t="str">
            <v xml:space="preserve"> </v>
          </cell>
          <cell r="AC118" t="str">
            <v xml:space="preserve"> </v>
          </cell>
          <cell r="AD118" t="str">
            <v xml:space="preserve"> </v>
          </cell>
        </row>
        <row r="119">
          <cell r="AB119" t="str">
            <v xml:space="preserve"> </v>
          </cell>
          <cell r="AC119" t="str">
            <v xml:space="preserve"> </v>
          </cell>
          <cell r="AD119" t="str">
            <v xml:space="preserve"> </v>
          </cell>
        </row>
        <row r="120">
          <cell r="AB120" t="str">
            <v xml:space="preserve"> </v>
          </cell>
          <cell r="AC120" t="str">
            <v xml:space="preserve"> </v>
          </cell>
          <cell r="AD120" t="str">
            <v xml:space="preserve"> </v>
          </cell>
        </row>
        <row r="121"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</row>
        <row r="122">
          <cell r="AB122" t="str">
            <v xml:space="preserve"> </v>
          </cell>
          <cell r="AC122" t="str">
            <v xml:space="preserve"> </v>
          </cell>
          <cell r="AD122" t="str">
            <v xml:space="preserve"> </v>
          </cell>
        </row>
        <row r="123">
          <cell r="AB123" t="str">
            <v xml:space="preserve"> </v>
          </cell>
          <cell r="AC123" t="str">
            <v xml:space="preserve"> </v>
          </cell>
          <cell r="AD123" t="str">
            <v xml:space="preserve"> </v>
          </cell>
        </row>
        <row r="124">
          <cell r="AB124" t="str">
            <v xml:space="preserve"> </v>
          </cell>
          <cell r="AC124" t="str">
            <v xml:space="preserve"> </v>
          </cell>
          <cell r="AD124" t="str">
            <v xml:space="preserve"> </v>
          </cell>
        </row>
        <row r="125">
          <cell r="AB125" t="str">
            <v xml:space="preserve"> </v>
          </cell>
          <cell r="AC125" t="str">
            <v xml:space="preserve"> </v>
          </cell>
          <cell r="AD125" t="str">
            <v xml:space="preserve"> </v>
          </cell>
        </row>
        <row r="126">
          <cell r="AB126" t="str">
            <v xml:space="preserve"> </v>
          </cell>
          <cell r="AC126" t="str">
            <v xml:space="preserve"> </v>
          </cell>
          <cell r="AD126" t="str">
            <v xml:space="preserve"> </v>
          </cell>
        </row>
        <row r="127">
          <cell r="AB127" t="str">
            <v xml:space="preserve"> </v>
          </cell>
          <cell r="AC127" t="str">
            <v xml:space="preserve"> </v>
          </cell>
          <cell r="AD127" t="str">
            <v xml:space="preserve"> </v>
          </cell>
        </row>
        <row r="128">
          <cell r="AB128" t="str">
            <v xml:space="preserve"> </v>
          </cell>
          <cell r="AC128" t="str">
            <v xml:space="preserve"> </v>
          </cell>
          <cell r="AD128" t="str">
            <v xml:space="preserve"> </v>
          </cell>
        </row>
        <row r="129">
          <cell r="AB129" t="str">
            <v xml:space="preserve"> </v>
          </cell>
          <cell r="AC129" t="str">
            <v xml:space="preserve"> </v>
          </cell>
          <cell r="AD129" t="str">
            <v xml:space="preserve"> </v>
          </cell>
        </row>
        <row r="130"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</row>
        <row r="131">
          <cell r="AB131" t="str">
            <v xml:space="preserve"> </v>
          </cell>
          <cell r="AC131" t="str">
            <v xml:space="preserve"> </v>
          </cell>
          <cell r="AD131" t="str">
            <v xml:space="preserve"> </v>
          </cell>
        </row>
        <row r="132">
          <cell r="AB132" t="str">
            <v xml:space="preserve"> </v>
          </cell>
          <cell r="AC132" t="str">
            <v xml:space="preserve"> </v>
          </cell>
          <cell r="AD132" t="str">
            <v xml:space="preserve"> </v>
          </cell>
        </row>
        <row r="133">
          <cell r="AB133" t="str">
            <v xml:space="preserve"> </v>
          </cell>
          <cell r="AC133" t="str">
            <v xml:space="preserve"> </v>
          </cell>
          <cell r="AD133" t="str">
            <v xml:space="preserve"> </v>
          </cell>
        </row>
        <row r="134">
          <cell r="AB134" t="str">
            <v xml:space="preserve"> </v>
          </cell>
          <cell r="AC134" t="str">
            <v xml:space="preserve"> </v>
          </cell>
          <cell r="AD134" t="str">
            <v xml:space="preserve"> </v>
          </cell>
        </row>
        <row r="135">
          <cell r="AB135" t="str">
            <v xml:space="preserve"> </v>
          </cell>
          <cell r="AC135" t="str">
            <v xml:space="preserve"> </v>
          </cell>
          <cell r="AD135" t="str">
            <v xml:space="preserve"> </v>
          </cell>
        </row>
        <row r="136">
          <cell r="AB136" t="str">
            <v xml:space="preserve"> </v>
          </cell>
          <cell r="AC136" t="str">
            <v xml:space="preserve"> </v>
          </cell>
          <cell r="AD136" t="str">
            <v xml:space="preserve"> </v>
          </cell>
        </row>
        <row r="137">
          <cell r="AB137" t="str">
            <v xml:space="preserve"> </v>
          </cell>
          <cell r="AC137" t="str">
            <v xml:space="preserve"> </v>
          </cell>
          <cell r="AD137" t="str">
            <v xml:space="preserve"> </v>
          </cell>
        </row>
        <row r="138">
          <cell r="AB138" t="str">
            <v xml:space="preserve"> </v>
          </cell>
          <cell r="AC138" t="str">
            <v xml:space="preserve"> </v>
          </cell>
          <cell r="AD138" t="str">
            <v xml:space="preserve"> </v>
          </cell>
        </row>
        <row r="139">
          <cell r="AB139" t="str">
            <v xml:space="preserve"> </v>
          </cell>
          <cell r="AC139" t="str">
            <v xml:space="preserve"> </v>
          </cell>
          <cell r="AD139" t="str">
            <v xml:space="preserve"> </v>
          </cell>
        </row>
        <row r="140">
          <cell r="AB140" t="str">
            <v xml:space="preserve"> </v>
          </cell>
          <cell r="AC140" t="str">
            <v xml:space="preserve"> </v>
          </cell>
          <cell r="AD140" t="str">
            <v xml:space="preserve"> </v>
          </cell>
        </row>
        <row r="141">
          <cell r="AB141" t="str">
            <v>PFV</v>
          </cell>
          <cell r="AC141" t="str">
            <v xml:space="preserve"> </v>
          </cell>
          <cell r="AD141" t="str">
            <v xml:space="preserve"> </v>
          </cell>
        </row>
        <row r="142">
          <cell r="AB142" t="str">
            <v xml:space="preserve"> </v>
          </cell>
          <cell r="AC142" t="str">
            <v xml:space="preserve"> </v>
          </cell>
          <cell r="AD142" t="str">
            <v xml:space="preserve"> </v>
          </cell>
        </row>
        <row r="143">
          <cell r="AB143" t="str">
            <v xml:space="preserve"> </v>
          </cell>
          <cell r="AC143" t="str">
            <v xml:space="preserve"> </v>
          </cell>
          <cell r="AD143" t="str">
            <v xml:space="preserve"> </v>
          </cell>
        </row>
        <row r="144">
          <cell r="AB144" t="str">
            <v xml:space="preserve"> </v>
          </cell>
          <cell r="AC144" t="str">
            <v xml:space="preserve"> </v>
          </cell>
          <cell r="AD144" t="str">
            <v xml:space="preserve"> </v>
          </cell>
        </row>
        <row r="145">
          <cell r="AB145" t="str">
            <v xml:space="preserve"> </v>
          </cell>
          <cell r="AC145" t="str">
            <v xml:space="preserve"> </v>
          </cell>
          <cell r="AD145" t="str">
            <v xml:space="preserve"> </v>
          </cell>
        </row>
        <row r="146">
          <cell r="AB146" t="str">
            <v xml:space="preserve"> </v>
          </cell>
          <cell r="AC146" t="str">
            <v xml:space="preserve"> </v>
          </cell>
          <cell r="AD146" t="str">
            <v xml:space="preserve"> </v>
          </cell>
        </row>
        <row r="147">
          <cell r="AB147" t="str">
            <v xml:space="preserve"> </v>
          </cell>
          <cell r="AC147" t="str">
            <v xml:space="preserve"> </v>
          </cell>
          <cell r="AD147" t="str">
            <v xml:space="preserve"> </v>
          </cell>
        </row>
        <row r="148">
          <cell r="AB148" t="str">
            <v xml:space="preserve"> </v>
          </cell>
          <cell r="AC148" t="str">
            <v xml:space="preserve"> </v>
          </cell>
          <cell r="AD148" t="str">
            <v xml:space="preserve"> </v>
          </cell>
        </row>
        <row r="149">
          <cell r="AB149" t="str">
            <v xml:space="preserve"> </v>
          </cell>
          <cell r="AC149" t="str">
            <v xml:space="preserve"> </v>
          </cell>
          <cell r="AD149" t="str">
            <v xml:space="preserve"> </v>
          </cell>
        </row>
        <row r="150">
          <cell r="AB150" t="str">
            <v xml:space="preserve"> </v>
          </cell>
          <cell r="AC150" t="str">
            <v xml:space="preserve"> </v>
          </cell>
          <cell r="AD150" t="str">
            <v xml:space="preserve"> </v>
          </cell>
        </row>
        <row r="151">
          <cell r="AB151" t="str">
            <v xml:space="preserve"> </v>
          </cell>
          <cell r="AC151" t="str">
            <v xml:space="preserve"> </v>
          </cell>
          <cell r="AD151" t="str">
            <v xml:space="preserve"> </v>
          </cell>
        </row>
        <row r="152">
          <cell r="AB152" t="str">
            <v xml:space="preserve"> </v>
          </cell>
          <cell r="AC152" t="str">
            <v xml:space="preserve"> </v>
          </cell>
          <cell r="AD152" t="str">
            <v xml:space="preserve"> </v>
          </cell>
        </row>
        <row r="153">
          <cell r="AB153" t="str">
            <v xml:space="preserve"> </v>
          </cell>
          <cell r="AC153" t="str">
            <v xml:space="preserve"> </v>
          </cell>
          <cell r="AD153" t="str">
            <v xml:space="preserve"> </v>
          </cell>
        </row>
        <row r="154">
          <cell r="AB154" t="str">
            <v xml:space="preserve"> </v>
          </cell>
          <cell r="AC154" t="str">
            <v xml:space="preserve"> </v>
          </cell>
          <cell r="AD154" t="str">
            <v xml:space="preserve"> </v>
          </cell>
        </row>
        <row r="155">
          <cell r="AB155" t="str">
            <v xml:space="preserve"> </v>
          </cell>
          <cell r="AC155" t="str">
            <v xml:space="preserve"> </v>
          </cell>
          <cell r="AD155" t="str">
            <v xml:space="preserve"> </v>
          </cell>
        </row>
        <row r="156">
          <cell r="AB156" t="str">
            <v xml:space="preserve"> </v>
          </cell>
          <cell r="AC156" t="str">
            <v xml:space="preserve"> </v>
          </cell>
          <cell r="AD156" t="str">
            <v xml:space="preserve"> </v>
          </cell>
        </row>
        <row r="157">
          <cell r="AB157" t="str">
            <v xml:space="preserve"> </v>
          </cell>
          <cell r="AC157" t="str">
            <v xml:space="preserve"> </v>
          </cell>
          <cell r="AD157" t="str">
            <v xml:space="preserve"> </v>
          </cell>
        </row>
        <row r="158">
          <cell r="AB158" t="str">
            <v xml:space="preserve"> </v>
          </cell>
          <cell r="AC158" t="str">
            <v xml:space="preserve"> </v>
          </cell>
          <cell r="AD158" t="str">
            <v xml:space="preserve"> </v>
          </cell>
        </row>
        <row r="159">
          <cell r="AB159" t="str">
            <v xml:space="preserve"> </v>
          </cell>
          <cell r="AC159" t="str">
            <v xml:space="preserve"> </v>
          </cell>
          <cell r="AD159" t="str">
            <v xml:space="preserve"> </v>
          </cell>
        </row>
        <row r="160">
          <cell r="AB160" t="str">
            <v xml:space="preserve"> </v>
          </cell>
          <cell r="AC160" t="str">
            <v xml:space="preserve"> </v>
          </cell>
          <cell r="AD160" t="str">
            <v xml:space="preserve"> </v>
          </cell>
        </row>
        <row r="161">
          <cell r="AB161" t="str">
            <v xml:space="preserve"> </v>
          </cell>
          <cell r="AC161" t="str">
            <v xml:space="preserve"> </v>
          </cell>
          <cell r="AD161" t="str">
            <v xml:space="preserve"> </v>
          </cell>
        </row>
        <row r="162">
          <cell r="AB162" t="str">
            <v xml:space="preserve"> </v>
          </cell>
          <cell r="AC162" t="str">
            <v xml:space="preserve"> </v>
          </cell>
          <cell r="AD162" t="str">
            <v xml:space="preserve"> </v>
          </cell>
        </row>
        <row r="163">
          <cell r="AB163" t="str">
            <v xml:space="preserve"> </v>
          </cell>
          <cell r="AC163" t="str">
            <v xml:space="preserve"> </v>
          </cell>
          <cell r="AD163" t="str">
            <v xml:space="preserve"> </v>
          </cell>
        </row>
        <row r="164">
          <cell r="AB164" t="str">
            <v xml:space="preserve"> </v>
          </cell>
          <cell r="AC164" t="str">
            <v xml:space="preserve"> </v>
          </cell>
          <cell r="AD164" t="str">
            <v xml:space="preserve"> </v>
          </cell>
        </row>
        <row r="165">
          <cell r="AB165" t="str">
            <v xml:space="preserve"> </v>
          </cell>
          <cell r="AC165" t="str">
            <v xml:space="preserve"> </v>
          </cell>
          <cell r="AD165" t="str">
            <v xml:space="preserve"> </v>
          </cell>
        </row>
        <row r="166">
          <cell r="AB166" t="str">
            <v xml:space="preserve"> </v>
          </cell>
          <cell r="AC166" t="str">
            <v xml:space="preserve"> </v>
          </cell>
          <cell r="AD166" t="str">
            <v xml:space="preserve"> </v>
          </cell>
        </row>
        <row r="167">
          <cell r="AB167" t="str">
            <v xml:space="preserve"> </v>
          </cell>
          <cell r="AC167" t="str">
            <v xml:space="preserve"> </v>
          </cell>
          <cell r="AD167" t="str">
            <v xml:space="preserve"> </v>
          </cell>
        </row>
        <row r="168">
          <cell r="AB168" t="str">
            <v xml:space="preserve"> </v>
          </cell>
          <cell r="AC168" t="str">
            <v xml:space="preserve"> </v>
          </cell>
          <cell r="AD168" t="str">
            <v xml:space="preserve"> </v>
          </cell>
        </row>
        <row r="169">
          <cell r="AB169" t="str">
            <v xml:space="preserve"> </v>
          </cell>
          <cell r="AC169" t="str">
            <v xml:space="preserve"> </v>
          </cell>
          <cell r="AD169" t="str">
            <v xml:space="preserve"> </v>
          </cell>
        </row>
        <row r="170">
          <cell r="AB170" t="str">
            <v xml:space="preserve"> </v>
          </cell>
          <cell r="AC170" t="str">
            <v xml:space="preserve"> </v>
          </cell>
          <cell r="AD170" t="str">
            <v xml:space="preserve"> </v>
          </cell>
        </row>
        <row r="171">
          <cell r="AB171" t="str">
            <v xml:space="preserve"> </v>
          </cell>
          <cell r="AC171" t="str">
            <v xml:space="preserve"> </v>
          </cell>
          <cell r="AD171" t="str">
            <v xml:space="preserve"> </v>
          </cell>
        </row>
        <row r="172">
          <cell r="AB172" t="str">
            <v xml:space="preserve"> </v>
          </cell>
          <cell r="AC172" t="str">
            <v xml:space="preserve"> </v>
          </cell>
          <cell r="AD172" t="str">
            <v xml:space="preserve"> </v>
          </cell>
        </row>
        <row r="173">
          <cell r="AB173" t="str">
            <v xml:space="preserve"> </v>
          </cell>
          <cell r="AC173" t="str">
            <v xml:space="preserve"> </v>
          </cell>
          <cell r="AD173" t="str">
            <v xml:space="preserve"> </v>
          </cell>
        </row>
        <row r="174">
          <cell r="AB174" t="str">
            <v xml:space="preserve"> </v>
          </cell>
          <cell r="AC174" t="str">
            <v xml:space="preserve"> </v>
          </cell>
          <cell r="AD174" t="str">
            <v xml:space="preserve"> </v>
          </cell>
        </row>
        <row r="175">
          <cell r="AB175" t="str">
            <v xml:space="preserve"> </v>
          </cell>
          <cell r="AC175" t="str">
            <v xml:space="preserve"> </v>
          </cell>
          <cell r="AD175" t="str">
            <v xml:space="preserve"> </v>
          </cell>
        </row>
        <row r="176">
          <cell r="AB176" t="str">
            <v xml:space="preserve"> </v>
          </cell>
          <cell r="AC176" t="str">
            <v xml:space="preserve"> </v>
          </cell>
          <cell r="AD176" t="str">
            <v xml:space="preserve"> </v>
          </cell>
        </row>
        <row r="177">
          <cell r="AB177" t="str">
            <v xml:space="preserve"> </v>
          </cell>
          <cell r="AC177" t="str">
            <v xml:space="preserve"> </v>
          </cell>
          <cell r="AD177" t="str">
            <v xml:space="preserve"> </v>
          </cell>
        </row>
        <row r="178">
          <cell r="AB178" t="str">
            <v xml:space="preserve"> </v>
          </cell>
          <cell r="AC178" t="str">
            <v xml:space="preserve"> </v>
          </cell>
          <cell r="AD178" t="str">
            <v xml:space="preserve"> </v>
          </cell>
        </row>
        <row r="179">
          <cell r="AB179" t="str">
            <v xml:space="preserve"> </v>
          </cell>
          <cell r="AC179" t="str">
            <v xml:space="preserve"> </v>
          </cell>
          <cell r="AD179" t="str">
            <v xml:space="preserve"> </v>
          </cell>
        </row>
        <row r="180">
          <cell r="AB180" t="str">
            <v xml:space="preserve"> </v>
          </cell>
          <cell r="AC180" t="str">
            <v xml:space="preserve"> </v>
          </cell>
          <cell r="AD180" t="str">
            <v xml:space="preserve"> </v>
          </cell>
        </row>
        <row r="181">
          <cell r="AB181" t="str">
            <v xml:space="preserve"> </v>
          </cell>
          <cell r="AC181" t="str">
            <v xml:space="preserve"> </v>
          </cell>
          <cell r="AD181" t="str">
            <v xml:space="preserve"> </v>
          </cell>
        </row>
        <row r="182">
          <cell r="AB182" t="str">
            <v xml:space="preserve"> </v>
          </cell>
          <cell r="AC182" t="str">
            <v xml:space="preserve"> </v>
          </cell>
          <cell r="AD182" t="str">
            <v xml:space="preserve"> </v>
          </cell>
        </row>
        <row r="183">
          <cell r="AB183" t="str">
            <v xml:space="preserve"> </v>
          </cell>
          <cell r="AC183" t="str">
            <v xml:space="preserve"> </v>
          </cell>
          <cell r="AD183" t="str">
            <v xml:space="preserve"> </v>
          </cell>
        </row>
        <row r="184">
          <cell r="AB184" t="str">
            <v xml:space="preserve"> </v>
          </cell>
          <cell r="AC184" t="str">
            <v xml:space="preserve"> </v>
          </cell>
          <cell r="AD184" t="str">
            <v xml:space="preserve"> </v>
          </cell>
        </row>
        <row r="185">
          <cell r="AB185" t="str">
            <v xml:space="preserve"> </v>
          </cell>
          <cell r="AC185" t="str">
            <v xml:space="preserve"> </v>
          </cell>
          <cell r="AD185" t="str">
            <v xml:space="preserve"> </v>
          </cell>
        </row>
        <row r="186">
          <cell r="AB186" t="str">
            <v xml:space="preserve"> </v>
          </cell>
          <cell r="AC186" t="str">
            <v xml:space="preserve"> </v>
          </cell>
          <cell r="AD186" t="str">
            <v xml:space="preserve"> </v>
          </cell>
        </row>
        <row r="187">
          <cell r="AB187" t="str">
            <v xml:space="preserve"> </v>
          </cell>
          <cell r="AC187" t="str">
            <v xml:space="preserve"> </v>
          </cell>
          <cell r="AD187" t="str">
            <v xml:space="preserve"> </v>
          </cell>
        </row>
        <row r="188">
          <cell r="AB188" t="str">
            <v xml:space="preserve"> </v>
          </cell>
          <cell r="AC188" t="str">
            <v xml:space="preserve"> </v>
          </cell>
          <cell r="AD188" t="str">
            <v xml:space="preserve"> </v>
          </cell>
        </row>
        <row r="189">
          <cell r="AB189" t="str">
            <v xml:space="preserve"> </v>
          </cell>
          <cell r="AC189" t="str">
            <v>1 BED</v>
          </cell>
          <cell r="AD189">
            <v>1350</v>
          </cell>
        </row>
        <row r="190">
          <cell r="AB190" t="str">
            <v xml:space="preserve"> </v>
          </cell>
          <cell r="AC190" t="str">
            <v xml:space="preserve"> </v>
          </cell>
          <cell r="AD190" t="str">
            <v xml:space="preserve"> </v>
          </cell>
        </row>
        <row r="191">
          <cell r="AB191" t="str">
            <v xml:space="preserve"> </v>
          </cell>
          <cell r="AC191" t="str">
            <v xml:space="preserve"> </v>
          </cell>
          <cell r="AD191" t="str">
            <v xml:space="preserve"> </v>
          </cell>
        </row>
        <row r="192">
          <cell r="AB192" t="str">
            <v xml:space="preserve"> </v>
          </cell>
          <cell r="AC192" t="str">
            <v xml:space="preserve"> </v>
          </cell>
          <cell r="AD192" t="str">
            <v xml:space="preserve"> </v>
          </cell>
        </row>
        <row r="193">
          <cell r="AB193" t="str">
            <v xml:space="preserve"> </v>
          </cell>
          <cell r="AC193" t="str">
            <v xml:space="preserve"> </v>
          </cell>
          <cell r="AD193" t="str">
            <v xml:space="preserve"> </v>
          </cell>
        </row>
        <row r="194">
          <cell r="AB194" t="str">
            <v xml:space="preserve"> </v>
          </cell>
          <cell r="AC194" t="str">
            <v xml:space="preserve"> </v>
          </cell>
          <cell r="AD194" t="str">
            <v xml:space="preserve"> </v>
          </cell>
        </row>
        <row r="195">
          <cell r="AB195" t="str">
            <v xml:space="preserve"> </v>
          </cell>
          <cell r="AC195" t="str">
            <v xml:space="preserve"> </v>
          </cell>
          <cell r="AD195" t="str">
            <v xml:space="preserve"> </v>
          </cell>
        </row>
        <row r="196">
          <cell r="AB196" t="str">
            <v xml:space="preserve"> </v>
          </cell>
          <cell r="AC196" t="str">
            <v xml:space="preserve"> </v>
          </cell>
          <cell r="AD196" t="str">
            <v xml:space="preserve"> </v>
          </cell>
        </row>
        <row r="197">
          <cell r="AB197" t="str">
            <v xml:space="preserve"> </v>
          </cell>
          <cell r="AC197" t="str">
            <v xml:space="preserve"> </v>
          </cell>
          <cell r="AD197" t="str">
            <v xml:space="preserve"> </v>
          </cell>
        </row>
        <row r="198">
          <cell r="AB198" t="str">
            <v xml:space="preserve"> </v>
          </cell>
          <cell r="AC198" t="str">
            <v xml:space="preserve"> </v>
          </cell>
          <cell r="AD198" t="str">
            <v xml:space="preserve"> </v>
          </cell>
        </row>
        <row r="199">
          <cell r="AB199" t="str">
            <v xml:space="preserve"> </v>
          </cell>
          <cell r="AC199" t="str">
            <v xml:space="preserve"> </v>
          </cell>
          <cell r="AD199" t="str">
            <v xml:space="preserve"> </v>
          </cell>
        </row>
        <row r="200">
          <cell r="AB200" t="str">
            <v xml:space="preserve"> </v>
          </cell>
          <cell r="AC200" t="str">
            <v xml:space="preserve"> </v>
          </cell>
          <cell r="AD200" t="str">
            <v xml:space="preserve"> </v>
          </cell>
        </row>
        <row r="201">
          <cell r="AB201" t="str">
            <v xml:space="preserve"> </v>
          </cell>
          <cell r="AC201" t="str">
            <v xml:space="preserve"> </v>
          </cell>
          <cell r="AD201" t="str">
            <v xml:space="preserve"> </v>
          </cell>
        </row>
        <row r="202">
          <cell r="AB202" t="str">
            <v xml:space="preserve"> </v>
          </cell>
          <cell r="AC202" t="str">
            <v xml:space="preserve"> </v>
          </cell>
          <cell r="AD202" t="str">
            <v xml:space="preserve"> </v>
          </cell>
        </row>
        <row r="203">
          <cell r="AB203" t="str">
            <v xml:space="preserve"> </v>
          </cell>
          <cell r="AC203" t="str">
            <v xml:space="preserve"> </v>
          </cell>
          <cell r="AD203" t="str">
            <v xml:space="preserve"> </v>
          </cell>
        </row>
        <row r="204">
          <cell r="AB204" t="str">
            <v xml:space="preserve"> </v>
          </cell>
          <cell r="AC204" t="str">
            <v xml:space="preserve"> </v>
          </cell>
          <cell r="AD204" t="str">
            <v xml:space="preserve"> </v>
          </cell>
        </row>
        <row r="205">
          <cell r="AB205" t="str">
            <v xml:space="preserve"> </v>
          </cell>
          <cell r="AC205" t="str">
            <v xml:space="preserve"> </v>
          </cell>
          <cell r="AD205" t="str">
            <v xml:space="preserve"> </v>
          </cell>
        </row>
        <row r="206">
          <cell r="AB206" t="str">
            <v xml:space="preserve"> </v>
          </cell>
          <cell r="AC206" t="str">
            <v>1 BED</v>
          </cell>
          <cell r="AD206">
            <v>1100</v>
          </cell>
        </row>
        <row r="207">
          <cell r="AB207" t="str">
            <v xml:space="preserve"> </v>
          </cell>
          <cell r="AC207" t="str">
            <v xml:space="preserve"> </v>
          </cell>
          <cell r="AD207" t="str">
            <v xml:space="preserve"> </v>
          </cell>
        </row>
        <row r="208">
          <cell r="AB208" t="str">
            <v xml:space="preserve"> </v>
          </cell>
          <cell r="AC208" t="str">
            <v xml:space="preserve"> </v>
          </cell>
          <cell r="AD208" t="str">
            <v xml:space="preserve"> </v>
          </cell>
        </row>
        <row r="209">
          <cell r="AB209" t="str">
            <v xml:space="preserve"> </v>
          </cell>
          <cell r="AC209" t="str">
            <v xml:space="preserve"> </v>
          </cell>
          <cell r="AD209" t="str">
            <v xml:space="preserve"> </v>
          </cell>
        </row>
        <row r="210">
          <cell r="AB210" t="str">
            <v xml:space="preserve"> </v>
          </cell>
          <cell r="AC210" t="str">
            <v xml:space="preserve"> </v>
          </cell>
          <cell r="AD210" t="str">
            <v xml:space="preserve"> </v>
          </cell>
        </row>
        <row r="211">
          <cell r="AB211" t="str">
            <v xml:space="preserve"> </v>
          </cell>
          <cell r="AC211" t="str">
            <v xml:space="preserve"> </v>
          </cell>
          <cell r="AD211" t="str">
            <v xml:space="preserve"> </v>
          </cell>
        </row>
        <row r="212">
          <cell r="AB212" t="str">
            <v xml:space="preserve"> </v>
          </cell>
          <cell r="AC212" t="str">
            <v xml:space="preserve"> </v>
          </cell>
          <cell r="AD212" t="str">
            <v xml:space="preserve"> </v>
          </cell>
        </row>
        <row r="213">
          <cell r="AB213" t="str">
            <v xml:space="preserve"> </v>
          </cell>
          <cell r="AC213" t="str">
            <v xml:space="preserve"> </v>
          </cell>
          <cell r="AD213" t="str">
            <v xml:space="preserve"> </v>
          </cell>
        </row>
        <row r="214">
          <cell r="AB214" t="str">
            <v xml:space="preserve"> </v>
          </cell>
          <cell r="AC214" t="str">
            <v xml:space="preserve"> </v>
          </cell>
          <cell r="AD214" t="str">
            <v xml:space="preserve"> </v>
          </cell>
        </row>
        <row r="215">
          <cell r="AB215" t="str">
            <v xml:space="preserve"> </v>
          </cell>
          <cell r="AC215" t="str">
            <v xml:space="preserve"> </v>
          </cell>
          <cell r="AD215" t="str">
            <v xml:space="preserve"> </v>
          </cell>
        </row>
        <row r="216">
          <cell r="AB216" t="str">
            <v xml:space="preserve"> </v>
          </cell>
          <cell r="AC216" t="str">
            <v xml:space="preserve"> </v>
          </cell>
          <cell r="AD216" t="str">
            <v xml:space="preserve"> </v>
          </cell>
        </row>
        <row r="217">
          <cell r="AB217" t="str">
            <v xml:space="preserve"> </v>
          </cell>
          <cell r="AC217" t="str">
            <v xml:space="preserve"> </v>
          </cell>
          <cell r="AD217" t="str">
            <v xml:space="preserve"> </v>
          </cell>
        </row>
        <row r="218">
          <cell r="AB218" t="str">
            <v xml:space="preserve"> </v>
          </cell>
          <cell r="AC218" t="str">
            <v xml:space="preserve"> </v>
          </cell>
          <cell r="AD218" t="str">
            <v xml:space="preserve"> </v>
          </cell>
        </row>
        <row r="219">
          <cell r="AB219" t="str">
            <v xml:space="preserve"> </v>
          </cell>
          <cell r="AC219" t="str">
            <v xml:space="preserve"> </v>
          </cell>
          <cell r="AD219" t="str">
            <v xml:space="preserve"> </v>
          </cell>
        </row>
        <row r="220">
          <cell r="AB220" t="str">
            <v xml:space="preserve"> </v>
          </cell>
          <cell r="AC220" t="str">
            <v xml:space="preserve"> </v>
          </cell>
          <cell r="AD220" t="str">
            <v xml:space="preserve"> </v>
          </cell>
        </row>
        <row r="221">
          <cell r="AB221" t="str">
            <v xml:space="preserve"> </v>
          </cell>
          <cell r="AC221" t="str">
            <v xml:space="preserve"> </v>
          </cell>
          <cell r="AD221" t="str">
            <v xml:space="preserve"> </v>
          </cell>
        </row>
        <row r="222">
          <cell r="AB222" t="str">
            <v xml:space="preserve"> </v>
          </cell>
          <cell r="AC222" t="str">
            <v>1 BED</v>
          </cell>
          <cell r="AD222">
            <v>1200</v>
          </cell>
        </row>
        <row r="223">
          <cell r="AB223" t="str">
            <v xml:space="preserve"> </v>
          </cell>
          <cell r="AC223" t="str">
            <v xml:space="preserve"> </v>
          </cell>
          <cell r="AD223" t="str">
            <v xml:space="preserve"> </v>
          </cell>
        </row>
        <row r="224">
          <cell r="AB224" t="str">
            <v xml:space="preserve"> </v>
          </cell>
          <cell r="AC224" t="str">
            <v xml:space="preserve"> </v>
          </cell>
          <cell r="AD224" t="str">
            <v xml:space="preserve"> </v>
          </cell>
        </row>
        <row r="225">
          <cell r="AB225" t="str">
            <v xml:space="preserve"> </v>
          </cell>
          <cell r="AC225" t="str">
            <v xml:space="preserve"> </v>
          </cell>
          <cell r="AD225" t="str">
            <v xml:space="preserve"> </v>
          </cell>
        </row>
        <row r="226">
          <cell r="AB226" t="str">
            <v xml:space="preserve"> </v>
          </cell>
          <cell r="AC226" t="str">
            <v xml:space="preserve"> </v>
          </cell>
          <cell r="AD226" t="str">
            <v xml:space="preserve"> </v>
          </cell>
        </row>
        <row r="227">
          <cell r="AB227" t="str">
            <v xml:space="preserve"> </v>
          </cell>
          <cell r="AC227" t="str">
            <v xml:space="preserve"> </v>
          </cell>
          <cell r="AD227" t="str">
            <v xml:space="preserve"> </v>
          </cell>
        </row>
        <row r="228">
          <cell r="AB228" t="str">
            <v xml:space="preserve"> </v>
          </cell>
          <cell r="AC228" t="str">
            <v xml:space="preserve"> </v>
          </cell>
          <cell r="AD228" t="str">
            <v xml:space="preserve"> </v>
          </cell>
        </row>
        <row r="229">
          <cell r="AB229" t="str">
            <v>PFV</v>
          </cell>
          <cell r="AC229" t="str">
            <v xml:space="preserve"> </v>
          </cell>
          <cell r="AD229" t="str">
            <v xml:space="preserve"> </v>
          </cell>
        </row>
        <row r="230">
          <cell r="AB230" t="str">
            <v xml:space="preserve"> </v>
          </cell>
          <cell r="AC230" t="str">
            <v xml:space="preserve"> </v>
          </cell>
          <cell r="AD230" t="str">
            <v xml:space="preserve"> </v>
          </cell>
        </row>
        <row r="231">
          <cell r="AB231" t="str">
            <v xml:space="preserve"> </v>
          </cell>
          <cell r="AC231" t="str">
            <v xml:space="preserve"> </v>
          </cell>
          <cell r="AD231" t="str">
            <v xml:space="preserve"> </v>
          </cell>
        </row>
        <row r="232">
          <cell r="AB232" t="str">
            <v xml:space="preserve"> </v>
          </cell>
          <cell r="AC232" t="str">
            <v xml:space="preserve"> </v>
          </cell>
          <cell r="AD232" t="str">
            <v xml:space="preserve"> </v>
          </cell>
        </row>
        <row r="233">
          <cell r="AB233" t="str">
            <v xml:space="preserve"> </v>
          </cell>
          <cell r="AC233" t="str">
            <v xml:space="preserve"> </v>
          </cell>
          <cell r="AD233" t="str">
            <v xml:space="preserve"> </v>
          </cell>
        </row>
        <row r="234">
          <cell r="AB234" t="str">
            <v xml:space="preserve"> </v>
          </cell>
          <cell r="AC234" t="str">
            <v xml:space="preserve"> </v>
          </cell>
          <cell r="AD234" t="str">
            <v xml:space="preserve"> </v>
          </cell>
        </row>
        <row r="235">
          <cell r="AB235" t="str">
            <v>PFV</v>
          </cell>
          <cell r="AC235" t="str">
            <v xml:space="preserve"> </v>
          </cell>
          <cell r="AD235" t="str">
            <v xml:space="preserve"> </v>
          </cell>
        </row>
        <row r="236">
          <cell r="AB236" t="str">
            <v xml:space="preserve"> </v>
          </cell>
          <cell r="AC236" t="str">
            <v xml:space="preserve"> </v>
          </cell>
          <cell r="AD236" t="str">
            <v xml:space="preserve"> </v>
          </cell>
        </row>
        <row r="237">
          <cell r="AB237" t="str">
            <v xml:space="preserve"> </v>
          </cell>
          <cell r="AC237" t="str">
            <v xml:space="preserve"> </v>
          </cell>
          <cell r="AD237" t="str">
            <v xml:space="preserve"> </v>
          </cell>
        </row>
        <row r="238">
          <cell r="AB238" t="str">
            <v xml:space="preserve"> </v>
          </cell>
          <cell r="AC238" t="str">
            <v xml:space="preserve"> </v>
          </cell>
          <cell r="AD238" t="str">
            <v xml:space="preserve"> </v>
          </cell>
        </row>
        <row r="239">
          <cell r="AB239" t="str">
            <v xml:space="preserve"> </v>
          </cell>
          <cell r="AC239" t="str">
            <v xml:space="preserve"> </v>
          </cell>
          <cell r="AD239" t="str">
            <v xml:space="preserve"> </v>
          </cell>
        </row>
        <row r="240">
          <cell r="AB240" t="str">
            <v xml:space="preserve"> </v>
          </cell>
          <cell r="AC240" t="str">
            <v xml:space="preserve"> </v>
          </cell>
          <cell r="AD240" t="str">
            <v xml:space="preserve"> </v>
          </cell>
        </row>
        <row r="241">
          <cell r="AB241" t="str">
            <v xml:space="preserve"> </v>
          </cell>
          <cell r="AC241" t="str">
            <v xml:space="preserve"> </v>
          </cell>
          <cell r="AD241" t="str">
            <v xml:space="preserve"> </v>
          </cell>
        </row>
        <row r="242">
          <cell r="AB242" t="str">
            <v xml:space="preserve"> </v>
          </cell>
          <cell r="AC242" t="str">
            <v>1 BED</v>
          </cell>
          <cell r="AD242">
            <v>1400</v>
          </cell>
        </row>
        <row r="243">
          <cell r="AB243" t="str">
            <v xml:space="preserve"> </v>
          </cell>
          <cell r="AC243" t="str">
            <v xml:space="preserve"> </v>
          </cell>
          <cell r="AD243" t="str">
            <v xml:space="preserve"> </v>
          </cell>
        </row>
        <row r="244">
          <cell r="AB244" t="str">
            <v xml:space="preserve"> </v>
          </cell>
          <cell r="AC244" t="str">
            <v xml:space="preserve"> </v>
          </cell>
          <cell r="AD244" t="str">
            <v xml:space="preserve"> </v>
          </cell>
        </row>
        <row r="245">
          <cell r="AB245" t="str">
            <v xml:space="preserve"> </v>
          </cell>
          <cell r="AC245" t="str">
            <v xml:space="preserve"> </v>
          </cell>
          <cell r="AD245" t="str">
            <v xml:space="preserve"> </v>
          </cell>
        </row>
        <row r="246">
          <cell r="AB246" t="str">
            <v xml:space="preserve"> </v>
          </cell>
          <cell r="AC246" t="str">
            <v xml:space="preserve"> </v>
          </cell>
          <cell r="AD246" t="str">
            <v xml:space="preserve"> </v>
          </cell>
        </row>
        <row r="247">
          <cell r="AB247" t="str">
            <v xml:space="preserve"> </v>
          </cell>
          <cell r="AC247" t="str">
            <v xml:space="preserve"> </v>
          </cell>
          <cell r="AD247" t="str">
            <v xml:space="preserve"> </v>
          </cell>
        </row>
        <row r="248">
          <cell r="AB248" t="str">
            <v xml:space="preserve"> </v>
          </cell>
          <cell r="AC248" t="str">
            <v xml:space="preserve"> </v>
          </cell>
          <cell r="AD248" t="str">
            <v xml:space="preserve"> </v>
          </cell>
        </row>
        <row r="249">
          <cell r="AB249" t="str">
            <v xml:space="preserve"> </v>
          </cell>
          <cell r="AC249" t="str">
            <v xml:space="preserve"> </v>
          </cell>
          <cell r="AD249" t="str">
            <v xml:space="preserve"> </v>
          </cell>
        </row>
        <row r="250">
          <cell r="AB250" t="str">
            <v xml:space="preserve"> </v>
          </cell>
          <cell r="AC250" t="str">
            <v>STD</v>
          </cell>
          <cell r="AD250">
            <v>850</v>
          </cell>
        </row>
        <row r="251">
          <cell r="AB251" t="str">
            <v xml:space="preserve"> </v>
          </cell>
          <cell r="AC251" t="str">
            <v xml:space="preserve"> </v>
          </cell>
          <cell r="AD251" t="str">
            <v xml:space="preserve"> </v>
          </cell>
        </row>
        <row r="252">
          <cell r="AB252" t="str">
            <v xml:space="preserve"> </v>
          </cell>
          <cell r="AC252" t="str">
            <v xml:space="preserve"> </v>
          </cell>
          <cell r="AD252" t="str">
            <v xml:space="preserve"> </v>
          </cell>
        </row>
        <row r="253">
          <cell r="AB253" t="str">
            <v xml:space="preserve"> </v>
          </cell>
          <cell r="AC253" t="str">
            <v xml:space="preserve"> </v>
          </cell>
          <cell r="AD253" t="str">
            <v xml:space="preserve"> </v>
          </cell>
        </row>
        <row r="254">
          <cell r="AB254" t="str">
            <v xml:space="preserve"> </v>
          </cell>
          <cell r="AC254" t="str">
            <v xml:space="preserve"> </v>
          </cell>
          <cell r="AD254" t="str">
            <v xml:space="preserve"> </v>
          </cell>
        </row>
        <row r="255">
          <cell r="AB255" t="str">
            <v xml:space="preserve"> </v>
          </cell>
          <cell r="AC255" t="str">
            <v xml:space="preserve"> </v>
          </cell>
          <cell r="AD255" t="str">
            <v xml:space="preserve"> </v>
          </cell>
        </row>
        <row r="256">
          <cell r="AB256" t="str">
            <v xml:space="preserve"> </v>
          </cell>
          <cell r="AC256" t="str">
            <v xml:space="preserve"> </v>
          </cell>
          <cell r="AD256" t="str">
            <v xml:space="preserve"> </v>
          </cell>
        </row>
        <row r="257">
          <cell r="AB257" t="str">
            <v xml:space="preserve"> </v>
          </cell>
          <cell r="AC257" t="str">
            <v xml:space="preserve"> </v>
          </cell>
          <cell r="AD257" t="str">
            <v xml:space="preserve"> </v>
          </cell>
        </row>
        <row r="258">
          <cell r="AB258" t="str">
            <v xml:space="preserve"> </v>
          </cell>
          <cell r="AC258" t="str">
            <v xml:space="preserve"> </v>
          </cell>
          <cell r="AD258" t="str">
            <v xml:space="preserve"> </v>
          </cell>
        </row>
        <row r="259">
          <cell r="AB259" t="str">
            <v xml:space="preserve"> </v>
          </cell>
          <cell r="AC259" t="str">
            <v xml:space="preserve"> </v>
          </cell>
          <cell r="AD259" t="str">
            <v xml:space="preserve"> </v>
          </cell>
        </row>
        <row r="260">
          <cell r="AB260" t="str">
            <v xml:space="preserve"> </v>
          </cell>
          <cell r="AC260" t="str">
            <v xml:space="preserve"> </v>
          </cell>
          <cell r="AD260" t="str">
            <v xml:space="preserve"> </v>
          </cell>
        </row>
        <row r="261">
          <cell r="AB261" t="str">
            <v xml:space="preserve"> </v>
          </cell>
          <cell r="AC261" t="str">
            <v xml:space="preserve"> </v>
          </cell>
          <cell r="AD261" t="str">
            <v xml:space="preserve"> </v>
          </cell>
        </row>
        <row r="262">
          <cell r="AB262" t="str">
            <v xml:space="preserve"> </v>
          </cell>
          <cell r="AC262" t="str">
            <v xml:space="preserve"> </v>
          </cell>
          <cell r="AD262" t="str">
            <v xml:space="preserve"> </v>
          </cell>
        </row>
        <row r="263">
          <cell r="AB263" t="str">
            <v xml:space="preserve"> </v>
          </cell>
          <cell r="AC263" t="str">
            <v xml:space="preserve"> </v>
          </cell>
          <cell r="AD263" t="str">
            <v xml:space="preserve"> </v>
          </cell>
        </row>
        <row r="264">
          <cell r="AB264" t="str">
            <v xml:space="preserve"> </v>
          </cell>
          <cell r="AC264" t="str">
            <v xml:space="preserve"> </v>
          </cell>
          <cell r="AD264" t="str">
            <v xml:space="preserve"> </v>
          </cell>
        </row>
        <row r="265">
          <cell r="AB265" t="str">
            <v xml:space="preserve"> </v>
          </cell>
          <cell r="AC265" t="str">
            <v xml:space="preserve"> </v>
          </cell>
          <cell r="AD265" t="str">
            <v xml:space="preserve"> </v>
          </cell>
        </row>
        <row r="266">
          <cell r="AB266" t="str">
            <v xml:space="preserve"> </v>
          </cell>
          <cell r="AC266" t="str">
            <v xml:space="preserve"> </v>
          </cell>
          <cell r="AD266" t="str">
            <v xml:space="preserve"> </v>
          </cell>
        </row>
        <row r="267">
          <cell r="AB267" t="str">
            <v xml:space="preserve"> </v>
          </cell>
          <cell r="AC267" t="str">
            <v>1 BED</v>
          </cell>
          <cell r="AD267">
            <v>1300</v>
          </cell>
        </row>
        <row r="268">
          <cell r="AB268" t="str">
            <v xml:space="preserve"> </v>
          </cell>
          <cell r="AC268" t="str">
            <v xml:space="preserve"> </v>
          </cell>
          <cell r="AD268" t="str">
            <v xml:space="preserve"> </v>
          </cell>
        </row>
        <row r="269">
          <cell r="AB269" t="str">
            <v xml:space="preserve"> </v>
          </cell>
          <cell r="AC269" t="str">
            <v xml:space="preserve"> </v>
          </cell>
          <cell r="AD269" t="str">
            <v xml:space="preserve"> </v>
          </cell>
        </row>
        <row r="270">
          <cell r="AB270" t="str">
            <v xml:space="preserve"> </v>
          </cell>
          <cell r="AC270" t="str">
            <v xml:space="preserve"> </v>
          </cell>
          <cell r="AD270" t="str">
            <v xml:space="preserve"> </v>
          </cell>
        </row>
        <row r="271">
          <cell r="AB271" t="str">
            <v xml:space="preserve"> </v>
          </cell>
          <cell r="AC271" t="str">
            <v xml:space="preserve"> </v>
          </cell>
          <cell r="AD271" t="str">
            <v xml:space="preserve"> </v>
          </cell>
        </row>
        <row r="272">
          <cell r="AB272" t="str">
            <v xml:space="preserve"> </v>
          </cell>
          <cell r="AC272" t="str">
            <v xml:space="preserve"> </v>
          </cell>
          <cell r="AD272" t="str">
            <v xml:space="preserve"> </v>
          </cell>
        </row>
        <row r="273">
          <cell r="AB273" t="str">
            <v xml:space="preserve"> </v>
          </cell>
          <cell r="AC273" t="str">
            <v xml:space="preserve"> </v>
          </cell>
          <cell r="AD273" t="str">
            <v xml:space="preserve"> </v>
          </cell>
        </row>
        <row r="274">
          <cell r="AB274" t="str">
            <v xml:space="preserve"> </v>
          </cell>
          <cell r="AC274" t="str">
            <v xml:space="preserve"> </v>
          </cell>
          <cell r="AD274" t="str">
            <v xml:space="preserve"> </v>
          </cell>
        </row>
        <row r="275">
          <cell r="AB275" t="str">
            <v xml:space="preserve"> </v>
          </cell>
          <cell r="AC275" t="str">
            <v xml:space="preserve"> </v>
          </cell>
          <cell r="AD275" t="str">
            <v xml:space="preserve"> </v>
          </cell>
        </row>
        <row r="276">
          <cell r="AB276" t="str">
            <v xml:space="preserve"> </v>
          </cell>
          <cell r="AC276" t="str">
            <v xml:space="preserve"> </v>
          </cell>
          <cell r="AD276" t="str">
            <v xml:space="preserve"> </v>
          </cell>
        </row>
        <row r="277">
          <cell r="AB277" t="str">
            <v xml:space="preserve"> </v>
          </cell>
          <cell r="AC277" t="str">
            <v xml:space="preserve"> </v>
          </cell>
          <cell r="AD277" t="str">
            <v xml:space="preserve"> </v>
          </cell>
        </row>
        <row r="278">
          <cell r="AB278" t="str">
            <v xml:space="preserve"> </v>
          </cell>
          <cell r="AC278" t="str">
            <v xml:space="preserve"> </v>
          </cell>
          <cell r="AD278" t="str">
            <v xml:space="preserve"> </v>
          </cell>
        </row>
        <row r="279">
          <cell r="AB279" t="str">
            <v xml:space="preserve"> </v>
          </cell>
          <cell r="AC279" t="str">
            <v xml:space="preserve"> </v>
          </cell>
          <cell r="AD279" t="str">
            <v xml:space="preserve"> </v>
          </cell>
        </row>
        <row r="280">
          <cell r="AB280" t="str">
            <v xml:space="preserve"> </v>
          </cell>
          <cell r="AC280" t="str">
            <v xml:space="preserve"> </v>
          </cell>
          <cell r="AD280" t="str">
            <v xml:space="preserve"> </v>
          </cell>
        </row>
        <row r="281">
          <cell r="AB281" t="str">
            <v xml:space="preserve"> </v>
          </cell>
          <cell r="AC281" t="str">
            <v xml:space="preserve"> </v>
          </cell>
          <cell r="AD281" t="str">
            <v xml:space="preserve"> </v>
          </cell>
        </row>
        <row r="282">
          <cell r="AB282" t="str">
            <v xml:space="preserve"> </v>
          </cell>
          <cell r="AC282" t="str">
            <v xml:space="preserve"> </v>
          </cell>
          <cell r="AD282" t="str">
            <v xml:space="preserve"> </v>
          </cell>
        </row>
        <row r="283">
          <cell r="AB283" t="str">
            <v xml:space="preserve"> </v>
          </cell>
          <cell r="AC283" t="str">
            <v xml:space="preserve"> </v>
          </cell>
          <cell r="AD283" t="str">
            <v xml:space="preserve"> </v>
          </cell>
        </row>
        <row r="284">
          <cell r="AB284" t="str">
            <v xml:space="preserve"> </v>
          </cell>
          <cell r="AC284" t="str">
            <v xml:space="preserve"> </v>
          </cell>
          <cell r="AD284" t="str">
            <v xml:space="preserve"> </v>
          </cell>
        </row>
        <row r="285">
          <cell r="AB285" t="str">
            <v xml:space="preserve"> </v>
          </cell>
          <cell r="AC285" t="str">
            <v xml:space="preserve"> </v>
          </cell>
          <cell r="AD285" t="str">
            <v xml:space="preserve"> </v>
          </cell>
        </row>
        <row r="286">
          <cell r="AB286" t="str">
            <v xml:space="preserve"> </v>
          </cell>
          <cell r="AC286" t="str">
            <v xml:space="preserve"> </v>
          </cell>
          <cell r="AD286" t="str">
            <v xml:space="preserve"> </v>
          </cell>
        </row>
        <row r="287">
          <cell r="AB287" t="str">
            <v xml:space="preserve"> </v>
          </cell>
          <cell r="AC287" t="str">
            <v xml:space="preserve"> </v>
          </cell>
          <cell r="AD287" t="str">
            <v xml:space="preserve"> </v>
          </cell>
        </row>
        <row r="288">
          <cell r="AB288" t="str">
            <v xml:space="preserve"> </v>
          </cell>
          <cell r="AC288" t="str">
            <v xml:space="preserve"> </v>
          </cell>
          <cell r="AD288" t="str">
            <v xml:space="preserve"> </v>
          </cell>
        </row>
        <row r="289">
          <cell r="AB289" t="str">
            <v xml:space="preserve"> </v>
          </cell>
          <cell r="AC289" t="str">
            <v xml:space="preserve"> </v>
          </cell>
          <cell r="AD289" t="str">
            <v xml:space="preserve"> </v>
          </cell>
        </row>
        <row r="290">
          <cell r="AB290" t="str">
            <v xml:space="preserve"> </v>
          </cell>
          <cell r="AC290" t="str">
            <v xml:space="preserve"> </v>
          </cell>
          <cell r="AD290" t="str">
            <v xml:space="preserve"> </v>
          </cell>
        </row>
        <row r="291">
          <cell r="AB291" t="str">
            <v xml:space="preserve"> </v>
          </cell>
          <cell r="AC291" t="str">
            <v xml:space="preserve"> </v>
          </cell>
          <cell r="AD291" t="str">
            <v xml:space="preserve"> </v>
          </cell>
        </row>
        <row r="292">
          <cell r="AB292" t="str">
            <v xml:space="preserve"> </v>
          </cell>
          <cell r="AC292" t="str">
            <v xml:space="preserve"> </v>
          </cell>
          <cell r="AD292" t="str">
            <v xml:space="preserve"> </v>
          </cell>
        </row>
        <row r="293">
          <cell r="AB293" t="str">
            <v xml:space="preserve"> </v>
          </cell>
          <cell r="AC293" t="str">
            <v xml:space="preserve"> </v>
          </cell>
          <cell r="AD293" t="str">
            <v xml:space="preserve"> </v>
          </cell>
        </row>
        <row r="294">
          <cell r="AB294" t="str">
            <v xml:space="preserve"> </v>
          </cell>
          <cell r="AC294" t="str">
            <v xml:space="preserve"> </v>
          </cell>
          <cell r="AD294" t="str">
            <v xml:space="preserve"> </v>
          </cell>
        </row>
        <row r="296">
          <cell r="AB296" t="str">
            <v xml:space="preserve"> </v>
          </cell>
          <cell r="AC296" t="str">
            <v xml:space="preserve"> </v>
          </cell>
          <cell r="AD296" t="str">
            <v xml:space="preserve"> </v>
          </cell>
        </row>
        <row r="297">
          <cell r="AB297" t="str">
            <v xml:space="preserve"> </v>
          </cell>
          <cell r="AC297" t="str">
            <v xml:space="preserve"> </v>
          </cell>
          <cell r="AD297" t="str">
            <v xml:space="preserve"> </v>
          </cell>
        </row>
        <row r="298">
          <cell r="AB298" t="str">
            <v xml:space="preserve"> </v>
          </cell>
          <cell r="AC298" t="str">
            <v xml:space="preserve"> </v>
          </cell>
          <cell r="AD298" t="str">
            <v xml:space="preserve"> </v>
          </cell>
        </row>
        <row r="299">
          <cell r="AB299" t="str">
            <v xml:space="preserve"> </v>
          </cell>
          <cell r="AC299" t="str">
            <v xml:space="preserve"> </v>
          </cell>
          <cell r="AD299" t="str">
            <v xml:space="preserve"> </v>
          </cell>
        </row>
        <row r="300">
          <cell r="AB300" t="str">
            <v xml:space="preserve"> </v>
          </cell>
          <cell r="AC300" t="str">
            <v xml:space="preserve"> </v>
          </cell>
          <cell r="AD300" t="str">
            <v xml:space="preserve"> </v>
          </cell>
        </row>
        <row r="301">
          <cell r="AB301" t="str">
            <v xml:space="preserve"> </v>
          </cell>
          <cell r="AC301" t="str">
            <v xml:space="preserve"> </v>
          </cell>
          <cell r="AD301" t="str">
            <v xml:space="preserve"> </v>
          </cell>
        </row>
        <row r="302">
          <cell r="AB302" t="str">
            <v xml:space="preserve"> </v>
          </cell>
          <cell r="AC302" t="str">
            <v xml:space="preserve"> </v>
          </cell>
          <cell r="AD302" t="str">
            <v xml:space="preserve"> </v>
          </cell>
        </row>
        <row r="303">
          <cell r="AB303" t="str">
            <v xml:space="preserve"> </v>
          </cell>
          <cell r="AC303" t="str">
            <v xml:space="preserve"> </v>
          </cell>
          <cell r="AD303" t="str">
            <v xml:space="preserve"> </v>
          </cell>
        </row>
        <row r="304">
          <cell r="AB304" t="str">
            <v xml:space="preserve"> </v>
          </cell>
          <cell r="AC304" t="str">
            <v xml:space="preserve"> </v>
          </cell>
          <cell r="AD304" t="str">
            <v xml:space="preserve"> </v>
          </cell>
        </row>
        <row r="305">
          <cell r="AB305" t="str">
            <v xml:space="preserve"> </v>
          </cell>
          <cell r="AC305" t="str">
            <v xml:space="preserve"> </v>
          </cell>
          <cell r="AD305" t="str">
            <v xml:space="preserve"> </v>
          </cell>
        </row>
        <row r="306">
          <cell r="AB306" t="str">
            <v xml:space="preserve"> </v>
          </cell>
          <cell r="AC306" t="str">
            <v xml:space="preserve"> </v>
          </cell>
          <cell r="AD306" t="str">
            <v xml:space="preserve"> </v>
          </cell>
        </row>
        <row r="307">
          <cell r="AB307" t="str">
            <v xml:space="preserve"> </v>
          </cell>
          <cell r="AC307" t="str">
            <v xml:space="preserve"> </v>
          </cell>
          <cell r="AD307" t="str">
            <v xml:space="preserve"> </v>
          </cell>
        </row>
        <row r="308">
          <cell r="AB308" t="str">
            <v xml:space="preserve"> </v>
          </cell>
          <cell r="AC308" t="str">
            <v xml:space="preserve"> </v>
          </cell>
          <cell r="AD308" t="str">
            <v xml:space="preserve"> </v>
          </cell>
        </row>
        <row r="309">
          <cell r="AB309" t="str">
            <v xml:space="preserve"> </v>
          </cell>
          <cell r="AC309" t="str">
            <v xml:space="preserve"> </v>
          </cell>
          <cell r="AD309" t="str">
            <v xml:space="preserve"> </v>
          </cell>
        </row>
        <row r="310">
          <cell r="AB310" t="str">
            <v xml:space="preserve"> </v>
          </cell>
          <cell r="AC310" t="str">
            <v xml:space="preserve"> </v>
          </cell>
          <cell r="AD310" t="str">
            <v xml:space="preserve"> </v>
          </cell>
        </row>
        <row r="311">
          <cell r="AB311" t="str">
            <v xml:space="preserve"> </v>
          </cell>
          <cell r="AC311" t="str">
            <v xml:space="preserve"> </v>
          </cell>
          <cell r="AD311" t="str">
            <v xml:space="preserve"> </v>
          </cell>
        </row>
        <row r="312">
          <cell r="AB312" t="str">
            <v xml:space="preserve"> </v>
          </cell>
          <cell r="AC312" t="str">
            <v xml:space="preserve"> </v>
          </cell>
          <cell r="AD312" t="str">
            <v xml:space="preserve"> </v>
          </cell>
        </row>
        <row r="313">
          <cell r="AB313" t="str">
            <v xml:space="preserve"> </v>
          </cell>
          <cell r="AC313" t="str">
            <v xml:space="preserve"> </v>
          </cell>
          <cell r="AD313" t="str">
            <v xml:space="preserve"> </v>
          </cell>
        </row>
        <row r="314">
          <cell r="AB314" t="str">
            <v xml:space="preserve"> </v>
          </cell>
          <cell r="AC314" t="str">
            <v xml:space="preserve"> </v>
          </cell>
          <cell r="AD314" t="str">
            <v xml:space="preserve"> </v>
          </cell>
        </row>
        <row r="315">
          <cell r="AB315" t="str">
            <v xml:space="preserve"> </v>
          </cell>
          <cell r="AC315" t="str">
            <v xml:space="preserve"> </v>
          </cell>
          <cell r="AD315" t="str">
            <v xml:space="preserve"> </v>
          </cell>
        </row>
        <row r="316">
          <cell r="AB316" t="str">
            <v xml:space="preserve"> </v>
          </cell>
          <cell r="AC316" t="str">
            <v xml:space="preserve"> </v>
          </cell>
          <cell r="AD316" t="str">
            <v xml:space="preserve"> </v>
          </cell>
        </row>
        <row r="317">
          <cell r="AB317" t="str">
            <v xml:space="preserve"> </v>
          </cell>
          <cell r="AC317" t="str">
            <v xml:space="preserve"> </v>
          </cell>
          <cell r="AD317" t="str">
            <v xml:space="preserve"> </v>
          </cell>
        </row>
        <row r="318">
          <cell r="AB318" t="str">
            <v xml:space="preserve"> </v>
          </cell>
          <cell r="AC318" t="str">
            <v xml:space="preserve"> </v>
          </cell>
          <cell r="AD318" t="str">
            <v xml:space="preserve"> </v>
          </cell>
        </row>
        <row r="319">
          <cell r="AB319" t="str">
            <v xml:space="preserve"> </v>
          </cell>
          <cell r="AC319" t="str">
            <v xml:space="preserve"> </v>
          </cell>
          <cell r="AD319" t="str">
            <v xml:space="preserve"> </v>
          </cell>
        </row>
        <row r="320">
          <cell r="AB320" t="str">
            <v xml:space="preserve"> </v>
          </cell>
          <cell r="AC320" t="str">
            <v xml:space="preserve"> </v>
          </cell>
          <cell r="AD320" t="str">
            <v xml:space="preserve"> </v>
          </cell>
        </row>
        <row r="321">
          <cell r="AB321" t="str">
            <v xml:space="preserve"> </v>
          </cell>
          <cell r="AC321" t="str">
            <v xml:space="preserve"> </v>
          </cell>
          <cell r="AD321" t="str">
            <v xml:space="preserve"> </v>
          </cell>
        </row>
        <row r="322">
          <cell r="AB322" t="str">
            <v xml:space="preserve"> </v>
          </cell>
          <cell r="AC322" t="str">
            <v xml:space="preserve"> </v>
          </cell>
          <cell r="AD322" t="str">
            <v xml:space="preserve"> </v>
          </cell>
        </row>
        <row r="323">
          <cell r="AB323" t="str">
            <v xml:space="preserve"> </v>
          </cell>
          <cell r="AC323" t="str">
            <v xml:space="preserve"> </v>
          </cell>
          <cell r="AD323" t="str">
            <v xml:space="preserve"> </v>
          </cell>
        </row>
        <row r="324">
          <cell r="AB324" t="str">
            <v xml:space="preserve"> </v>
          </cell>
          <cell r="AC324" t="str">
            <v xml:space="preserve"> </v>
          </cell>
          <cell r="AD324" t="str">
            <v xml:space="preserve"> </v>
          </cell>
        </row>
        <row r="325">
          <cell r="AB325" t="str">
            <v xml:space="preserve"> </v>
          </cell>
          <cell r="AC325" t="str">
            <v xml:space="preserve"> </v>
          </cell>
          <cell r="AD325" t="str">
            <v xml:space="preserve"> </v>
          </cell>
        </row>
        <row r="326">
          <cell r="AB326" t="str">
            <v xml:space="preserve"> </v>
          </cell>
          <cell r="AC326" t="str">
            <v xml:space="preserve"> </v>
          </cell>
          <cell r="AD326" t="str">
            <v xml:space="preserve"> </v>
          </cell>
        </row>
        <row r="327">
          <cell r="AB327" t="str">
            <v xml:space="preserve"> </v>
          </cell>
          <cell r="AC327" t="str">
            <v xml:space="preserve"> </v>
          </cell>
          <cell r="AD327" t="str">
            <v xml:space="preserve"> </v>
          </cell>
        </row>
        <row r="328">
          <cell r="AB328" t="str">
            <v xml:space="preserve"> </v>
          </cell>
          <cell r="AC328" t="str">
            <v xml:space="preserve"> </v>
          </cell>
          <cell r="AD328" t="str">
            <v xml:space="preserve"> </v>
          </cell>
        </row>
        <row r="329">
          <cell r="AB329" t="str">
            <v xml:space="preserve"> </v>
          </cell>
          <cell r="AC329" t="str">
            <v xml:space="preserve"> </v>
          </cell>
          <cell r="AD329" t="str">
            <v xml:space="preserve"> </v>
          </cell>
        </row>
        <row r="330">
          <cell r="AB330" t="str">
            <v xml:space="preserve"> </v>
          </cell>
          <cell r="AC330" t="str">
            <v xml:space="preserve"> </v>
          </cell>
          <cell r="AD330" t="str">
            <v xml:space="preserve"> </v>
          </cell>
        </row>
        <row r="331">
          <cell r="AB331" t="str">
            <v xml:space="preserve"> </v>
          </cell>
          <cell r="AC331" t="str">
            <v xml:space="preserve"> </v>
          </cell>
          <cell r="AD331" t="str">
            <v xml:space="preserve"> </v>
          </cell>
        </row>
        <row r="332">
          <cell r="AB332" t="str">
            <v xml:space="preserve"> </v>
          </cell>
          <cell r="AC332" t="str">
            <v xml:space="preserve"> </v>
          </cell>
          <cell r="AD332" t="str">
            <v xml:space="preserve"> </v>
          </cell>
        </row>
        <row r="333">
          <cell r="AB333" t="str">
            <v xml:space="preserve"> </v>
          </cell>
          <cell r="AC333" t="str">
            <v xml:space="preserve"> </v>
          </cell>
          <cell r="AD333" t="str">
            <v xml:space="preserve"> </v>
          </cell>
        </row>
        <row r="334">
          <cell r="AB334" t="str">
            <v xml:space="preserve"> </v>
          </cell>
          <cell r="AC334" t="str">
            <v xml:space="preserve"> </v>
          </cell>
          <cell r="AD334" t="str">
            <v xml:space="preserve"> </v>
          </cell>
        </row>
        <row r="335">
          <cell r="AB335" t="str">
            <v xml:space="preserve"> </v>
          </cell>
          <cell r="AC335" t="str">
            <v xml:space="preserve"> </v>
          </cell>
          <cell r="AD335" t="str">
            <v xml:space="preserve"> </v>
          </cell>
        </row>
        <row r="336">
          <cell r="AB336" t="str">
            <v xml:space="preserve"> </v>
          </cell>
          <cell r="AC336" t="str">
            <v xml:space="preserve"> </v>
          </cell>
          <cell r="AD336" t="str">
            <v xml:space="preserve"> </v>
          </cell>
        </row>
        <row r="337">
          <cell r="AB337" t="str">
            <v xml:space="preserve"> </v>
          </cell>
          <cell r="AC337" t="str">
            <v xml:space="preserve"> </v>
          </cell>
          <cell r="AD337" t="str">
            <v xml:space="preserve"> </v>
          </cell>
        </row>
        <row r="338">
          <cell r="AB338" t="str">
            <v xml:space="preserve"> </v>
          </cell>
          <cell r="AC338" t="str">
            <v xml:space="preserve"> </v>
          </cell>
          <cell r="AD338" t="str">
            <v xml:space="preserve"> </v>
          </cell>
        </row>
        <row r="339">
          <cell r="AB339" t="str">
            <v xml:space="preserve"> </v>
          </cell>
          <cell r="AC339" t="str">
            <v xml:space="preserve"> </v>
          </cell>
          <cell r="AD339" t="str">
            <v xml:space="preserve"> </v>
          </cell>
        </row>
        <row r="340">
          <cell r="AB340" t="str">
            <v xml:space="preserve"> </v>
          </cell>
          <cell r="AC340" t="str">
            <v xml:space="preserve"> </v>
          </cell>
          <cell r="AD340" t="str">
            <v xml:space="preserve"> </v>
          </cell>
        </row>
        <row r="341">
          <cell r="AB341" t="str">
            <v xml:space="preserve"> </v>
          </cell>
          <cell r="AC341" t="str">
            <v xml:space="preserve"> </v>
          </cell>
          <cell r="AD341" t="str">
            <v xml:space="preserve"> </v>
          </cell>
        </row>
        <row r="342">
          <cell r="AB342" t="str">
            <v xml:space="preserve"> </v>
          </cell>
          <cell r="AC342" t="str">
            <v xml:space="preserve"> </v>
          </cell>
          <cell r="AD342" t="str">
            <v xml:space="preserve"> </v>
          </cell>
        </row>
        <row r="343">
          <cell r="AB343" t="str">
            <v xml:space="preserve"> </v>
          </cell>
          <cell r="AC343" t="str">
            <v xml:space="preserve"> </v>
          </cell>
          <cell r="AD343" t="str">
            <v xml:space="preserve"> </v>
          </cell>
        </row>
        <row r="344">
          <cell r="AB344" t="str">
            <v xml:space="preserve"> </v>
          </cell>
          <cell r="AC344" t="str">
            <v xml:space="preserve"> </v>
          </cell>
          <cell r="AD344" t="str">
            <v xml:space="preserve"> </v>
          </cell>
        </row>
        <row r="345">
          <cell r="AB345" t="str">
            <v xml:space="preserve"> </v>
          </cell>
          <cell r="AC345" t="str">
            <v xml:space="preserve"> </v>
          </cell>
          <cell r="AD345" t="str">
            <v xml:space="preserve"> </v>
          </cell>
        </row>
        <row r="346">
          <cell r="AB346" t="str">
            <v xml:space="preserve"> </v>
          </cell>
          <cell r="AC346" t="str">
            <v xml:space="preserve"> </v>
          </cell>
          <cell r="AD346" t="str">
            <v xml:space="preserve"> </v>
          </cell>
        </row>
        <row r="347">
          <cell r="AB347" t="str">
            <v xml:space="preserve"> </v>
          </cell>
          <cell r="AC347" t="str">
            <v xml:space="preserve"> </v>
          </cell>
          <cell r="AD347" t="str">
            <v xml:space="preserve"> </v>
          </cell>
        </row>
        <row r="348">
          <cell r="AB348" t="str">
            <v xml:space="preserve"> </v>
          </cell>
          <cell r="AC348" t="str">
            <v xml:space="preserve"> </v>
          </cell>
          <cell r="AD348" t="str">
            <v xml:space="preserve"> </v>
          </cell>
        </row>
        <row r="349">
          <cell r="AB349" t="str">
            <v xml:space="preserve"> </v>
          </cell>
          <cell r="AC349" t="str">
            <v xml:space="preserve"> </v>
          </cell>
          <cell r="AD349" t="str">
            <v xml:space="preserve"> </v>
          </cell>
        </row>
        <row r="350">
          <cell r="AB350" t="str">
            <v xml:space="preserve"> </v>
          </cell>
          <cell r="AC350" t="str">
            <v xml:space="preserve"> </v>
          </cell>
          <cell r="AD350" t="str">
            <v xml:space="preserve"> </v>
          </cell>
        </row>
        <row r="351">
          <cell r="AB351" t="str">
            <v xml:space="preserve"> </v>
          </cell>
          <cell r="AC351" t="str">
            <v xml:space="preserve"> </v>
          </cell>
          <cell r="AD351" t="str">
            <v xml:space="preserve"> </v>
          </cell>
        </row>
        <row r="352">
          <cell r="AB352" t="str">
            <v xml:space="preserve"> </v>
          </cell>
          <cell r="AC352" t="str">
            <v xml:space="preserve"> </v>
          </cell>
          <cell r="AD352" t="str">
            <v xml:space="preserve"> </v>
          </cell>
        </row>
        <row r="353">
          <cell r="AB353" t="str">
            <v xml:space="preserve"> </v>
          </cell>
          <cell r="AC353" t="str">
            <v xml:space="preserve"> </v>
          </cell>
          <cell r="AD353" t="str">
            <v xml:space="preserve"> </v>
          </cell>
        </row>
        <row r="354">
          <cell r="AB354" t="str">
            <v xml:space="preserve"> </v>
          </cell>
          <cell r="AC354" t="str">
            <v xml:space="preserve"> </v>
          </cell>
          <cell r="AD354" t="str">
            <v xml:space="preserve"> </v>
          </cell>
        </row>
        <row r="355">
          <cell r="AB355" t="str">
            <v xml:space="preserve"> </v>
          </cell>
          <cell r="AC355" t="str">
            <v xml:space="preserve"> </v>
          </cell>
          <cell r="AD355" t="str">
            <v xml:space="preserve"> </v>
          </cell>
        </row>
        <row r="356">
          <cell r="AB356" t="str">
            <v xml:space="preserve"> </v>
          </cell>
          <cell r="AC356" t="str">
            <v xml:space="preserve"> </v>
          </cell>
          <cell r="AD356" t="str">
            <v xml:space="preserve"> </v>
          </cell>
        </row>
        <row r="357">
          <cell r="AB357" t="str">
            <v xml:space="preserve"> </v>
          </cell>
          <cell r="AC357" t="str">
            <v xml:space="preserve"> </v>
          </cell>
          <cell r="AD357" t="str">
            <v xml:space="preserve"> </v>
          </cell>
        </row>
        <row r="358">
          <cell r="AB358" t="str">
            <v xml:space="preserve"> </v>
          </cell>
          <cell r="AC358" t="str">
            <v xml:space="preserve"> </v>
          </cell>
          <cell r="AD358" t="str">
            <v xml:space="preserve"> </v>
          </cell>
        </row>
        <row r="359">
          <cell r="AB359" t="str">
            <v xml:space="preserve"> </v>
          </cell>
          <cell r="AC359" t="str">
            <v xml:space="preserve"> </v>
          </cell>
          <cell r="AD359" t="str">
            <v xml:space="preserve"> </v>
          </cell>
        </row>
        <row r="360">
          <cell r="AB360" t="str">
            <v xml:space="preserve"> </v>
          </cell>
          <cell r="AC360" t="str">
            <v xml:space="preserve"> </v>
          </cell>
          <cell r="AD360" t="str">
            <v xml:space="preserve"> </v>
          </cell>
        </row>
        <row r="361">
          <cell r="AB361" t="str">
            <v xml:space="preserve"> </v>
          </cell>
          <cell r="AC361" t="str">
            <v xml:space="preserve"> </v>
          </cell>
          <cell r="AD361" t="str">
            <v xml:space="preserve"> </v>
          </cell>
        </row>
        <row r="362">
          <cell r="AB362" t="str">
            <v xml:space="preserve"> </v>
          </cell>
          <cell r="AC362" t="str">
            <v xml:space="preserve"> </v>
          </cell>
          <cell r="AD362" t="str">
            <v xml:space="preserve"> </v>
          </cell>
        </row>
        <row r="363">
          <cell r="AB363" t="str">
            <v xml:space="preserve"> </v>
          </cell>
          <cell r="AC363" t="str">
            <v xml:space="preserve"> </v>
          </cell>
          <cell r="AD363" t="str">
            <v xml:space="preserve"> </v>
          </cell>
        </row>
        <row r="364">
          <cell r="AB364" t="str">
            <v xml:space="preserve"> </v>
          </cell>
          <cell r="AC364" t="str">
            <v xml:space="preserve"> </v>
          </cell>
          <cell r="AD364" t="str">
            <v xml:space="preserve"> </v>
          </cell>
        </row>
        <row r="365">
          <cell r="AB365" t="str">
            <v xml:space="preserve"> </v>
          </cell>
          <cell r="AC365" t="str">
            <v xml:space="preserve"> </v>
          </cell>
          <cell r="AD365" t="str">
            <v xml:space="preserve"> </v>
          </cell>
        </row>
        <row r="366">
          <cell r="AB366" t="str">
            <v xml:space="preserve"> </v>
          </cell>
          <cell r="AC366" t="str">
            <v xml:space="preserve"> </v>
          </cell>
          <cell r="AD366" t="str">
            <v xml:space="preserve"> </v>
          </cell>
        </row>
        <row r="367">
          <cell r="AB367" t="str">
            <v xml:space="preserve"> </v>
          </cell>
          <cell r="AC367" t="str">
            <v xml:space="preserve"> </v>
          </cell>
          <cell r="AD367" t="str">
            <v xml:space="preserve"> </v>
          </cell>
        </row>
        <row r="368">
          <cell r="AB368" t="str">
            <v xml:space="preserve"> </v>
          </cell>
          <cell r="AC368" t="str">
            <v xml:space="preserve"> </v>
          </cell>
          <cell r="AD368" t="str">
            <v xml:space="preserve"> </v>
          </cell>
        </row>
        <row r="369">
          <cell r="AB369" t="str">
            <v xml:space="preserve"> </v>
          </cell>
          <cell r="AC369" t="str">
            <v xml:space="preserve"> </v>
          </cell>
          <cell r="AD369" t="str">
            <v xml:space="preserve"> </v>
          </cell>
        </row>
        <row r="370">
          <cell r="AB370" t="str">
            <v xml:space="preserve"> </v>
          </cell>
          <cell r="AC370" t="str">
            <v xml:space="preserve"> </v>
          </cell>
          <cell r="AD370" t="str">
            <v xml:space="preserve"> </v>
          </cell>
        </row>
        <row r="371">
          <cell r="AB371" t="str">
            <v xml:space="preserve"> </v>
          </cell>
          <cell r="AC371" t="str">
            <v xml:space="preserve"> </v>
          </cell>
          <cell r="AD371" t="str">
            <v xml:space="preserve"> </v>
          </cell>
        </row>
        <row r="372">
          <cell r="AB372" t="str">
            <v xml:space="preserve"> </v>
          </cell>
          <cell r="AC372" t="str">
            <v xml:space="preserve"> </v>
          </cell>
          <cell r="AD372" t="str">
            <v xml:space="preserve"> </v>
          </cell>
        </row>
        <row r="373">
          <cell r="AB373" t="str">
            <v xml:space="preserve"> </v>
          </cell>
          <cell r="AC373" t="str">
            <v xml:space="preserve"> </v>
          </cell>
          <cell r="AD373" t="str">
            <v xml:space="preserve"> </v>
          </cell>
        </row>
        <row r="374">
          <cell r="AB374" t="str">
            <v xml:space="preserve"> </v>
          </cell>
          <cell r="AC374" t="str">
            <v xml:space="preserve"> </v>
          </cell>
          <cell r="AD374" t="str">
            <v xml:space="preserve"> </v>
          </cell>
        </row>
        <row r="375">
          <cell r="AB375" t="str">
            <v xml:space="preserve"> </v>
          </cell>
          <cell r="AC375" t="str">
            <v xml:space="preserve"> </v>
          </cell>
          <cell r="AD375" t="str">
            <v xml:space="preserve"> </v>
          </cell>
        </row>
        <row r="376">
          <cell r="AB376" t="str">
            <v xml:space="preserve"> </v>
          </cell>
          <cell r="AC376" t="str">
            <v xml:space="preserve"> </v>
          </cell>
          <cell r="AD376" t="str">
            <v xml:space="preserve"> </v>
          </cell>
        </row>
        <row r="377">
          <cell r="AB377" t="str">
            <v xml:space="preserve"> </v>
          </cell>
          <cell r="AC377" t="str">
            <v xml:space="preserve"> </v>
          </cell>
          <cell r="AD377" t="str">
            <v xml:space="preserve"> </v>
          </cell>
        </row>
        <row r="378">
          <cell r="AB378" t="str">
            <v xml:space="preserve"> </v>
          </cell>
          <cell r="AC378" t="str">
            <v xml:space="preserve"> </v>
          </cell>
          <cell r="AD378" t="str">
            <v xml:space="preserve"> </v>
          </cell>
        </row>
        <row r="379">
          <cell r="AB379" t="str">
            <v xml:space="preserve"> </v>
          </cell>
          <cell r="AC379" t="str">
            <v xml:space="preserve"> </v>
          </cell>
          <cell r="AD379" t="str">
            <v xml:space="preserve"> </v>
          </cell>
        </row>
        <row r="380">
          <cell r="AB380" t="str">
            <v xml:space="preserve"> </v>
          </cell>
          <cell r="AC380" t="str">
            <v xml:space="preserve"> </v>
          </cell>
          <cell r="AD380" t="str">
            <v xml:space="preserve"> </v>
          </cell>
        </row>
        <row r="381">
          <cell r="AB381" t="str">
            <v xml:space="preserve"> </v>
          </cell>
          <cell r="AC381" t="str">
            <v xml:space="preserve"> </v>
          </cell>
          <cell r="AD381" t="str">
            <v xml:space="preserve"> </v>
          </cell>
        </row>
        <row r="382">
          <cell r="AB382" t="str">
            <v xml:space="preserve"> </v>
          </cell>
          <cell r="AC382" t="str">
            <v xml:space="preserve"> </v>
          </cell>
          <cell r="AD382" t="str">
            <v xml:space="preserve"> </v>
          </cell>
        </row>
        <row r="383">
          <cell r="AB383" t="str">
            <v xml:space="preserve"> </v>
          </cell>
          <cell r="AC383" t="str">
            <v xml:space="preserve"> </v>
          </cell>
          <cell r="AD383" t="str">
            <v xml:space="preserve"> </v>
          </cell>
        </row>
        <row r="384">
          <cell r="AB384" t="str">
            <v xml:space="preserve"> </v>
          </cell>
          <cell r="AC384" t="str">
            <v xml:space="preserve"> </v>
          </cell>
          <cell r="AD384" t="str">
            <v xml:space="preserve"> </v>
          </cell>
        </row>
        <row r="385">
          <cell r="AB385" t="str">
            <v xml:space="preserve"> </v>
          </cell>
          <cell r="AC385" t="str">
            <v xml:space="preserve"> </v>
          </cell>
          <cell r="AD385" t="str">
            <v xml:space="preserve"> </v>
          </cell>
        </row>
        <row r="386">
          <cell r="AB386" t="str">
            <v xml:space="preserve"> </v>
          </cell>
          <cell r="AC386" t="str">
            <v xml:space="preserve"> </v>
          </cell>
          <cell r="AD386" t="str">
            <v xml:space="preserve"> </v>
          </cell>
        </row>
        <row r="387">
          <cell r="AB387" t="str">
            <v xml:space="preserve"> </v>
          </cell>
          <cell r="AC387" t="str">
            <v xml:space="preserve"> </v>
          </cell>
          <cell r="AD387" t="str">
            <v xml:space="preserve"> </v>
          </cell>
        </row>
        <row r="388">
          <cell r="AB388" t="str">
            <v xml:space="preserve"> </v>
          </cell>
          <cell r="AC388" t="str">
            <v xml:space="preserve"> </v>
          </cell>
          <cell r="AD388" t="str">
            <v xml:space="preserve"> </v>
          </cell>
        </row>
        <row r="389">
          <cell r="AB389" t="str">
            <v xml:space="preserve"> </v>
          </cell>
          <cell r="AC389" t="str">
            <v xml:space="preserve"> </v>
          </cell>
          <cell r="AD389" t="str">
            <v xml:space="preserve"> </v>
          </cell>
        </row>
        <row r="390">
          <cell r="AB390" t="str">
            <v xml:space="preserve"> </v>
          </cell>
          <cell r="AC390" t="str">
            <v xml:space="preserve"> </v>
          </cell>
          <cell r="AD390" t="str">
            <v xml:space="preserve"> </v>
          </cell>
        </row>
        <row r="391">
          <cell r="AB391" t="str">
            <v xml:space="preserve"> </v>
          </cell>
          <cell r="AC391" t="str">
            <v xml:space="preserve"> </v>
          </cell>
          <cell r="AD391" t="str">
            <v xml:space="preserve"> </v>
          </cell>
        </row>
        <row r="392">
          <cell r="AB392" t="str">
            <v xml:space="preserve"> </v>
          </cell>
          <cell r="AC392" t="str">
            <v xml:space="preserve"> </v>
          </cell>
          <cell r="AD392" t="str">
            <v xml:space="preserve"> </v>
          </cell>
        </row>
        <row r="393">
          <cell r="AB393" t="str">
            <v xml:space="preserve"> </v>
          </cell>
          <cell r="AC393" t="str">
            <v xml:space="preserve"> </v>
          </cell>
          <cell r="AD393" t="str">
            <v xml:space="preserve"> </v>
          </cell>
        </row>
        <row r="394">
          <cell r="AB394" t="str">
            <v xml:space="preserve"> </v>
          </cell>
          <cell r="AC394" t="str">
            <v xml:space="preserve"> </v>
          </cell>
          <cell r="AD394" t="str">
            <v xml:space="preserve"> </v>
          </cell>
        </row>
        <row r="395">
          <cell r="AB395" t="str">
            <v xml:space="preserve"> </v>
          </cell>
          <cell r="AC395" t="str">
            <v xml:space="preserve"> </v>
          </cell>
          <cell r="AD395" t="str">
            <v xml:space="preserve"> </v>
          </cell>
        </row>
        <row r="396">
          <cell r="AB396" t="str">
            <v xml:space="preserve"> </v>
          </cell>
          <cell r="AC396" t="str">
            <v xml:space="preserve"> </v>
          </cell>
          <cell r="AD396" t="str">
            <v xml:space="preserve"> </v>
          </cell>
        </row>
        <row r="397">
          <cell r="AB397" t="str">
            <v xml:space="preserve"> </v>
          </cell>
          <cell r="AC397" t="str">
            <v xml:space="preserve"> </v>
          </cell>
          <cell r="AD397" t="str">
            <v xml:space="preserve"> </v>
          </cell>
        </row>
        <row r="398">
          <cell r="AB398" t="str">
            <v xml:space="preserve"> </v>
          </cell>
          <cell r="AC398" t="str">
            <v xml:space="preserve"> </v>
          </cell>
          <cell r="AD398" t="str">
            <v xml:space="preserve"> </v>
          </cell>
        </row>
        <row r="399">
          <cell r="AB399" t="str">
            <v xml:space="preserve"> </v>
          </cell>
          <cell r="AC399" t="str">
            <v xml:space="preserve"> </v>
          </cell>
          <cell r="AD399" t="str">
            <v xml:space="preserve"> </v>
          </cell>
        </row>
        <row r="400">
          <cell r="AB400" t="str">
            <v xml:space="preserve"> </v>
          </cell>
          <cell r="AC400" t="str">
            <v xml:space="preserve"> </v>
          </cell>
          <cell r="AD400" t="str">
            <v xml:space="preserve"> </v>
          </cell>
        </row>
        <row r="401">
          <cell r="AB401" t="str">
            <v xml:space="preserve"> </v>
          </cell>
          <cell r="AC401" t="str">
            <v xml:space="preserve"> </v>
          </cell>
          <cell r="AD401" t="str">
            <v xml:space="preserve"> </v>
          </cell>
        </row>
        <row r="402">
          <cell r="AB402" t="str">
            <v xml:space="preserve"> </v>
          </cell>
          <cell r="AC402" t="str">
            <v xml:space="preserve"> </v>
          </cell>
          <cell r="AD402" t="str">
            <v xml:space="preserve"> </v>
          </cell>
        </row>
        <row r="403">
          <cell r="AB403" t="str">
            <v xml:space="preserve"> </v>
          </cell>
          <cell r="AC403" t="str">
            <v xml:space="preserve"> </v>
          </cell>
          <cell r="AD403" t="str">
            <v xml:space="preserve"> </v>
          </cell>
        </row>
        <row r="404">
          <cell r="AB404" t="str">
            <v xml:space="preserve"> </v>
          </cell>
          <cell r="AC404" t="str">
            <v xml:space="preserve"> </v>
          </cell>
          <cell r="AD404" t="str">
            <v xml:space="preserve"> </v>
          </cell>
        </row>
        <row r="405">
          <cell r="AB405" t="str">
            <v xml:space="preserve"> </v>
          </cell>
          <cell r="AC405" t="str">
            <v xml:space="preserve"> </v>
          </cell>
          <cell r="AD405" t="str">
            <v xml:space="preserve"> </v>
          </cell>
        </row>
        <row r="406">
          <cell r="AB406" t="str">
            <v xml:space="preserve"> </v>
          </cell>
          <cell r="AC406" t="str">
            <v xml:space="preserve"> </v>
          </cell>
          <cell r="AD406" t="str">
            <v xml:space="preserve"> </v>
          </cell>
        </row>
        <row r="407">
          <cell r="AB407" t="str">
            <v xml:space="preserve"> </v>
          </cell>
          <cell r="AC407" t="str">
            <v xml:space="preserve"> </v>
          </cell>
          <cell r="AD407" t="str">
            <v xml:space="preserve"> </v>
          </cell>
        </row>
        <row r="408">
          <cell r="AB408" t="str">
            <v xml:space="preserve"> </v>
          </cell>
          <cell r="AC408" t="str">
            <v xml:space="preserve"> </v>
          </cell>
          <cell r="AD408" t="str">
            <v xml:space="preserve"> </v>
          </cell>
        </row>
        <row r="409">
          <cell r="AB409" t="str">
            <v xml:space="preserve"> </v>
          </cell>
          <cell r="AC409" t="str">
            <v xml:space="preserve"> </v>
          </cell>
          <cell r="AD409" t="str">
            <v xml:space="preserve"> </v>
          </cell>
        </row>
        <row r="410">
          <cell r="AB410" t="str">
            <v xml:space="preserve"> </v>
          </cell>
          <cell r="AC410" t="str">
            <v xml:space="preserve"> </v>
          </cell>
          <cell r="AD410" t="str">
            <v xml:space="preserve"> </v>
          </cell>
        </row>
        <row r="411">
          <cell r="AB411" t="str">
            <v xml:space="preserve"> </v>
          </cell>
          <cell r="AC411" t="str">
            <v xml:space="preserve"> </v>
          </cell>
          <cell r="AD411" t="str">
            <v xml:space="preserve"> </v>
          </cell>
        </row>
        <row r="412">
          <cell r="AB412" t="str">
            <v xml:space="preserve"> </v>
          </cell>
          <cell r="AC412" t="str">
            <v xml:space="preserve"> </v>
          </cell>
          <cell r="AD412" t="str">
            <v xml:space="preserve"> </v>
          </cell>
        </row>
        <row r="413">
          <cell r="AB413" t="str">
            <v xml:space="preserve"> </v>
          </cell>
          <cell r="AC413" t="str">
            <v xml:space="preserve"> </v>
          </cell>
          <cell r="AD413" t="str">
            <v xml:space="preserve"> </v>
          </cell>
        </row>
        <row r="414">
          <cell r="AB414" t="str">
            <v xml:space="preserve"> </v>
          </cell>
          <cell r="AC414" t="str">
            <v xml:space="preserve"> </v>
          </cell>
          <cell r="AD414" t="str">
            <v xml:space="preserve"> </v>
          </cell>
        </row>
        <row r="415">
          <cell r="AB415" t="str">
            <v xml:space="preserve"> </v>
          </cell>
          <cell r="AC415" t="str">
            <v xml:space="preserve"> </v>
          </cell>
          <cell r="AD415" t="str">
            <v xml:space="preserve"> </v>
          </cell>
        </row>
        <row r="416">
          <cell r="AB416" t="str">
            <v xml:space="preserve"> </v>
          </cell>
          <cell r="AC416" t="str">
            <v xml:space="preserve"> </v>
          </cell>
          <cell r="AD416" t="str">
            <v xml:space="preserve"> </v>
          </cell>
        </row>
        <row r="417">
          <cell r="AB417" t="str">
            <v xml:space="preserve"> </v>
          </cell>
          <cell r="AC417" t="str">
            <v xml:space="preserve"> </v>
          </cell>
          <cell r="AD417" t="str">
            <v xml:space="preserve"> </v>
          </cell>
        </row>
        <row r="418">
          <cell r="AB418" t="str">
            <v xml:space="preserve"> </v>
          </cell>
          <cell r="AC418" t="str">
            <v xml:space="preserve"> </v>
          </cell>
          <cell r="AD418" t="str">
            <v xml:space="preserve"> </v>
          </cell>
        </row>
        <row r="419">
          <cell r="AB419" t="str">
            <v xml:space="preserve"> </v>
          </cell>
          <cell r="AC419" t="str">
            <v xml:space="preserve"> </v>
          </cell>
          <cell r="AD419" t="str">
            <v xml:space="preserve"> </v>
          </cell>
        </row>
        <row r="420">
          <cell r="AB420" t="str">
            <v xml:space="preserve"> </v>
          </cell>
          <cell r="AC420" t="str">
            <v xml:space="preserve"> </v>
          </cell>
          <cell r="AD420" t="str">
            <v xml:space="preserve"> </v>
          </cell>
        </row>
        <row r="421">
          <cell r="AB421" t="str">
            <v xml:space="preserve"> </v>
          </cell>
          <cell r="AC421" t="str">
            <v xml:space="preserve"> </v>
          </cell>
          <cell r="AD421" t="str">
            <v xml:space="preserve"> </v>
          </cell>
        </row>
        <row r="422">
          <cell r="AB422" t="str">
            <v xml:space="preserve"> </v>
          </cell>
          <cell r="AC422" t="str">
            <v xml:space="preserve"> </v>
          </cell>
          <cell r="AD422" t="str">
            <v xml:space="preserve"> </v>
          </cell>
        </row>
        <row r="423">
          <cell r="AB423" t="str">
            <v xml:space="preserve"> </v>
          </cell>
          <cell r="AC423" t="str">
            <v xml:space="preserve"> </v>
          </cell>
          <cell r="AD423" t="str">
            <v xml:space="preserve"> </v>
          </cell>
        </row>
        <row r="424">
          <cell r="AB424" t="str">
            <v xml:space="preserve"> </v>
          </cell>
          <cell r="AC424" t="str">
            <v xml:space="preserve"> </v>
          </cell>
          <cell r="AD424" t="str">
            <v xml:space="preserve"> </v>
          </cell>
        </row>
        <row r="425">
          <cell r="AB425" t="str">
            <v xml:space="preserve"> </v>
          </cell>
          <cell r="AC425" t="str">
            <v xml:space="preserve"> </v>
          </cell>
          <cell r="AD425" t="str">
            <v xml:space="preserve"> </v>
          </cell>
        </row>
        <row r="426">
          <cell r="AB426" t="str">
            <v xml:space="preserve"> </v>
          </cell>
          <cell r="AC426" t="str">
            <v xml:space="preserve"> </v>
          </cell>
          <cell r="AD426" t="str">
            <v xml:space="preserve"> </v>
          </cell>
        </row>
        <row r="427">
          <cell r="AB427" t="str">
            <v xml:space="preserve"> </v>
          </cell>
          <cell r="AC427" t="str">
            <v xml:space="preserve"> </v>
          </cell>
          <cell r="AD427" t="str">
            <v xml:space="preserve"> </v>
          </cell>
        </row>
        <row r="428">
          <cell r="AB428" t="str">
            <v xml:space="preserve"> </v>
          </cell>
          <cell r="AC428" t="str">
            <v xml:space="preserve"> </v>
          </cell>
          <cell r="AD428" t="str">
            <v xml:space="preserve"> </v>
          </cell>
        </row>
        <row r="429">
          <cell r="AB429" t="str">
            <v xml:space="preserve"> </v>
          </cell>
          <cell r="AC429" t="str">
            <v xml:space="preserve"> </v>
          </cell>
          <cell r="AD429" t="str">
            <v xml:space="preserve"> </v>
          </cell>
        </row>
        <row r="430">
          <cell r="AB430" t="str">
            <v xml:space="preserve"> </v>
          </cell>
          <cell r="AC430" t="str">
            <v xml:space="preserve"> </v>
          </cell>
          <cell r="AD430" t="str">
            <v xml:space="preserve"> </v>
          </cell>
        </row>
        <row r="431">
          <cell r="AB431" t="str">
            <v xml:space="preserve"> </v>
          </cell>
          <cell r="AC431" t="str">
            <v xml:space="preserve"> </v>
          </cell>
          <cell r="AD431" t="str">
            <v xml:space="preserve"> </v>
          </cell>
        </row>
        <row r="432">
          <cell r="AB432" t="str">
            <v xml:space="preserve"> </v>
          </cell>
          <cell r="AC432" t="str">
            <v xml:space="preserve"> </v>
          </cell>
          <cell r="AD432" t="str">
            <v xml:space="preserve"> </v>
          </cell>
        </row>
        <row r="433">
          <cell r="AB433" t="str">
            <v xml:space="preserve"> </v>
          </cell>
          <cell r="AC433" t="str">
            <v xml:space="preserve"> </v>
          </cell>
          <cell r="AD433" t="str">
            <v xml:space="preserve"> </v>
          </cell>
        </row>
        <row r="434">
          <cell r="AB434" t="str">
            <v xml:space="preserve"> </v>
          </cell>
          <cell r="AC434" t="str">
            <v xml:space="preserve"> </v>
          </cell>
          <cell r="AD434" t="str">
            <v xml:space="preserve"> </v>
          </cell>
        </row>
        <row r="435">
          <cell r="AB435" t="str">
            <v xml:space="preserve"> </v>
          </cell>
          <cell r="AC435" t="str">
            <v xml:space="preserve"> </v>
          </cell>
          <cell r="AD435" t="str">
            <v xml:space="preserve"> </v>
          </cell>
        </row>
        <row r="436">
          <cell r="AB436" t="str">
            <v xml:space="preserve"> </v>
          </cell>
          <cell r="AC436" t="str">
            <v xml:space="preserve"> </v>
          </cell>
          <cell r="AD436" t="str">
            <v xml:space="preserve"> </v>
          </cell>
        </row>
        <row r="437">
          <cell r="AB437" t="str">
            <v xml:space="preserve"> </v>
          </cell>
          <cell r="AC437" t="str">
            <v xml:space="preserve"> </v>
          </cell>
          <cell r="AD437" t="str">
            <v xml:space="preserve"> </v>
          </cell>
        </row>
        <row r="438">
          <cell r="AB438" t="str">
            <v xml:space="preserve"> </v>
          </cell>
          <cell r="AC438" t="str">
            <v xml:space="preserve"> </v>
          </cell>
          <cell r="AD438" t="str">
            <v xml:space="preserve"> </v>
          </cell>
        </row>
        <row r="439">
          <cell r="AB439" t="str">
            <v xml:space="preserve"> </v>
          </cell>
          <cell r="AC439" t="str">
            <v xml:space="preserve"> </v>
          </cell>
          <cell r="AD439" t="str">
            <v xml:space="preserve"> </v>
          </cell>
        </row>
        <row r="440">
          <cell r="AB440" t="str">
            <v xml:space="preserve"> </v>
          </cell>
          <cell r="AC440" t="str">
            <v xml:space="preserve"> </v>
          </cell>
          <cell r="AD440" t="str">
            <v xml:space="preserve"> </v>
          </cell>
        </row>
        <row r="441">
          <cell r="AB441" t="str">
            <v xml:space="preserve"> </v>
          </cell>
          <cell r="AC441" t="str">
            <v xml:space="preserve"> </v>
          </cell>
          <cell r="AD441" t="str">
            <v xml:space="preserve"> </v>
          </cell>
        </row>
        <row r="442">
          <cell r="AB442" t="str">
            <v xml:space="preserve"> </v>
          </cell>
          <cell r="AC442" t="str">
            <v xml:space="preserve"> </v>
          </cell>
          <cell r="AD442" t="str">
            <v xml:space="preserve"> </v>
          </cell>
        </row>
        <row r="443">
          <cell r="AB443" t="str">
            <v xml:space="preserve"> </v>
          </cell>
          <cell r="AC443" t="str">
            <v xml:space="preserve"> </v>
          </cell>
          <cell r="AD443" t="str">
            <v xml:space="preserve"> </v>
          </cell>
        </row>
        <row r="444">
          <cell r="AB444" t="str">
            <v xml:space="preserve"> </v>
          </cell>
          <cell r="AC444" t="str">
            <v xml:space="preserve"> </v>
          </cell>
          <cell r="AD444" t="str">
            <v xml:space="preserve"> </v>
          </cell>
        </row>
        <row r="445">
          <cell r="AB445" t="str">
            <v xml:space="preserve"> </v>
          </cell>
          <cell r="AC445" t="str">
            <v xml:space="preserve"> </v>
          </cell>
          <cell r="AD445" t="str">
            <v xml:space="preserve"> </v>
          </cell>
        </row>
        <row r="446">
          <cell r="AB446" t="str">
            <v xml:space="preserve"> </v>
          </cell>
          <cell r="AC446" t="str">
            <v xml:space="preserve"> </v>
          </cell>
          <cell r="AD446" t="str">
            <v xml:space="preserve"> </v>
          </cell>
        </row>
        <row r="447">
          <cell r="AB447" t="str">
            <v xml:space="preserve"> </v>
          </cell>
          <cell r="AC447" t="str">
            <v xml:space="preserve"> </v>
          </cell>
          <cell r="AD447" t="str">
            <v xml:space="preserve"> </v>
          </cell>
        </row>
        <row r="448">
          <cell r="AB448" t="str">
            <v xml:space="preserve"> </v>
          </cell>
          <cell r="AC448" t="str">
            <v xml:space="preserve"> </v>
          </cell>
          <cell r="AD448" t="str">
            <v xml:space="preserve"> </v>
          </cell>
        </row>
        <row r="449">
          <cell r="AB449" t="str">
            <v xml:space="preserve"> </v>
          </cell>
          <cell r="AC449" t="str">
            <v xml:space="preserve"> </v>
          </cell>
          <cell r="AD449" t="str">
            <v xml:space="preserve"> </v>
          </cell>
        </row>
        <row r="450">
          <cell r="AB450" t="str">
            <v xml:space="preserve"> </v>
          </cell>
          <cell r="AC450" t="str">
            <v xml:space="preserve"> </v>
          </cell>
          <cell r="AD450" t="str">
            <v xml:space="preserve"> </v>
          </cell>
        </row>
        <row r="451">
          <cell r="AB451" t="str">
            <v xml:space="preserve"> </v>
          </cell>
          <cell r="AC451" t="str">
            <v xml:space="preserve"> </v>
          </cell>
          <cell r="AD451" t="str">
            <v xml:space="preserve"> </v>
          </cell>
        </row>
        <row r="452">
          <cell r="AB452" t="str">
            <v xml:space="preserve"> </v>
          </cell>
          <cell r="AC452" t="str">
            <v xml:space="preserve"> </v>
          </cell>
          <cell r="AD452" t="str">
            <v xml:space="preserve"> </v>
          </cell>
        </row>
        <row r="453">
          <cell r="AB453" t="str">
            <v xml:space="preserve"> </v>
          </cell>
          <cell r="AC453" t="str">
            <v xml:space="preserve"> </v>
          </cell>
          <cell r="AD453" t="str">
            <v xml:space="preserve"> </v>
          </cell>
        </row>
        <row r="454">
          <cell r="AB454" t="str">
            <v xml:space="preserve"> </v>
          </cell>
          <cell r="AC454" t="str">
            <v xml:space="preserve"> </v>
          </cell>
          <cell r="AD454" t="str">
            <v xml:space="preserve"> </v>
          </cell>
        </row>
        <row r="455">
          <cell r="AB455" t="str">
            <v xml:space="preserve"> </v>
          </cell>
          <cell r="AC455" t="str">
            <v xml:space="preserve"> </v>
          </cell>
          <cell r="AD455" t="str">
            <v xml:space="preserve"> </v>
          </cell>
        </row>
        <row r="456">
          <cell r="AB456" t="str">
            <v xml:space="preserve"> </v>
          </cell>
          <cell r="AC456" t="str">
            <v xml:space="preserve"> </v>
          </cell>
          <cell r="AD456" t="str">
            <v xml:space="preserve"> </v>
          </cell>
        </row>
        <row r="457">
          <cell r="AB457" t="str">
            <v xml:space="preserve"> </v>
          </cell>
          <cell r="AC457" t="str">
            <v xml:space="preserve"> </v>
          </cell>
          <cell r="AD457" t="str">
            <v xml:space="preserve"> </v>
          </cell>
        </row>
        <row r="458">
          <cell r="AB458" t="str">
            <v xml:space="preserve"> </v>
          </cell>
          <cell r="AC458" t="str">
            <v xml:space="preserve"> </v>
          </cell>
          <cell r="AD458" t="str">
            <v xml:space="preserve"> </v>
          </cell>
        </row>
        <row r="459">
          <cell r="AB459" t="str">
            <v xml:space="preserve"> </v>
          </cell>
          <cell r="AC459" t="str">
            <v xml:space="preserve"> </v>
          </cell>
          <cell r="AD459" t="str">
            <v xml:space="preserve"> </v>
          </cell>
        </row>
        <row r="460">
          <cell r="AB460" t="str">
            <v xml:space="preserve"> </v>
          </cell>
          <cell r="AC460" t="str">
            <v xml:space="preserve"> </v>
          </cell>
          <cell r="AD460" t="str">
            <v xml:space="preserve"> </v>
          </cell>
        </row>
        <row r="461">
          <cell r="AB461" t="str">
            <v xml:space="preserve"> </v>
          </cell>
          <cell r="AC461" t="str">
            <v xml:space="preserve"> </v>
          </cell>
          <cell r="AD461" t="str">
            <v xml:space="preserve"> </v>
          </cell>
        </row>
        <row r="462">
          <cell r="AB462" t="str">
            <v xml:space="preserve"> </v>
          </cell>
          <cell r="AC462" t="str">
            <v xml:space="preserve"> </v>
          </cell>
          <cell r="AD462" t="str">
            <v xml:space="preserve"> </v>
          </cell>
        </row>
        <row r="463">
          <cell r="AB463" t="str">
            <v xml:space="preserve"> </v>
          </cell>
          <cell r="AC463" t="str">
            <v xml:space="preserve"> </v>
          </cell>
          <cell r="AD463" t="str">
            <v xml:space="preserve"> </v>
          </cell>
        </row>
        <row r="464">
          <cell r="AB464" t="str">
            <v xml:space="preserve"> </v>
          </cell>
          <cell r="AC464" t="str">
            <v xml:space="preserve"> </v>
          </cell>
          <cell r="AD464" t="str">
            <v xml:space="preserve"> </v>
          </cell>
        </row>
        <row r="465">
          <cell r="AB465" t="str">
            <v xml:space="preserve"> </v>
          </cell>
          <cell r="AC465" t="str">
            <v xml:space="preserve"> </v>
          </cell>
          <cell r="AD465" t="str">
            <v xml:space="preserve"> </v>
          </cell>
        </row>
        <row r="466">
          <cell r="AB466" t="str">
            <v xml:space="preserve"> </v>
          </cell>
          <cell r="AC466" t="str">
            <v xml:space="preserve"> </v>
          </cell>
          <cell r="AD466" t="str">
            <v xml:space="preserve"> </v>
          </cell>
        </row>
        <row r="467">
          <cell r="AB467" t="str">
            <v xml:space="preserve"> </v>
          </cell>
          <cell r="AC467" t="str">
            <v xml:space="preserve"> </v>
          </cell>
          <cell r="AD467" t="str">
            <v xml:space="preserve"> </v>
          </cell>
        </row>
        <row r="468">
          <cell r="AB468" t="str">
            <v xml:space="preserve"> </v>
          </cell>
          <cell r="AC468" t="str">
            <v xml:space="preserve"> </v>
          </cell>
          <cell r="AD468" t="str">
            <v xml:space="preserve"> </v>
          </cell>
        </row>
        <row r="469">
          <cell r="AB469" t="str">
            <v xml:space="preserve"> </v>
          </cell>
          <cell r="AC469" t="str">
            <v xml:space="preserve"> </v>
          </cell>
          <cell r="AD469" t="str">
            <v xml:space="preserve"> </v>
          </cell>
        </row>
        <row r="470">
          <cell r="AB470" t="str">
            <v xml:space="preserve"> </v>
          </cell>
          <cell r="AC470" t="str">
            <v xml:space="preserve"> </v>
          </cell>
          <cell r="AD470" t="str">
            <v xml:space="preserve"> </v>
          </cell>
        </row>
        <row r="471">
          <cell r="AB471" t="str">
            <v xml:space="preserve"> </v>
          </cell>
          <cell r="AC471" t="str">
            <v xml:space="preserve"> </v>
          </cell>
          <cell r="AD471" t="str">
            <v xml:space="preserve"> </v>
          </cell>
        </row>
        <row r="472">
          <cell r="AB472" t="str">
            <v xml:space="preserve"> </v>
          </cell>
          <cell r="AC472" t="str">
            <v xml:space="preserve"> </v>
          </cell>
          <cell r="AD472" t="str">
            <v xml:space="preserve"> </v>
          </cell>
        </row>
        <row r="473">
          <cell r="AB473" t="str">
            <v xml:space="preserve"> </v>
          </cell>
          <cell r="AC473" t="str">
            <v xml:space="preserve"> </v>
          </cell>
          <cell r="AD473" t="str">
            <v xml:space="preserve"> </v>
          </cell>
        </row>
        <row r="474">
          <cell r="AB474" t="str">
            <v xml:space="preserve"> </v>
          </cell>
          <cell r="AC474" t="str">
            <v xml:space="preserve"> </v>
          </cell>
          <cell r="AD474" t="str">
            <v xml:space="preserve"> </v>
          </cell>
        </row>
        <row r="475">
          <cell r="AB475" t="str">
            <v xml:space="preserve"> </v>
          </cell>
          <cell r="AC475" t="str">
            <v xml:space="preserve"> </v>
          </cell>
          <cell r="AD475" t="str">
            <v xml:space="preserve"> </v>
          </cell>
        </row>
        <row r="476">
          <cell r="AB476" t="str">
            <v xml:space="preserve"> </v>
          </cell>
          <cell r="AC476" t="str">
            <v xml:space="preserve"> </v>
          </cell>
          <cell r="AD476" t="str">
            <v xml:space="preserve"> </v>
          </cell>
        </row>
        <row r="477">
          <cell r="AB477" t="str">
            <v xml:space="preserve"> </v>
          </cell>
          <cell r="AC477" t="str">
            <v xml:space="preserve"> </v>
          </cell>
          <cell r="AD477" t="str">
            <v xml:space="preserve"> </v>
          </cell>
        </row>
        <row r="478">
          <cell r="AB478" t="str">
            <v xml:space="preserve"> </v>
          </cell>
          <cell r="AC478" t="str">
            <v xml:space="preserve"> </v>
          </cell>
          <cell r="AD478" t="str">
            <v xml:space="preserve"> </v>
          </cell>
        </row>
        <row r="479">
          <cell r="AB479" t="str">
            <v xml:space="preserve"> </v>
          </cell>
          <cell r="AC479" t="str">
            <v xml:space="preserve"> </v>
          </cell>
          <cell r="AD479" t="str">
            <v xml:space="preserve"> </v>
          </cell>
        </row>
        <row r="480">
          <cell r="AB480" t="str">
            <v xml:space="preserve"> </v>
          </cell>
          <cell r="AC480" t="str">
            <v xml:space="preserve"> </v>
          </cell>
          <cell r="AD480" t="str">
            <v xml:space="preserve"> </v>
          </cell>
        </row>
        <row r="481">
          <cell r="AB481" t="str">
            <v xml:space="preserve"> </v>
          </cell>
          <cell r="AC481" t="str">
            <v xml:space="preserve"> </v>
          </cell>
          <cell r="AD481" t="str">
            <v xml:space="preserve"> </v>
          </cell>
        </row>
        <row r="482">
          <cell r="AB482" t="str">
            <v xml:space="preserve"> </v>
          </cell>
          <cell r="AC482" t="str">
            <v xml:space="preserve"> </v>
          </cell>
          <cell r="AD482" t="str">
            <v xml:space="preserve"> </v>
          </cell>
        </row>
        <row r="483">
          <cell r="AB483" t="str">
            <v xml:space="preserve"> </v>
          </cell>
          <cell r="AC483" t="str">
            <v xml:space="preserve"> </v>
          </cell>
          <cell r="AD483" t="str">
            <v xml:space="preserve"> </v>
          </cell>
        </row>
        <row r="484">
          <cell r="AB484" t="str">
            <v xml:space="preserve"> </v>
          </cell>
          <cell r="AC484" t="str">
            <v xml:space="preserve"> </v>
          </cell>
          <cell r="AD484" t="str">
            <v xml:space="preserve"> </v>
          </cell>
        </row>
        <row r="485">
          <cell r="AB485" t="str">
            <v xml:space="preserve"> </v>
          </cell>
          <cell r="AC485" t="str">
            <v xml:space="preserve"> </v>
          </cell>
          <cell r="AD485" t="str">
            <v xml:space="preserve"> </v>
          </cell>
        </row>
        <row r="486">
          <cell r="AB486" t="str">
            <v xml:space="preserve"> </v>
          </cell>
          <cell r="AC486" t="str">
            <v xml:space="preserve"> </v>
          </cell>
          <cell r="AD486" t="str">
            <v xml:space="preserve"> </v>
          </cell>
        </row>
        <row r="487">
          <cell r="AB487" t="str">
            <v xml:space="preserve"> </v>
          </cell>
          <cell r="AC487" t="str">
            <v xml:space="preserve"> </v>
          </cell>
          <cell r="AD487" t="str">
            <v xml:space="preserve"> </v>
          </cell>
        </row>
        <row r="488">
          <cell r="AB488" t="str">
            <v xml:space="preserve"> </v>
          </cell>
          <cell r="AC488" t="str">
            <v xml:space="preserve"> </v>
          </cell>
          <cell r="AD488" t="str">
            <v xml:space="preserve"> </v>
          </cell>
        </row>
        <row r="489">
          <cell r="AB489" t="str">
            <v xml:space="preserve"> </v>
          </cell>
          <cell r="AC489" t="str">
            <v xml:space="preserve"> </v>
          </cell>
          <cell r="AD489" t="str">
            <v xml:space="preserve"> </v>
          </cell>
        </row>
        <row r="490">
          <cell r="AB490" t="str">
            <v xml:space="preserve"> </v>
          </cell>
          <cell r="AC490" t="str">
            <v xml:space="preserve"> </v>
          </cell>
          <cell r="AD490" t="str">
            <v xml:space="preserve"> </v>
          </cell>
        </row>
        <row r="491">
          <cell r="AB491" t="str">
            <v xml:space="preserve"> </v>
          </cell>
          <cell r="AC491" t="str">
            <v xml:space="preserve"> </v>
          </cell>
          <cell r="AD491" t="str">
            <v xml:space="preserve"> </v>
          </cell>
        </row>
        <row r="492">
          <cell r="AB492" t="str">
            <v xml:space="preserve"> </v>
          </cell>
          <cell r="AC492" t="str">
            <v xml:space="preserve"> </v>
          </cell>
          <cell r="AD492" t="str">
            <v xml:space="preserve"> </v>
          </cell>
        </row>
        <row r="493">
          <cell r="AB493" t="str">
            <v xml:space="preserve"> </v>
          </cell>
          <cell r="AC493" t="str">
            <v xml:space="preserve"> </v>
          </cell>
          <cell r="AD493" t="str">
            <v xml:space="preserve"> </v>
          </cell>
        </row>
        <row r="494">
          <cell r="AB494" t="str">
            <v xml:space="preserve"> </v>
          </cell>
          <cell r="AC494" t="str">
            <v xml:space="preserve"> </v>
          </cell>
          <cell r="AD494" t="str">
            <v xml:space="preserve"> </v>
          </cell>
        </row>
        <row r="495">
          <cell r="AB495" t="str">
            <v xml:space="preserve"> </v>
          </cell>
          <cell r="AC495" t="str">
            <v xml:space="preserve"> </v>
          </cell>
          <cell r="AD495" t="str">
            <v xml:space="preserve"> </v>
          </cell>
        </row>
        <row r="496">
          <cell r="AB496" t="str">
            <v xml:space="preserve"> </v>
          </cell>
          <cell r="AC496" t="str">
            <v xml:space="preserve"> </v>
          </cell>
          <cell r="AD496" t="str">
            <v xml:space="preserve"> </v>
          </cell>
        </row>
        <row r="497">
          <cell r="AB497" t="str">
            <v xml:space="preserve"> </v>
          </cell>
          <cell r="AC497" t="str">
            <v xml:space="preserve"> </v>
          </cell>
          <cell r="AD497" t="str">
            <v xml:space="preserve"> </v>
          </cell>
        </row>
        <row r="498">
          <cell r="AB498" t="str">
            <v xml:space="preserve"> </v>
          </cell>
          <cell r="AC498" t="str">
            <v xml:space="preserve"> </v>
          </cell>
          <cell r="AD498" t="str">
            <v xml:space="preserve"> </v>
          </cell>
        </row>
        <row r="499">
          <cell r="AB499" t="str">
            <v xml:space="preserve"> </v>
          </cell>
          <cell r="AC499" t="str">
            <v xml:space="preserve"> </v>
          </cell>
          <cell r="AD499" t="str">
            <v xml:space="preserve"> </v>
          </cell>
        </row>
        <row r="500">
          <cell r="AB500" t="str">
            <v xml:space="preserve"> </v>
          </cell>
          <cell r="AC500" t="str">
            <v xml:space="preserve"> </v>
          </cell>
          <cell r="AD500" t="str">
            <v xml:space="preserve"> </v>
          </cell>
        </row>
        <row r="501">
          <cell r="AB501" t="str">
            <v xml:space="preserve"> </v>
          </cell>
          <cell r="AC501" t="str">
            <v xml:space="preserve"> </v>
          </cell>
          <cell r="AD501" t="str">
            <v xml:space="preserve"> </v>
          </cell>
        </row>
        <row r="502">
          <cell r="AB502" t="str">
            <v xml:space="preserve"> </v>
          </cell>
          <cell r="AC502" t="str">
            <v xml:space="preserve"> </v>
          </cell>
          <cell r="AD502" t="str">
            <v xml:space="preserve"> </v>
          </cell>
        </row>
        <row r="503">
          <cell r="AB503" t="str">
            <v xml:space="preserve"> </v>
          </cell>
          <cell r="AC503" t="str">
            <v xml:space="preserve"> </v>
          </cell>
          <cell r="AD503" t="str">
            <v xml:space="preserve"> </v>
          </cell>
        </row>
        <row r="504">
          <cell r="AB504" t="str">
            <v xml:space="preserve"> </v>
          </cell>
          <cell r="AC504" t="str">
            <v xml:space="preserve"> </v>
          </cell>
          <cell r="AD504" t="str">
            <v xml:space="preserve"> </v>
          </cell>
        </row>
        <row r="505">
          <cell r="AB505" t="str">
            <v xml:space="preserve"> </v>
          </cell>
          <cell r="AC505" t="str">
            <v xml:space="preserve"> </v>
          </cell>
          <cell r="AD505" t="str">
            <v xml:space="preserve"> </v>
          </cell>
        </row>
        <row r="506">
          <cell r="AB506" t="str">
            <v xml:space="preserve"> </v>
          </cell>
          <cell r="AC506" t="str">
            <v xml:space="preserve"> </v>
          </cell>
          <cell r="AD506" t="str">
            <v xml:space="preserve"> </v>
          </cell>
        </row>
        <row r="507">
          <cell r="AB507" t="str">
            <v xml:space="preserve"> </v>
          </cell>
          <cell r="AC507" t="str">
            <v xml:space="preserve"> </v>
          </cell>
          <cell r="AD507" t="str">
            <v xml:space="preserve"> </v>
          </cell>
        </row>
        <row r="508">
          <cell r="AB508" t="str">
            <v xml:space="preserve"> </v>
          </cell>
          <cell r="AC508" t="str">
            <v xml:space="preserve"> </v>
          </cell>
          <cell r="AD508" t="str">
            <v xml:space="preserve"> </v>
          </cell>
        </row>
        <row r="509">
          <cell r="AB509" t="str">
            <v xml:space="preserve"> </v>
          </cell>
          <cell r="AC509" t="str">
            <v xml:space="preserve"> </v>
          </cell>
          <cell r="AD509" t="str">
            <v xml:space="preserve"> </v>
          </cell>
        </row>
        <row r="510">
          <cell r="AB510" t="str">
            <v xml:space="preserve"> </v>
          </cell>
          <cell r="AC510" t="str">
            <v xml:space="preserve"> </v>
          </cell>
          <cell r="AD510" t="str">
            <v xml:space="preserve"> </v>
          </cell>
        </row>
        <row r="511">
          <cell r="AB511" t="str">
            <v xml:space="preserve"> </v>
          </cell>
          <cell r="AC511" t="str">
            <v xml:space="preserve"> </v>
          </cell>
          <cell r="AD511" t="str">
            <v xml:space="preserve"> </v>
          </cell>
        </row>
        <row r="512">
          <cell r="AB512" t="str">
            <v xml:space="preserve"> </v>
          </cell>
          <cell r="AC512" t="str">
            <v xml:space="preserve"> </v>
          </cell>
          <cell r="AD512" t="str">
            <v xml:space="preserve"> </v>
          </cell>
        </row>
        <row r="513">
          <cell r="AB513" t="str">
            <v xml:space="preserve"> </v>
          </cell>
          <cell r="AC513" t="str">
            <v xml:space="preserve"> </v>
          </cell>
          <cell r="AD513" t="str">
            <v xml:space="preserve"> </v>
          </cell>
        </row>
        <row r="514">
          <cell r="AB514" t="str">
            <v xml:space="preserve"> </v>
          </cell>
          <cell r="AC514" t="str">
            <v xml:space="preserve"> </v>
          </cell>
          <cell r="AD514" t="str">
            <v xml:space="preserve"> </v>
          </cell>
        </row>
        <row r="515">
          <cell r="AB515" t="str">
            <v xml:space="preserve"> </v>
          </cell>
          <cell r="AC515" t="str">
            <v xml:space="preserve"> </v>
          </cell>
          <cell r="AD515" t="str">
            <v xml:space="preserve"> </v>
          </cell>
        </row>
        <row r="516">
          <cell r="AB516" t="str">
            <v xml:space="preserve"> </v>
          </cell>
          <cell r="AC516" t="str">
            <v xml:space="preserve"> </v>
          </cell>
          <cell r="AD516" t="str">
            <v xml:space="preserve"> </v>
          </cell>
        </row>
        <row r="517">
          <cell r="AB517" t="str">
            <v xml:space="preserve"> </v>
          </cell>
          <cell r="AC517" t="str">
            <v xml:space="preserve"> </v>
          </cell>
          <cell r="AD517" t="str">
            <v xml:space="preserve"> </v>
          </cell>
        </row>
        <row r="518">
          <cell r="AB518" t="str">
            <v xml:space="preserve"> </v>
          </cell>
          <cell r="AC518" t="str">
            <v xml:space="preserve"> </v>
          </cell>
          <cell r="AD518" t="str">
            <v xml:space="preserve"> </v>
          </cell>
        </row>
        <row r="519">
          <cell r="AB519" t="str">
            <v xml:space="preserve"> </v>
          </cell>
          <cell r="AC519" t="str">
            <v xml:space="preserve"> </v>
          </cell>
          <cell r="AD519" t="str">
            <v xml:space="preserve"> </v>
          </cell>
        </row>
        <row r="520">
          <cell r="AB520" t="str">
            <v xml:space="preserve"> </v>
          </cell>
          <cell r="AC520" t="str">
            <v xml:space="preserve"> </v>
          </cell>
          <cell r="AD520" t="str">
            <v xml:space="preserve"> </v>
          </cell>
        </row>
        <row r="521">
          <cell r="AB521" t="str">
            <v xml:space="preserve"> </v>
          </cell>
          <cell r="AC521" t="str">
            <v xml:space="preserve"> </v>
          </cell>
          <cell r="AD521" t="str">
            <v xml:space="preserve"> </v>
          </cell>
        </row>
        <row r="522">
          <cell r="AB522" t="str">
            <v xml:space="preserve"> </v>
          </cell>
          <cell r="AC522" t="str">
            <v xml:space="preserve"> </v>
          </cell>
          <cell r="AD522" t="str">
            <v xml:space="preserve"> </v>
          </cell>
        </row>
        <row r="523">
          <cell r="AB523" t="str">
            <v xml:space="preserve"> </v>
          </cell>
          <cell r="AC523" t="str">
            <v xml:space="preserve"> </v>
          </cell>
          <cell r="AD523" t="str">
            <v xml:space="preserve"> </v>
          </cell>
        </row>
        <row r="524">
          <cell r="AB524" t="str">
            <v xml:space="preserve"> </v>
          </cell>
          <cell r="AC524" t="str">
            <v xml:space="preserve"> </v>
          </cell>
          <cell r="AD524" t="str">
            <v xml:space="preserve"> </v>
          </cell>
        </row>
        <row r="525">
          <cell r="AB525" t="str">
            <v xml:space="preserve"> </v>
          </cell>
          <cell r="AC525" t="str">
            <v xml:space="preserve"> </v>
          </cell>
          <cell r="AD525" t="str">
            <v xml:space="preserve"> </v>
          </cell>
        </row>
        <row r="526">
          <cell r="AB526" t="str">
            <v xml:space="preserve"> </v>
          </cell>
          <cell r="AC526" t="str">
            <v xml:space="preserve"> </v>
          </cell>
          <cell r="AD526" t="str">
            <v xml:space="preserve"> </v>
          </cell>
        </row>
        <row r="527">
          <cell r="AB527" t="str">
            <v xml:space="preserve"> </v>
          </cell>
          <cell r="AC527" t="str">
            <v xml:space="preserve"> </v>
          </cell>
          <cell r="AD527" t="str">
            <v xml:space="preserve"> </v>
          </cell>
        </row>
        <row r="528">
          <cell r="AB528" t="str">
            <v xml:space="preserve"> </v>
          </cell>
          <cell r="AC528" t="str">
            <v xml:space="preserve"> </v>
          </cell>
          <cell r="AD528" t="str">
            <v xml:space="preserve"> </v>
          </cell>
        </row>
        <row r="529">
          <cell r="AB529" t="str">
            <v xml:space="preserve"> </v>
          </cell>
          <cell r="AC529" t="str">
            <v xml:space="preserve"> </v>
          </cell>
          <cell r="AD529" t="str">
            <v xml:space="preserve"> </v>
          </cell>
        </row>
        <row r="530">
          <cell r="AB530" t="str">
            <v xml:space="preserve"> </v>
          </cell>
          <cell r="AC530" t="str">
            <v xml:space="preserve"> </v>
          </cell>
          <cell r="AD530" t="str">
            <v xml:space="preserve"> </v>
          </cell>
        </row>
        <row r="531">
          <cell r="AB531" t="str">
            <v xml:space="preserve"> </v>
          </cell>
          <cell r="AC531" t="str">
            <v xml:space="preserve"> </v>
          </cell>
          <cell r="AD531" t="str">
            <v xml:space="preserve"> </v>
          </cell>
        </row>
        <row r="532">
          <cell r="AB532" t="str">
            <v xml:space="preserve"> </v>
          </cell>
          <cell r="AC532" t="str">
            <v xml:space="preserve"> </v>
          </cell>
          <cell r="AD532" t="str">
            <v xml:space="preserve"> </v>
          </cell>
        </row>
        <row r="533">
          <cell r="AB533" t="str">
            <v xml:space="preserve"> </v>
          </cell>
          <cell r="AC533" t="str">
            <v xml:space="preserve"> </v>
          </cell>
          <cell r="AD533" t="str">
            <v xml:space="preserve"> </v>
          </cell>
        </row>
        <row r="534">
          <cell r="AB534" t="str">
            <v xml:space="preserve"> </v>
          </cell>
          <cell r="AC534" t="str">
            <v xml:space="preserve"> </v>
          </cell>
          <cell r="AD534" t="str">
            <v xml:space="preserve"> </v>
          </cell>
        </row>
        <row r="535">
          <cell r="AB535" t="str">
            <v xml:space="preserve"> </v>
          </cell>
          <cell r="AC535" t="str">
            <v xml:space="preserve"> </v>
          </cell>
          <cell r="AD535" t="str">
            <v xml:space="preserve"> </v>
          </cell>
        </row>
        <row r="536">
          <cell r="AB536" t="str">
            <v xml:space="preserve"> </v>
          </cell>
          <cell r="AC536" t="str">
            <v xml:space="preserve"> </v>
          </cell>
          <cell r="AD536" t="str">
            <v xml:space="preserve"> </v>
          </cell>
        </row>
        <row r="537">
          <cell r="AB537" t="str">
            <v xml:space="preserve"> </v>
          </cell>
          <cell r="AC537" t="str">
            <v xml:space="preserve"> </v>
          </cell>
          <cell r="AD537" t="str">
            <v xml:space="preserve"> </v>
          </cell>
        </row>
        <row r="538">
          <cell r="AB538" t="str">
            <v xml:space="preserve"> </v>
          </cell>
          <cell r="AC538" t="str">
            <v xml:space="preserve"> </v>
          </cell>
          <cell r="AD538" t="str">
            <v xml:space="preserve"> </v>
          </cell>
        </row>
        <row r="539">
          <cell r="AB539" t="str">
            <v xml:space="preserve"> </v>
          </cell>
          <cell r="AC539" t="str">
            <v xml:space="preserve"> </v>
          </cell>
          <cell r="AD539" t="str">
            <v xml:space="preserve"> </v>
          </cell>
        </row>
        <row r="540">
          <cell r="AB540" t="str">
            <v xml:space="preserve"> </v>
          </cell>
          <cell r="AC540" t="str">
            <v xml:space="preserve"> </v>
          </cell>
          <cell r="AD540" t="str">
            <v xml:space="preserve"> </v>
          </cell>
        </row>
        <row r="541">
          <cell r="AB541" t="str">
            <v xml:space="preserve"> </v>
          </cell>
          <cell r="AC541" t="str">
            <v xml:space="preserve"> </v>
          </cell>
          <cell r="AD541" t="str">
            <v xml:space="preserve"> </v>
          </cell>
        </row>
        <row r="542">
          <cell r="AB542" t="str">
            <v xml:space="preserve"> </v>
          </cell>
          <cell r="AC542" t="str">
            <v xml:space="preserve"> </v>
          </cell>
          <cell r="AD542" t="str">
            <v xml:space="preserve"> </v>
          </cell>
        </row>
        <row r="543">
          <cell r="AB543" t="str">
            <v xml:space="preserve"> </v>
          </cell>
          <cell r="AC543" t="str">
            <v xml:space="preserve"> </v>
          </cell>
          <cell r="AD543" t="str">
            <v xml:space="preserve"> </v>
          </cell>
        </row>
        <row r="544">
          <cell r="AB544" t="str">
            <v xml:space="preserve"> </v>
          </cell>
          <cell r="AC544" t="str">
            <v xml:space="preserve"> </v>
          </cell>
          <cell r="AD544" t="str">
            <v xml:space="preserve"> </v>
          </cell>
        </row>
        <row r="545">
          <cell r="AB545" t="str">
            <v xml:space="preserve"> </v>
          </cell>
          <cell r="AC545" t="str">
            <v xml:space="preserve"> </v>
          </cell>
          <cell r="AD545" t="str">
            <v xml:space="preserve"> </v>
          </cell>
        </row>
        <row r="546">
          <cell r="AB546" t="str">
            <v xml:space="preserve"> </v>
          </cell>
          <cell r="AC546" t="str">
            <v xml:space="preserve"> </v>
          </cell>
          <cell r="AD546" t="str">
            <v xml:space="preserve"> </v>
          </cell>
        </row>
        <row r="547">
          <cell r="AB547" t="str">
            <v xml:space="preserve"> </v>
          </cell>
          <cell r="AC547" t="str">
            <v xml:space="preserve"> </v>
          </cell>
          <cell r="AD547" t="str">
            <v xml:space="preserve"> </v>
          </cell>
        </row>
        <row r="548">
          <cell r="AB548" t="str">
            <v xml:space="preserve"> </v>
          </cell>
          <cell r="AC548" t="str">
            <v xml:space="preserve"> </v>
          </cell>
          <cell r="AD548" t="str">
            <v xml:space="preserve"> </v>
          </cell>
        </row>
        <row r="549">
          <cell r="AB549" t="str">
            <v xml:space="preserve"> </v>
          </cell>
          <cell r="AC549" t="str">
            <v xml:space="preserve"> </v>
          </cell>
          <cell r="AD549" t="str">
            <v xml:space="preserve"> </v>
          </cell>
        </row>
        <row r="550">
          <cell r="AB550" t="str">
            <v xml:space="preserve"> </v>
          </cell>
          <cell r="AC550" t="str">
            <v xml:space="preserve"> </v>
          </cell>
          <cell r="AD550" t="str">
            <v xml:space="preserve"> </v>
          </cell>
        </row>
        <row r="551">
          <cell r="AB551" t="str">
            <v xml:space="preserve"> </v>
          </cell>
          <cell r="AC551" t="str">
            <v xml:space="preserve"> </v>
          </cell>
          <cell r="AD551" t="str">
            <v xml:space="preserve"> </v>
          </cell>
        </row>
        <row r="552">
          <cell r="AB552" t="str">
            <v xml:space="preserve"> </v>
          </cell>
          <cell r="AC552" t="str">
            <v xml:space="preserve"> </v>
          </cell>
          <cell r="AD552" t="str">
            <v xml:space="preserve"> </v>
          </cell>
        </row>
        <row r="553">
          <cell r="AB553" t="str">
            <v xml:space="preserve"> </v>
          </cell>
          <cell r="AC553" t="str">
            <v xml:space="preserve"> </v>
          </cell>
          <cell r="AD553" t="str">
            <v xml:space="preserve"> </v>
          </cell>
        </row>
        <row r="554">
          <cell r="AB554" t="str">
            <v xml:space="preserve"> </v>
          </cell>
          <cell r="AC554" t="str">
            <v xml:space="preserve"> </v>
          </cell>
          <cell r="AD554" t="str">
            <v xml:space="preserve"> </v>
          </cell>
        </row>
        <row r="555">
          <cell r="AB555" t="str">
            <v xml:space="preserve"> </v>
          </cell>
          <cell r="AC555" t="str">
            <v xml:space="preserve"> </v>
          </cell>
          <cell r="AD555" t="str">
            <v xml:space="preserve"> </v>
          </cell>
        </row>
        <row r="556">
          <cell r="AB556" t="str">
            <v xml:space="preserve"> </v>
          </cell>
          <cell r="AC556" t="str">
            <v xml:space="preserve"> </v>
          </cell>
          <cell r="AD556" t="str">
            <v xml:space="preserve"> </v>
          </cell>
        </row>
        <row r="557">
          <cell r="AB557" t="str">
            <v xml:space="preserve"> </v>
          </cell>
          <cell r="AC557" t="str">
            <v xml:space="preserve"> </v>
          </cell>
          <cell r="AD557" t="str">
            <v xml:space="preserve"> </v>
          </cell>
        </row>
        <row r="558">
          <cell r="AB558" t="str">
            <v xml:space="preserve"> </v>
          </cell>
          <cell r="AC558" t="str">
            <v xml:space="preserve"> </v>
          </cell>
          <cell r="AD558" t="str">
            <v xml:space="preserve"> </v>
          </cell>
        </row>
        <row r="559">
          <cell r="AB559" t="str">
            <v xml:space="preserve"> </v>
          </cell>
          <cell r="AC559" t="str">
            <v xml:space="preserve"> </v>
          </cell>
          <cell r="AD559" t="str">
            <v xml:space="preserve"> </v>
          </cell>
        </row>
        <row r="560">
          <cell r="AB560" t="str">
            <v xml:space="preserve"> </v>
          </cell>
          <cell r="AC560" t="str">
            <v xml:space="preserve"> </v>
          </cell>
          <cell r="AD560" t="str">
            <v xml:space="preserve"> </v>
          </cell>
        </row>
        <row r="561">
          <cell r="AB561" t="str">
            <v xml:space="preserve"> </v>
          </cell>
          <cell r="AC561" t="str">
            <v xml:space="preserve"> </v>
          </cell>
          <cell r="AD561" t="str">
            <v xml:space="preserve"> </v>
          </cell>
        </row>
        <row r="562">
          <cell r="AB562" t="str">
            <v xml:space="preserve"> </v>
          </cell>
          <cell r="AC562" t="str">
            <v xml:space="preserve"> </v>
          </cell>
          <cell r="AD562" t="str">
            <v xml:space="preserve"> </v>
          </cell>
        </row>
        <row r="563">
          <cell r="AB563" t="str">
            <v xml:space="preserve"> </v>
          </cell>
          <cell r="AC563" t="str">
            <v xml:space="preserve"> </v>
          </cell>
          <cell r="AD563" t="str">
            <v xml:space="preserve"> </v>
          </cell>
        </row>
        <row r="564">
          <cell r="AB564" t="str">
            <v xml:space="preserve"> </v>
          </cell>
          <cell r="AC564" t="str">
            <v xml:space="preserve"> </v>
          </cell>
          <cell r="AD564" t="str">
            <v xml:space="preserve"> </v>
          </cell>
        </row>
        <row r="565">
          <cell r="AB565" t="str">
            <v xml:space="preserve"> </v>
          </cell>
          <cell r="AC565" t="str">
            <v xml:space="preserve"> </v>
          </cell>
          <cell r="AD565" t="str">
            <v xml:space="preserve"> </v>
          </cell>
        </row>
        <row r="566">
          <cell r="AB566" t="str">
            <v xml:space="preserve"> </v>
          </cell>
          <cell r="AC566" t="str">
            <v xml:space="preserve"> </v>
          </cell>
          <cell r="AD566" t="str">
            <v xml:space="preserve"> </v>
          </cell>
        </row>
        <row r="567">
          <cell r="AB567" t="str">
            <v xml:space="preserve"> </v>
          </cell>
          <cell r="AC567" t="str">
            <v xml:space="preserve"> </v>
          </cell>
          <cell r="AD567" t="str">
            <v xml:space="preserve"> </v>
          </cell>
        </row>
        <row r="568">
          <cell r="AB568" t="str">
            <v xml:space="preserve"> </v>
          </cell>
          <cell r="AC568" t="str">
            <v xml:space="preserve"> </v>
          </cell>
          <cell r="AD568" t="str">
            <v xml:space="preserve"> </v>
          </cell>
        </row>
        <row r="569">
          <cell r="AB569" t="str">
            <v xml:space="preserve"> </v>
          </cell>
          <cell r="AC569" t="str">
            <v xml:space="preserve"> </v>
          </cell>
          <cell r="AD569" t="str">
            <v xml:space="preserve"> </v>
          </cell>
        </row>
        <row r="570">
          <cell r="AB570" t="str">
            <v xml:space="preserve"> </v>
          </cell>
          <cell r="AC570" t="str">
            <v xml:space="preserve"> </v>
          </cell>
          <cell r="AD570" t="str">
            <v xml:space="preserve"> </v>
          </cell>
        </row>
        <row r="571">
          <cell r="AB571" t="str">
            <v xml:space="preserve"> </v>
          </cell>
          <cell r="AC571" t="str">
            <v xml:space="preserve"> </v>
          </cell>
          <cell r="AD571" t="str">
            <v xml:space="preserve"> </v>
          </cell>
        </row>
        <row r="572">
          <cell r="AB572" t="str">
            <v xml:space="preserve"> </v>
          </cell>
          <cell r="AC572" t="str">
            <v xml:space="preserve"> </v>
          </cell>
          <cell r="AD572" t="str">
            <v xml:space="preserve"> </v>
          </cell>
        </row>
        <row r="573">
          <cell r="AB573" t="str">
            <v xml:space="preserve"> </v>
          </cell>
          <cell r="AC573" t="str">
            <v xml:space="preserve"> </v>
          </cell>
          <cell r="AD573" t="str">
            <v xml:space="preserve"> </v>
          </cell>
        </row>
        <row r="574">
          <cell r="AB574" t="str">
            <v xml:space="preserve"> </v>
          </cell>
          <cell r="AC574" t="str">
            <v xml:space="preserve"> </v>
          </cell>
          <cell r="AD574" t="str">
            <v xml:space="preserve"> </v>
          </cell>
        </row>
        <row r="575">
          <cell r="AB575" t="str">
            <v xml:space="preserve"> </v>
          </cell>
          <cell r="AC575" t="str">
            <v xml:space="preserve"> </v>
          </cell>
          <cell r="AD575" t="str">
            <v xml:space="preserve"> </v>
          </cell>
        </row>
        <row r="576">
          <cell r="AB576" t="str">
            <v xml:space="preserve"> </v>
          </cell>
          <cell r="AC576" t="str">
            <v xml:space="preserve"> </v>
          </cell>
          <cell r="AD576" t="str">
            <v xml:space="preserve"> </v>
          </cell>
        </row>
        <row r="577">
          <cell r="AB577" t="str">
            <v xml:space="preserve"> </v>
          </cell>
          <cell r="AC577" t="str">
            <v xml:space="preserve"> </v>
          </cell>
          <cell r="AD577" t="str">
            <v xml:space="preserve"> </v>
          </cell>
        </row>
        <row r="578">
          <cell r="AB578" t="str">
            <v xml:space="preserve"> </v>
          </cell>
          <cell r="AC578" t="str">
            <v xml:space="preserve"> </v>
          </cell>
          <cell r="AD578" t="str">
            <v xml:space="preserve"> </v>
          </cell>
        </row>
        <row r="579">
          <cell r="AB579" t="str">
            <v xml:space="preserve"> </v>
          </cell>
          <cell r="AC579" t="str">
            <v xml:space="preserve"> </v>
          </cell>
          <cell r="AD579" t="str">
            <v xml:space="preserve"> </v>
          </cell>
        </row>
        <row r="580">
          <cell r="AB580" t="str">
            <v xml:space="preserve"> </v>
          </cell>
          <cell r="AC580" t="str">
            <v xml:space="preserve"> </v>
          </cell>
          <cell r="AD580" t="str">
            <v xml:space="preserve"> </v>
          </cell>
        </row>
        <row r="581">
          <cell r="AB581" t="str">
            <v xml:space="preserve"> </v>
          </cell>
          <cell r="AC581" t="str">
            <v xml:space="preserve"> </v>
          </cell>
          <cell r="AD581" t="str">
            <v xml:space="preserve"> </v>
          </cell>
        </row>
        <row r="582">
          <cell r="AB582" t="str">
            <v xml:space="preserve"> </v>
          </cell>
          <cell r="AC582" t="str">
            <v xml:space="preserve"> </v>
          </cell>
          <cell r="AD582" t="str">
            <v xml:space="preserve"> </v>
          </cell>
        </row>
        <row r="583">
          <cell r="AB583" t="str">
            <v xml:space="preserve"> </v>
          </cell>
          <cell r="AC583" t="str">
            <v xml:space="preserve"> </v>
          </cell>
          <cell r="AD583" t="str">
            <v xml:space="preserve"> </v>
          </cell>
        </row>
        <row r="584">
          <cell r="AB584" t="str">
            <v xml:space="preserve"> </v>
          </cell>
          <cell r="AC584" t="str">
            <v xml:space="preserve"> </v>
          </cell>
          <cell r="AD584" t="str">
            <v xml:space="preserve"> </v>
          </cell>
        </row>
        <row r="585">
          <cell r="AB585" t="str">
            <v xml:space="preserve"> </v>
          </cell>
          <cell r="AC585" t="str">
            <v xml:space="preserve"> </v>
          </cell>
          <cell r="AD585" t="str">
            <v xml:space="preserve"> </v>
          </cell>
        </row>
        <row r="586">
          <cell r="AB586" t="str">
            <v xml:space="preserve"> </v>
          </cell>
          <cell r="AC586" t="str">
            <v xml:space="preserve"> </v>
          </cell>
          <cell r="AD586" t="str">
            <v xml:space="preserve"> </v>
          </cell>
        </row>
        <row r="587">
          <cell r="AB587" t="str">
            <v xml:space="preserve"> </v>
          </cell>
          <cell r="AC587" t="str">
            <v xml:space="preserve"> </v>
          </cell>
          <cell r="AD587" t="str">
            <v xml:space="preserve"> </v>
          </cell>
        </row>
        <row r="588">
          <cell r="AB588" t="str">
            <v xml:space="preserve"> </v>
          </cell>
          <cell r="AC588" t="str">
            <v xml:space="preserve"> </v>
          </cell>
          <cell r="AD588" t="str">
            <v xml:space="preserve"> </v>
          </cell>
        </row>
        <row r="589">
          <cell r="AB589" t="str">
            <v xml:space="preserve"> </v>
          </cell>
          <cell r="AC589" t="str">
            <v xml:space="preserve"> </v>
          </cell>
          <cell r="AD589" t="str">
            <v xml:space="preserve"> </v>
          </cell>
        </row>
        <row r="590">
          <cell r="AB590" t="str">
            <v xml:space="preserve"> </v>
          </cell>
          <cell r="AC590" t="str">
            <v xml:space="preserve"> </v>
          </cell>
          <cell r="AD590" t="str">
            <v xml:space="preserve"> </v>
          </cell>
        </row>
        <row r="591">
          <cell r="AB591" t="str">
            <v xml:space="preserve"> </v>
          </cell>
          <cell r="AC591" t="str">
            <v xml:space="preserve"> </v>
          </cell>
          <cell r="AD591" t="str">
            <v xml:space="preserve"> </v>
          </cell>
        </row>
        <row r="592">
          <cell r="AB592" t="str">
            <v xml:space="preserve"> </v>
          </cell>
          <cell r="AC592" t="str">
            <v xml:space="preserve"> </v>
          </cell>
          <cell r="AD592" t="str">
            <v xml:space="preserve"> </v>
          </cell>
        </row>
        <row r="593">
          <cell r="AB593" t="str">
            <v xml:space="preserve"> </v>
          </cell>
          <cell r="AC593" t="str">
            <v xml:space="preserve"> </v>
          </cell>
          <cell r="AD593" t="str">
            <v xml:space="preserve"> </v>
          </cell>
        </row>
        <row r="594">
          <cell r="AB594" t="str">
            <v xml:space="preserve"> </v>
          </cell>
          <cell r="AC594" t="str">
            <v xml:space="preserve"> </v>
          </cell>
          <cell r="AD594" t="str">
            <v xml:space="preserve"> </v>
          </cell>
        </row>
        <row r="595">
          <cell r="AB595" t="str">
            <v xml:space="preserve"> </v>
          </cell>
          <cell r="AC595" t="str">
            <v xml:space="preserve"> </v>
          </cell>
          <cell r="AD595" t="str">
            <v xml:space="preserve"> </v>
          </cell>
        </row>
        <row r="596">
          <cell r="AB596" t="str">
            <v xml:space="preserve"> </v>
          </cell>
          <cell r="AC596" t="str">
            <v xml:space="preserve"> </v>
          </cell>
          <cell r="AD596" t="str">
            <v xml:space="preserve"> </v>
          </cell>
        </row>
        <row r="597">
          <cell r="AB597" t="str">
            <v xml:space="preserve"> </v>
          </cell>
          <cell r="AC597" t="str">
            <v xml:space="preserve"> </v>
          </cell>
          <cell r="AD597" t="str">
            <v xml:space="preserve"> </v>
          </cell>
        </row>
        <row r="598">
          <cell r="AB598" t="str">
            <v xml:space="preserve"> </v>
          </cell>
          <cell r="AC598" t="str">
            <v xml:space="preserve"> </v>
          </cell>
          <cell r="AD598" t="str">
            <v xml:space="preserve"> </v>
          </cell>
        </row>
        <row r="599">
          <cell r="AB599" t="str">
            <v xml:space="preserve"> </v>
          </cell>
          <cell r="AC599" t="str">
            <v xml:space="preserve"> </v>
          </cell>
          <cell r="AD599" t="str">
            <v xml:space="preserve"> </v>
          </cell>
        </row>
        <row r="600">
          <cell r="AB600" t="str">
            <v xml:space="preserve"> </v>
          </cell>
          <cell r="AC600" t="str">
            <v xml:space="preserve"> </v>
          </cell>
          <cell r="AD600" t="str">
            <v xml:space="preserve"> </v>
          </cell>
        </row>
        <row r="601">
          <cell r="AB601" t="str">
            <v xml:space="preserve"> </v>
          </cell>
          <cell r="AC601" t="str">
            <v xml:space="preserve"> </v>
          </cell>
          <cell r="AD601" t="str">
            <v xml:space="preserve"> </v>
          </cell>
        </row>
        <row r="602">
          <cell r="AB602" t="str">
            <v xml:space="preserve"> </v>
          </cell>
          <cell r="AC602" t="str">
            <v xml:space="preserve"> </v>
          </cell>
          <cell r="AD602" t="str">
            <v xml:space="preserve"> </v>
          </cell>
        </row>
        <row r="603">
          <cell r="AB603" t="str">
            <v xml:space="preserve"> </v>
          </cell>
          <cell r="AC603" t="str">
            <v xml:space="preserve"> </v>
          </cell>
          <cell r="AD603" t="str">
            <v xml:space="preserve"> </v>
          </cell>
        </row>
        <row r="604">
          <cell r="AB604" t="str">
            <v xml:space="preserve"> </v>
          </cell>
          <cell r="AC604" t="str">
            <v xml:space="preserve"> </v>
          </cell>
          <cell r="AD604" t="str">
            <v xml:space="preserve"> </v>
          </cell>
        </row>
        <row r="605">
          <cell r="AB605" t="str">
            <v xml:space="preserve"> </v>
          </cell>
          <cell r="AC605" t="str">
            <v xml:space="preserve"> </v>
          </cell>
          <cell r="AD605" t="str">
            <v xml:space="preserve"> </v>
          </cell>
        </row>
        <row r="606">
          <cell r="AB606" t="str">
            <v xml:space="preserve"> </v>
          </cell>
          <cell r="AC606" t="str">
            <v xml:space="preserve"> </v>
          </cell>
          <cell r="AD606" t="str">
            <v xml:space="preserve"> </v>
          </cell>
        </row>
        <row r="607">
          <cell r="AB607" t="str">
            <v xml:space="preserve"> </v>
          </cell>
          <cell r="AC607" t="str">
            <v xml:space="preserve"> </v>
          </cell>
          <cell r="AD607" t="str">
            <v xml:space="preserve"> </v>
          </cell>
        </row>
        <row r="608">
          <cell r="AB608" t="str">
            <v xml:space="preserve"> </v>
          </cell>
          <cell r="AC608" t="str">
            <v xml:space="preserve"> </v>
          </cell>
          <cell r="AD608" t="str">
            <v xml:space="preserve"> </v>
          </cell>
        </row>
        <row r="609">
          <cell r="AB609" t="str">
            <v xml:space="preserve"> </v>
          </cell>
          <cell r="AC609" t="str">
            <v xml:space="preserve"> </v>
          </cell>
          <cell r="AD609" t="str">
            <v xml:space="preserve"> </v>
          </cell>
        </row>
        <row r="610">
          <cell r="AB610" t="str">
            <v xml:space="preserve"> </v>
          </cell>
          <cell r="AC610" t="str">
            <v xml:space="preserve"> </v>
          </cell>
          <cell r="AD610" t="str">
            <v xml:space="preserve"> </v>
          </cell>
        </row>
        <row r="611">
          <cell r="AB611" t="str">
            <v xml:space="preserve"> </v>
          </cell>
          <cell r="AC611" t="str">
            <v xml:space="preserve"> </v>
          </cell>
          <cell r="AD611" t="str">
            <v xml:space="preserve"> </v>
          </cell>
        </row>
        <row r="612">
          <cell r="AB612" t="str">
            <v xml:space="preserve"> </v>
          </cell>
          <cell r="AC612" t="str">
            <v xml:space="preserve"> </v>
          </cell>
          <cell r="AD612" t="str">
            <v xml:space="preserve"> </v>
          </cell>
        </row>
        <row r="613">
          <cell r="AB613" t="str">
            <v xml:space="preserve"> </v>
          </cell>
          <cell r="AC613" t="str">
            <v xml:space="preserve"> </v>
          </cell>
          <cell r="AD613" t="str">
            <v xml:space="preserve"> </v>
          </cell>
        </row>
        <row r="614">
          <cell r="AB614" t="str">
            <v xml:space="preserve"> </v>
          </cell>
          <cell r="AC614" t="str">
            <v xml:space="preserve"> </v>
          </cell>
          <cell r="AD614" t="str">
            <v xml:space="preserve"> </v>
          </cell>
        </row>
        <row r="615">
          <cell r="AB615" t="str">
            <v xml:space="preserve"> </v>
          </cell>
          <cell r="AC615" t="str">
            <v xml:space="preserve"> </v>
          </cell>
          <cell r="AD615" t="str">
            <v xml:space="preserve"> </v>
          </cell>
        </row>
        <row r="616">
          <cell r="AB616" t="str">
            <v xml:space="preserve"> </v>
          </cell>
          <cell r="AC616" t="str">
            <v xml:space="preserve"> </v>
          </cell>
          <cell r="AD616" t="str">
            <v xml:space="preserve"> </v>
          </cell>
        </row>
        <row r="617">
          <cell r="AB617" t="str">
            <v xml:space="preserve"> </v>
          </cell>
          <cell r="AC617" t="str">
            <v xml:space="preserve"> </v>
          </cell>
          <cell r="AD617" t="str">
            <v xml:space="preserve"> </v>
          </cell>
        </row>
        <row r="618">
          <cell r="AB618" t="str">
            <v xml:space="preserve"> </v>
          </cell>
          <cell r="AC618" t="str">
            <v xml:space="preserve"> </v>
          </cell>
          <cell r="AD618" t="str">
            <v xml:space="preserve"> </v>
          </cell>
        </row>
        <row r="619">
          <cell r="AB619" t="str">
            <v xml:space="preserve"> </v>
          </cell>
          <cell r="AC619" t="str">
            <v xml:space="preserve"> </v>
          </cell>
          <cell r="AD619" t="str">
            <v xml:space="preserve"> </v>
          </cell>
        </row>
        <row r="620">
          <cell r="AB620" t="str">
            <v xml:space="preserve"> </v>
          </cell>
          <cell r="AC620" t="str">
            <v xml:space="preserve"> </v>
          </cell>
          <cell r="AD620" t="str">
            <v xml:space="preserve"> </v>
          </cell>
        </row>
        <row r="621">
          <cell r="AB621" t="str">
            <v xml:space="preserve"> </v>
          </cell>
          <cell r="AC621" t="str">
            <v xml:space="preserve"> </v>
          </cell>
          <cell r="AD621" t="str">
            <v xml:space="preserve"> </v>
          </cell>
        </row>
        <row r="622">
          <cell r="AB622" t="str">
            <v xml:space="preserve"> </v>
          </cell>
          <cell r="AC622" t="str">
            <v xml:space="preserve"> </v>
          </cell>
          <cell r="AD622" t="str">
            <v xml:space="preserve"> </v>
          </cell>
        </row>
        <row r="623">
          <cell r="AB623" t="str">
            <v xml:space="preserve"> </v>
          </cell>
          <cell r="AC623" t="str">
            <v xml:space="preserve"> </v>
          </cell>
          <cell r="AD623" t="str">
            <v xml:space="preserve"> </v>
          </cell>
        </row>
        <row r="624">
          <cell r="AB624" t="str">
            <v xml:space="preserve"> </v>
          </cell>
          <cell r="AC624" t="str">
            <v xml:space="preserve"> </v>
          </cell>
          <cell r="AD624" t="str">
            <v xml:space="preserve"> </v>
          </cell>
        </row>
        <row r="625">
          <cell r="AB625" t="str">
            <v xml:space="preserve"> </v>
          </cell>
          <cell r="AC625" t="str">
            <v xml:space="preserve"> </v>
          </cell>
          <cell r="AD625" t="str">
            <v xml:space="preserve"> </v>
          </cell>
        </row>
        <row r="626">
          <cell r="AB626" t="str">
            <v xml:space="preserve"> </v>
          </cell>
          <cell r="AC626" t="str">
            <v xml:space="preserve"> </v>
          </cell>
          <cell r="AD626" t="str">
            <v xml:space="preserve"> </v>
          </cell>
        </row>
        <row r="627">
          <cell r="AB627" t="str">
            <v xml:space="preserve"> </v>
          </cell>
          <cell r="AC627" t="str">
            <v xml:space="preserve"> </v>
          </cell>
          <cell r="AD627" t="str">
            <v xml:space="preserve"> </v>
          </cell>
        </row>
        <row r="628">
          <cell r="AB628" t="str">
            <v xml:space="preserve"> </v>
          </cell>
          <cell r="AC628" t="str">
            <v xml:space="preserve"> </v>
          </cell>
          <cell r="AD628" t="str">
            <v xml:space="preserve"> </v>
          </cell>
        </row>
        <row r="629">
          <cell r="AB629" t="str">
            <v xml:space="preserve"> </v>
          </cell>
          <cell r="AC629" t="str">
            <v xml:space="preserve"> </v>
          </cell>
          <cell r="AD629" t="str">
            <v xml:space="preserve"> </v>
          </cell>
        </row>
        <row r="630">
          <cell r="AB630" t="str">
            <v xml:space="preserve"> </v>
          </cell>
          <cell r="AC630" t="str">
            <v xml:space="preserve"> </v>
          </cell>
          <cell r="AD630" t="str">
            <v xml:space="preserve"> </v>
          </cell>
        </row>
        <row r="631">
          <cell r="AB631" t="str">
            <v xml:space="preserve"> </v>
          </cell>
          <cell r="AC631" t="str">
            <v xml:space="preserve"> </v>
          </cell>
          <cell r="AD631" t="str">
            <v xml:space="preserve"> </v>
          </cell>
        </row>
        <row r="632">
          <cell r="AB632" t="str">
            <v xml:space="preserve"> </v>
          </cell>
          <cell r="AC632" t="str">
            <v xml:space="preserve"> </v>
          </cell>
          <cell r="AD632" t="str">
            <v xml:space="preserve"> </v>
          </cell>
        </row>
        <row r="633">
          <cell r="AB633" t="str">
            <v xml:space="preserve"> </v>
          </cell>
          <cell r="AC633" t="str">
            <v xml:space="preserve"> </v>
          </cell>
          <cell r="AD633" t="str">
            <v xml:space="preserve"> </v>
          </cell>
        </row>
        <row r="634">
          <cell r="AB634" t="str">
            <v xml:space="preserve"> </v>
          </cell>
          <cell r="AC634" t="str">
            <v xml:space="preserve"> </v>
          </cell>
          <cell r="AD634" t="str">
            <v xml:space="preserve"> </v>
          </cell>
        </row>
        <row r="635">
          <cell r="AB635" t="str">
            <v xml:space="preserve"> </v>
          </cell>
          <cell r="AC635" t="str">
            <v xml:space="preserve"> </v>
          </cell>
          <cell r="AD635" t="str">
            <v xml:space="preserve"> </v>
          </cell>
        </row>
        <row r="636">
          <cell r="AB636" t="str">
            <v xml:space="preserve"> </v>
          </cell>
          <cell r="AC636" t="str">
            <v xml:space="preserve"> </v>
          </cell>
          <cell r="AD636" t="str">
            <v xml:space="preserve"> </v>
          </cell>
        </row>
        <row r="637">
          <cell r="AB637" t="str">
            <v xml:space="preserve"> </v>
          </cell>
          <cell r="AC637" t="str">
            <v xml:space="preserve"> </v>
          </cell>
          <cell r="AD637" t="str">
            <v xml:space="preserve"> </v>
          </cell>
        </row>
        <row r="638">
          <cell r="AB638" t="str">
            <v xml:space="preserve"> </v>
          </cell>
          <cell r="AC638" t="str">
            <v xml:space="preserve"> </v>
          </cell>
          <cell r="AD638" t="str">
            <v xml:space="preserve"> </v>
          </cell>
        </row>
        <row r="639">
          <cell r="AB639" t="str">
            <v xml:space="preserve"> </v>
          </cell>
          <cell r="AC639" t="str">
            <v xml:space="preserve"> </v>
          </cell>
          <cell r="AD639" t="str">
            <v xml:space="preserve"> </v>
          </cell>
        </row>
        <row r="640">
          <cell r="AB640" t="str">
            <v xml:space="preserve"> </v>
          </cell>
          <cell r="AC640" t="str">
            <v xml:space="preserve"> </v>
          </cell>
          <cell r="AD640" t="str">
            <v xml:space="preserve"> </v>
          </cell>
        </row>
        <row r="641">
          <cell r="AB641" t="str">
            <v xml:space="preserve"> </v>
          </cell>
          <cell r="AC641" t="str">
            <v xml:space="preserve"> </v>
          </cell>
          <cell r="AD641" t="str">
            <v xml:space="preserve"> </v>
          </cell>
        </row>
        <row r="642">
          <cell r="AB642" t="str">
            <v xml:space="preserve"> </v>
          </cell>
          <cell r="AC642" t="str">
            <v xml:space="preserve"> </v>
          </cell>
          <cell r="AD642" t="str">
            <v xml:space="preserve"> </v>
          </cell>
        </row>
        <row r="643">
          <cell r="AB643" t="str">
            <v xml:space="preserve"> </v>
          </cell>
          <cell r="AC643" t="str">
            <v xml:space="preserve"> </v>
          </cell>
          <cell r="AD643" t="str">
            <v xml:space="preserve"> </v>
          </cell>
        </row>
        <row r="644">
          <cell r="AB644" t="str">
            <v xml:space="preserve"> </v>
          </cell>
          <cell r="AC644" t="str">
            <v xml:space="preserve"> </v>
          </cell>
          <cell r="AD644" t="str">
            <v xml:space="preserve"> </v>
          </cell>
        </row>
        <row r="645">
          <cell r="AB645" t="str">
            <v xml:space="preserve"> </v>
          </cell>
          <cell r="AC645" t="str">
            <v xml:space="preserve"> </v>
          </cell>
          <cell r="AD645" t="str">
            <v xml:space="preserve"> </v>
          </cell>
        </row>
        <row r="646">
          <cell r="AB646" t="str">
            <v xml:space="preserve"> </v>
          </cell>
          <cell r="AC646" t="str">
            <v xml:space="preserve"> </v>
          </cell>
          <cell r="AD646" t="str">
            <v xml:space="preserve"> </v>
          </cell>
        </row>
        <row r="647">
          <cell r="AB647" t="str">
            <v xml:space="preserve"> </v>
          </cell>
          <cell r="AC647" t="str">
            <v xml:space="preserve"> </v>
          </cell>
          <cell r="AD647" t="str">
            <v xml:space="preserve"> </v>
          </cell>
        </row>
        <row r="648">
          <cell r="AB648" t="str">
            <v xml:space="preserve"> </v>
          </cell>
          <cell r="AC648" t="str">
            <v xml:space="preserve"> </v>
          </cell>
          <cell r="AD648" t="str">
            <v xml:space="preserve"> </v>
          </cell>
        </row>
        <row r="649">
          <cell r="AB649" t="str">
            <v xml:space="preserve"> </v>
          </cell>
          <cell r="AC649" t="str">
            <v xml:space="preserve"> </v>
          </cell>
          <cell r="AD649" t="str">
            <v xml:space="preserve"> </v>
          </cell>
        </row>
        <row r="650">
          <cell r="AB650" t="str">
            <v xml:space="preserve"> </v>
          </cell>
          <cell r="AC650" t="str">
            <v xml:space="preserve"> </v>
          </cell>
          <cell r="AD650" t="str">
            <v xml:space="preserve"> </v>
          </cell>
        </row>
        <row r="651">
          <cell r="AB651" t="str">
            <v xml:space="preserve"> </v>
          </cell>
          <cell r="AC651" t="str">
            <v xml:space="preserve"> </v>
          </cell>
          <cell r="AD651" t="str">
            <v xml:space="preserve"> </v>
          </cell>
        </row>
        <row r="652">
          <cell r="AB652" t="str">
            <v xml:space="preserve"> </v>
          </cell>
          <cell r="AC652" t="str">
            <v xml:space="preserve"> </v>
          </cell>
          <cell r="AD652" t="str">
            <v xml:space="preserve"> </v>
          </cell>
        </row>
        <row r="653">
          <cell r="AB653" t="str">
            <v xml:space="preserve"> </v>
          </cell>
          <cell r="AC653" t="str">
            <v xml:space="preserve"> </v>
          </cell>
          <cell r="AD653" t="str">
            <v xml:space="preserve"> </v>
          </cell>
        </row>
        <row r="654">
          <cell r="AB654" t="str">
            <v xml:space="preserve"> </v>
          </cell>
          <cell r="AC654" t="str">
            <v xml:space="preserve"> </v>
          </cell>
          <cell r="AD654" t="str">
            <v xml:space="preserve"> </v>
          </cell>
        </row>
        <row r="655">
          <cell r="AB655" t="str">
            <v xml:space="preserve"> </v>
          </cell>
          <cell r="AC655" t="str">
            <v xml:space="preserve"> </v>
          </cell>
          <cell r="AD655" t="str">
            <v xml:space="preserve"> </v>
          </cell>
        </row>
        <row r="656">
          <cell r="AB656" t="str">
            <v xml:space="preserve"> </v>
          </cell>
          <cell r="AC656" t="str">
            <v xml:space="preserve"> </v>
          </cell>
          <cell r="AD656" t="str">
            <v xml:space="preserve"> </v>
          </cell>
        </row>
        <row r="657">
          <cell r="AB657" t="str">
            <v xml:space="preserve"> </v>
          </cell>
          <cell r="AC657" t="str">
            <v xml:space="preserve"> </v>
          </cell>
          <cell r="AD657" t="str">
            <v xml:space="preserve"> </v>
          </cell>
        </row>
        <row r="658">
          <cell r="AB658" t="str">
            <v xml:space="preserve"> </v>
          </cell>
          <cell r="AC658" t="str">
            <v xml:space="preserve"> </v>
          </cell>
          <cell r="AD658" t="str">
            <v xml:space="preserve"> </v>
          </cell>
        </row>
        <row r="659">
          <cell r="AB659" t="str">
            <v xml:space="preserve"> </v>
          </cell>
          <cell r="AC659" t="str">
            <v xml:space="preserve"> </v>
          </cell>
          <cell r="AD659" t="str">
            <v xml:space="preserve"> </v>
          </cell>
        </row>
        <row r="660">
          <cell r="AB660" t="str">
            <v xml:space="preserve"> </v>
          </cell>
          <cell r="AC660" t="str">
            <v xml:space="preserve"> </v>
          </cell>
          <cell r="AD660" t="str">
            <v xml:space="preserve"> </v>
          </cell>
        </row>
        <row r="661">
          <cell r="AB661" t="str">
            <v xml:space="preserve"> </v>
          </cell>
          <cell r="AC661" t="str">
            <v xml:space="preserve"> </v>
          </cell>
          <cell r="AD661" t="str">
            <v xml:space="preserve"> </v>
          </cell>
        </row>
        <row r="662">
          <cell r="AB662" t="str">
            <v xml:space="preserve"> </v>
          </cell>
          <cell r="AC662" t="str">
            <v xml:space="preserve"> </v>
          </cell>
          <cell r="AD662" t="str">
            <v xml:space="preserve"> </v>
          </cell>
        </row>
        <row r="663">
          <cell r="AB663" t="str">
            <v xml:space="preserve"> </v>
          </cell>
          <cell r="AC663" t="str">
            <v xml:space="preserve"> </v>
          </cell>
          <cell r="AD663" t="str">
            <v xml:space="preserve"> </v>
          </cell>
        </row>
        <row r="664">
          <cell r="AB664" t="str">
            <v xml:space="preserve"> </v>
          </cell>
          <cell r="AC664" t="str">
            <v xml:space="preserve"> </v>
          </cell>
          <cell r="AD664" t="str">
            <v xml:space="preserve"> </v>
          </cell>
        </row>
        <row r="665">
          <cell r="AB665" t="str">
            <v xml:space="preserve"> </v>
          </cell>
          <cell r="AC665" t="str">
            <v xml:space="preserve"> </v>
          </cell>
          <cell r="AD665" t="str">
            <v xml:space="preserve"> </v>
          </cell>
        </row>
        <row r="666">
          <cell r="AB666" t="str">
            <v xml:space="preserve"> </v>
          </cell>
          <cell r="AC666" t="str">
            <v xml:space="preserve"> </v>
          </cell>
          <cell r="AD666" t="str">
            <v xml:space="preserve"> </v>
          </cell>
        </row>
        <row r="667">
          <cell r="AB667" t="str">
            <v xml:space="preserve"> </v>
          </cell>
          <cell r="AC667" t="str">
            <v xml:space="preserve"> </v>
          </cell>
          <cell r="AD667" t="str">
            <v xml:space="preserve"> </v>
          </cell>
        </row>
        <row r="668">
          <cell r="AB668" t="str">
            <v xml:space="preserve"> </v>
          </cell>
          <cell r="AC668" t="str">
            <v xml:space="preserve"> </v>
          </cell>
          <cell r="AD668" t="str">
            <v xml:space="preserve"> </v>
          </cell>
        </row>
        <row r="669">
          <cell r="AB669" t="str">
            <v xml:space="preserve"> </v>
          </cell>
          <cell r="AC669" t="str">
            <v xml:space="preserve"> </v>
          </cell>
          <cell r="AD669" t="str">
            <v xml:space="preserve"> </v>
          </cell>
        </row>
        <row r="670">
          <cell r="AB670" t="str">
            <v xml:space="preserve"> </v>
          </cell>
          <cell r="AC670" t="str">
            <v xml:space="preserve"> </v>
          </cell>
          <cell r="AD670" t="str">
            <v xml:space="preserve"> </v>
          </cell>
        </row>
        <row r="671">
          <cell r="AB671" t="str">
            <v xml:space="preserve"> </v>
          </cell>
          <cell r="AC671" t="str">
            <v xml:space="preserve"> </v>
          </cell>
          <cell r="AD671" t="str">
            <v xml:space="preserve"> </v>
          </cell>
        </row>
        <row r="672">
          <cell r="AB672" t="str">
            <v xml:space="preserve"> </v>
          </cell>
          <cell r="AC672" t="str">
            <v xml:space="preserve"> </v>
          </cell>
          <cell r="AD672" t="str">
            <v xml:space="preserve"> </v>
          </cell>
        </row>
        <row r="673">
          <cell r="AB673" t="str">
            <v xml:space="preserve"> </v>
          </cell>
          <cell r="AC673" t="str">
            <v xml:space="preserve"> </v>
          </cell>
          <cell r="AD673" t="str">
            <v xml:space="preserve"> </v>
          </cell>
        </row>
        <row r="674">
          <cell r="AB674" t="str">
            <v xml:space="preserve"> </v>
          </cell>
          <cell r="AC674" t="str">
            <v xml:space="preserve"> </v>
          </cell>
          <cell r="AD674" t="str">
            <v xml:space="preserve"> </v>
          </cell>
        </row>
        <row r="675">
          <cell r="AB675" t="str">
            <v xml:space="preserve"> </v>
          </cell>
          <cell r="AC675" t="str">
            <v xml:space="preserve"> </v>
          </cell>
          <cell r="AD675" t="str">
            <v xml:space="preserve"> </v>
          </cell>
        </row>
        <row r="676">
          <cell r="AB676" t="str">
            <v xml:space="preserve"> </v>
          </cell>
          <cell r="AC676" t="str">
            <v xml:space="preserve"> </v>
          </cell>
          <cell r="AD676" t="str">
            <v xml:space="preserve"> </v>
          </cell>
        </row>
        <row r="677">
          <cell r="AB677" t="str">
            <v xml:space="preserve"> </v>
          </cell>
          <cell r="AC677" t="str">
            <v xml:space="preserve"> </v>
          </cell>
          <cell r="AD677" t="str">
            <v xml:space="preserve"> </v>
          </cell>
        </row>
        <row r="678">
          <cell r="AB678" t="str">
            <v xml:space="preserve"> </v>
          </cell>
          <cell r="AC678" t="str">
            <v xml:space="preserve"> </v>
          </cell>
          <cell r="AD678" t="str">
            <v xml:space="preserve"> </v>
          </cell>
        </row>
        <row r="679">
          <cell r="AB679" t="str">
            <v xml:space="preserve"> </v>
          </cell>
          <cell r="AC679" t="str">
            <v xml:space="preserve"> </v>
          </cell>
          <cell r="AD679" t="str">
            <v xml:space="preserve"> </v>
          </cell>
        </row>
        <row r="680">
          <cell r="AB680" t="str">
            <v xml:space="preserve"> </v>
          </cell>
          <cell r="AC680" t="str">
            <v xml:space="preserve"> </v>
          </cell>
          <cell r="AD680" t="str">
            <v xml:space="preserve"> </v>
          </cell>
        </row>
        <row r="681">
          <cell r="AB681" t="str">
            <v xml:space="preserve"> </v>
          </cell>
          <cell r="AC681" t="str">
            <v xml:space="preserve"> </v>
          </cell>
          <cell r="AD681" t="str">
            <v xml:space="preserve"> </v>
          </cell>
        </row>
        <row r="682">
          <cell r="AB682" t="str">
            <v xml:space="preserve"> </v>
          </cell>
          <cell r="AC682" t="str">
            <v xml:space="preserve"> </v>
          </cell>
          <cell r="AD682" t="str">
            <v xml:space="preserve"> </v>
          </cell>
        </row>
        <row r="683">
          <cell r="AB683" t="str">
            <v xml:space="preserve"> </v>
          </cell>
          <cell r="AC683" t="str">
            <v xml:space="preserve"> </v>
          </cell>
          <cell r="AD683" t="str">
            <v xml:space="preserve"> </v>
          </cell>
        </row>
        <row r="684">
          <cell r="AB684" t="str">
            <v xml:space="preserve"> </v>
          </cell>
          <cell r="AC684" t="str">
            <v xml:space="preserve"> </v>
          </cell>
          <cell r="AD684" t="str">
            <v xml:space="preserve"> </v>
          </cell>
        </row>
        <row r="685">
          <cell r="AB685" t="str">
            <v xml:space="preserve"> </v>
          </cell>
          <cell r="AC685" t="str">
            <v xml:space="preserve"> </v>
          </cell>
          <cell r="AD685" t="str">
            <v xml:space="preserve"> </v>
          </cell>
        </row>
        <row r="686">
          <cell r="AB686" t="str">
            <v xml:space="preserve"> </v>
          </cell>
          <cell r="AC686" t="str">
            <v xml:space="preserve"> </v>
          </cell>
          <cell r="AD686" t="str">
            <v xml:space="preserve"> </v>
          </cell>
        </row>
        <row r="687">
          <cell r="AB687" t="str">
            <v xml:space="preserve"> </v>
          </cell>
          <cell r="AC687" t="str">
            <v xml:space="preserve"> </v>
          </cell>
          <cell r="AD687" t="str">
            <v xml:space="preserve"> </v>
          </cell>
        </row>
        <row r="688">
          <cell r="AB688" t="str">
            <v xml:space="preserve"> </v>
          </cell>
          <cell r="AC688" t="str">
            <v xml:space="preserve"> </v>
          </cell>
          <cell r="AD688" t="str">
            <v xml:space="preserve"> </v>
          </cell>
        </row>
        <row r="689">
          <cell r="AB689" t="str">
            <v xml:space="preserve"> </v>
          </cell>
          <cell r="AC689" t="str">
            <v xml:space="preserve"> </v>
          </cell>
          <cell r="AD689" t="str">
            <v xml:space="preserve"> </v>
          </cell>
        </row>
        <row r="690">
          <cell r="AB690" t="str">
            <v xml:space="preserve"> </v>
          </cell>
          <cell r="AC690" t="str">
            <v xml:space="preserve"> </v>
          </cell>
          <cell r="AD690" t="str">
            <v xml:space="preserve"> </v>
          </cell>
        </row>
        <row r="691">
          <cell r="AB691" t="str">
            <v xml:space="preserve"> </v>
          </cell>
          <cell r="AC691" t="str">
            <v xml:space="preserve"> </v>
          </cell>
          <cell r="AD691" t="str">
            <v xml:space="preserve"> </v>
          </cell>
        </row>
        <row r="692">
          <cell r="AB692" t="str">
            <v xml:space="preserve"> </v>
          </cell>
          <cell r="AC692" t="str">
            <v xml:space="preserve"> </v>
          </cell>
          <cell r="AD692" t="str">
            <v xml:space="preserve"> </v>
          </cell>
        </row>
        <row r="693">
          <cell r="AB693" t="str">
            <v xml:space="preserve"> </v>
          </cell>
          <cell r="AC693" t="str">
            <v xml:space="preserve"> </v>
          </cell>
          <cell r="AD693" t="str">
            <v xml:space="preserve"> </v>
          </cell>
        </row>
        <row r="694">
          <cell r="AB694" t="str">
            <v xml:space="preserve"> </v>
          </cell>
          <cell r="AC694" t="str">
            <v xml:space="preserve"> </v>
          </cell>
          <cell r="AD694" t="str">
            <v xml:space="preserve"> </v>
          </cell>
        </row>
        <row r="695">
          <cell r="AB695" t="str">
            <v xml:space="preserve"> </v>
          </cell>
          <cell r="AC695" t="str">
            <v xml:space="preserve"> </v>
          </cell>
          <cell r="AD695" t="str">
            <v xml:space="preserve"> </v>
          </cell>
        </row>
        <row r="696">
          <cell r="AB696" t="str">
            <v xml:space="preserve"> </v>
          </cell>
          <cell r="AC696" t="str">
            <v xml:space="preserve"> </v>
          </cell>
          <cell r="AD696" t="str">
            <v xml:space="preserve"> </v>
          </cell>
        </row>
        <row r="697">
          <cell r="AB697" t="str">
            <v xml:space="preserve"> </v>
          </cell>
          <cell r="AC697" t="str">
            <v xml:space="preserve"> </v>
          </cell>
          <cell r="AD697" t="str">
            <v xml:space="preserve"> </v>
          </cell>
        </row>
        <row r="698">
          <cell r="AB698" t="str">
            <v xml:space="preserve"> </v>
          </cell>
          <cell r="AC698" t="str">
            <v xml:space="preserve"> </v>
          </cell>
          <cell r="AD698" t="str">
            <v xml:space="preserve"> </v>
          </cell>
        </row>
        <row r="699">
          <cell r="AB699" t="str">
            <v xml:space="preserve"> </v>
          </cell>
          <cell r="AC699" t="str">
            <v xml:space="preserve"> </v>
          </cell>
          <cell r="AD699" t="str">
            <v xml:space="preserve"> </v>
          </cell>
        </row>
        <row r="700">
          <cell r="AB700" t="str">
            <v xml:space="preserve"> </v>
          </cell>
          <cell r="AC700" t="str">
            <v xml:space="preserve"> </v>
          </cell>
          <cell r="AD700" t="str">
            <v xml:space="preserve"> </v>
          </cell>
        </row>
        <row r="701">
          <cell r="AB701" t="str">
            <v xml:space="preserve"> </v>
          </cell>
          <cell r="AC701" t="str">
            <v xml:space="preserve"> </v>
          </cell>
          <cell r="AD701" t="str">
            <v xml:space="preserve"> </v>
          </cell>
        </row>
        <row r="702">
          <cell r="AB702" t="str">
            <v xml:space="preserve"> </v>
          </cell>
          <cell r="AC702" t="str">
            <v xml:space="preserve"> </v>
          </cell>
          <cell r="AD702" t="str">
            <v xml:space="preserve"> </v>
          </cell>
        </row>
        <row r="703">
          <cell r="AB703" t="str">
            <v xml:space="preserve"> </v>
          </cell>
          <cell r="AC703" t="str">
            <v xml:space="preserve"> </v>
          </cell>
          <cell r="AD703" t="str">
            <v xml:space="preserve"> </v>
          </cell>
        </row>
        <row r="704">
          <cell r="AB704" t="str">
            <v xml:space="preserve"> </v>
          </cell>
          <cell r="AC704" t="str">
            <v xml:space="preserve"> </v>
          </cell>
          <cell r="AD704" t="str">
            <v xml:space="preserve"> </v>
          </cell>
        </row>
        <row r="705">
          <cell r="AB705" t="str">
            <v xml:space="preserve"> </v>
          </cell>
          <cell r="AC705" t="str">
            <v xml:space="preserve"> </v>
          </cell>
          <cell r="AD705" t="str">
            <v xml:space="preserve"> </v>
          </cell>
        </row>
        <row r="706">
          <cell r="AB706" t="str">
            <v xml:space="preserve"> </v>
          </cell>
          <cell r="AC706" t="str">
            <v xml:space="preserve"> </v>
          </cell>
          <cell r="AD706" t="str">
            <v xml:space="preserve"> </v>
          </cell>
        </row>
        <row r="707">
          <cell r="AB707" t="str">
            <v xml:space="preserve"> </v>
          </cell>
          <cell r="AC707" t="str">
            <v xml:space="preserve"> </v>
          </cell>
          <cell r="AD707" t="str">
            <v xml:space="preserve"> </v>
          </cell>
        </row>
        <row r="708">
          <cell r="AB708" t="str">
            <v xml:space="preserve"> </v>
          </cell>
          <cell r="AC708" t="str">
            <v xml:space="preserve"> </v>
          </cell>
          <cell r="AD708" t="str">
            <v xml:space="preserve"> </v>
          </cell>
        </row>
        <row r="709">
          <cell r="AB709" t="str">
            <v xml:space="preserve"> </v>
          </cell>
          <cell r="AC709" t="str">
            <v xml:space="preserve"> </v>
          </cell>
          <cell r="AD709" t="str">
            <v xml:space="preserve"> </v>
          </cell>
        </row>
        <row r="710">
          <cell r="AB710" t="str">
            <v xml:space="preserve"> </v>
          </cell>
          <cell r="AC710" t="str">
            <v xml:space="preserve"> </v>
          </cell>
          <cell r="AD710" t="str">
            <v xml:space="preserve"> </v>
          </cell>
        </row>
        <row r="711">
          <cell r="AB711" t="str">
            <v xml:space="preserve"> </v>
          </cell>
          <cell r="AC711" t="str">
            <v xml:space="preserve"> </v>
          </cell>
          <cell r="AD711" t="str">
            <v xml:space="preserve"> </v>
          </cell>
        </row>
        <row r="712">
          <cell r="AB712" t="str">
            <v xml:space="preserve"> </v>
          </cell>
          <cell r="AC712" t="str">
            <v xml:space="preserve"> </v>
          </cell>
          <cell r="AD712" t="str">
            <v xml:space="preserve"> </v>
          </cell>
        </row>
        <row r="713">
          <cell r="AB713" t="str">
            <v xml:space="preserve"> </v>
          </cell>
          <cell r="AC713" t="str">
            <v xml:space="preserve"> </v>
          </cell>
          <cell r="AD713" t="str">
            <v xml:space="preserve"> </v>
          </cell>
        </row>
        <row r="714">
          <cell r="AB714" t="str">
            <v xml:space="preserve"> </v>
          </cell>
          <cell r="AC714" t="str">
            <v xml:space="preserve"> </v>
          </cell>
          <cell r="AD714" t="str">
            <v xml:space="preserve"> </v>
          </cell>
        </row>
        <row r="715">
          <cell r="AB715" t="str">
            <v xml:space="preserve"> </v>
          </cell>
          <cell r="AC715" t="str">
            <v xml:space="preserve"> </v>
          </cell>
          <cell r="AD715" t="str">
            <v xml:space="preserve"> </v>
          </cell>
        </row>
        <row r="716">
          <cell r="AB716" t="str">
            <v xml:space="preserve"> </v>
          </cell>
          <cell r="AC716" t="str">
            <v xml:space="preserve"> </v>
          </cell>
          <cell r="AD716" t="str">
            <v xml:space="preserve"> </v>
          </cell>
        </row>
        <row r="717">
          <cell r="AB717" t="str">
            <v xml:space="preserve"> </v>
          </cell>
          <cell r="AC717" t="str">
            <v xml:space="preserve"> </v>
          </cell>
          <cell r="AD717" t="str">
            <v xml:space="preserve"> </v>
          </cell>
        </row>
        <row r="718">
          <cell r="AB718" t="str">
            <v xml:space="preserve"> </v>
          </cell>
          <cell r="AC718" t="str">
            <v xml:space="preserve"> </v>
          </cell>
          <cell r="AD718" t="str">
            <v xml:space="preserve"> </v>
          </cell>
        </row>
        <row r="719">
          <cell r="AB719" t="str">
            <v xml:space="preserve"> </v>
          </cell>
          <cell r="AC719" t="str">
            <v xml:space="preserve"> </v>
          </cell>
          <cell r="AD719" t="str">
            <v xml:space="preserve"> </v>
          </cell>
        </row>
        <row r="720">
          <cell r="AB720" t="str">
            <v xml:space="preserve"> </v>
          </cell>
          <cell r="AC720" t="str">
            <v xml:space="preserve"> </v>
          </cell>
          <cell r="AD720" t="str">
            <v xml:space="preserve"> </v>
          </cell>
        </row>
        <row r="721">
          <cell r="AB721" t="str">
            <v xml:space="preserve"> </v>
          </cell>
          <cell r="AC721" t="str">
            <v xml:space="preserve"> </v>
          </cell>
          <cell r="AD721" t="str">
            <v xml:space="preserve"> </v>
          </cell>
        </row>
        <row r="722">
          <cell r="AB722" t="str">
            <v xml:space="preserve"> </v>
          </cell>
          <cell r="AC722" t="str">
            <v xml:space="preserve"> </v>
          </cell>
          <cell r="AD722" t="str">
            <v xml:space="preserve"> </v>
          </cell>
        </row>
        <row r="723">
          <cell r="AB723" t="str">
            <v xml:space="preserve"> </v>
          </cell>
          <cell r="AC723" t="str">
            <v xml:space="preserve"> </v>
          </cell>
          <cell r="AD723" t="str">
            <v xml:space="preserve"> </v>
          </cell>
        </row>
        <row r="724">
          <cell r="AB724" t="str">
            <v xml:space="preserve"> </v>
          </cell>
          <cell r="AC724" t="str">
            <v xml:space="preserve"> </v>
          </cell>
          <cell r="AD724" t="str">
            <v xml:space="preserve"> </v>
          </cell>
        </row>
        <row r="725">
          <cell r="AB725" t="str">
            <v xml:space="preserve"> </v>
          </cell>
          <cell r="AC725" t="str">
            <v xml:space="preserve"> </v>
          </cell>
          <cell r="AD725" t="str">
            <v xml:space="preserve"> </v>
          </cell>
        </row>
        <row r="726">
          <cell r="AB726" t="str">
            <v xml:space="preserve"> </v>
          </cell>
          <cell r="AC726" t="str">
            <v xml:space="preserve"> </v>
          </cell>
          <cell r="AD726" t="str">
            <v xml:space="preserve"> </v>
          </cell>
        </row>
        <row r="727">
          <cell r="AB727" t="str">
            <v xml:space="preserve"> </v>
          </cell>
          <cell r="AC727" t="str">
            <v xml:space="preserve"> </v>
          </cell>
          <cell r="AD727" t="str">
            <v xml:space="preserve"> </v>
          </cell>
        </row>
        <row r="728">
          <cell r="AB728" t="str">
            <v xml:space="preserve"> </v>
          </cell>
          <cell r="AC728" t="str">
            <v xml:space="preserve"> </v>
          </cell>
          <cell r="AD728" t="str">
            <v xml:space="preserve"> </v>
          </cell>
        </row>
        <row r="729">
          <cell r="AB729" t="str">
            <v xml:space="preserve"> </v>
          </cell>
          <cell r="AC729" t="str">
            <v xml:space="preserve"> </v>
          </cell>
          <cell r="AD729" t="str">
            <v xml:space="preserve"> </v>
          </cell>
        </row>
        <row r="730">
          <cell r="AB730" t="str">
            <v xml:space="preserve"> </v>
          </cell>
          <cell r="AC730" t="str">
            <v xml:space="preserve"> </v>
          </cell>
          <cell r="AD730" t="str">
            <v xml:space="preserve"> </v>
          </cell>
        </row>
        <row r="731">
          <cell r="AB731" t="str">
            <v xml:space="preserve"> </v>
          </cell>
          <cell r="AC731" t="str">
            <v xml:space="preserve"> </v>
          </cell>
          <cell r="AD731" t="str">
            <v xml:space="preserve"> </v>
          </cell>
        </row>
        <row r="732">
          <cell r="AB732" t="str">
            <v xml:space="preserve"> </v>
          </cell>
          <cell r="AC732" t="str">
            <v xml:space="preserve"> </v>
          </cell>
          <cell r="AD732" t="str">
            <v xml:space="preserve"> </v>
          </cell>
        </row>
        <row r="733">
          <cell r="AB733" t="str">
            <v xml:space="preserve"> </v>
          </cell>
          <cell r="AC733" t="str">
            <v xml:space="preserve"> </v>
          </cell>
          <cell r="AD733" t="str">
            <v xml:space="preserve"> </v>
          </cell>
        </row>
        <row r="734">
          <cell r="AB734" t="str">
            <v xml:space="preserve"> </v>
          </cell>
          <cell r="AC734" t="str">
            <v xml:space="preserve"> </v>
          </cell>
          <cell r="AD734" t="str">
            <v xml:space="preserve"> </v>
          </cell>
        </row>
        <row r="735">
          <cell r="AB735" t="str">
            <v xml:space="preserve"> </v>
          </cell>
          <cell r="AC735" t="str">
            <v xml:space="preserve"> </v>
          </cell>
          <cell r="AD735" t="str">
            <v xml:space="preserve"> </v>
          </cell>
        </row>
        <row r="736">
          <cell r="AB736" t="str">
            <v xml:space="preserve"> </v>
          </cell>
          <cell r="AC736" t="str">
            <v xml:space="preserve"> </v>
          </cell>
          <cell r="AD736" t="str">
            <v xml:space="preserve"> </v>
          </cell>
        </row>
        <row r="737">
          <cell r="AB737" t="str">
            <v xml:space="preserve"> </v>
          </cell>
          <cell r="AC737" t="str">
            <v xml:space="preserve"> </v>
          </cell>
          <cell r="AD737" t="str">
            <v xml:space="preserve"> </v>
          </cell>
        </row>
        <row r="738">
          <cell r="AB738" t="str">
            <v xml:space="preserve"> </v>
          </cell>
          <cell r="AC738" t="str">
            <v xml:space="preserve"> </v>
          </cell>
          <cell r="AD738" t="str">
            <v xml:space="preserve"> </v>
          </cell>
        </row>
        <row r="739">
          <cell r="AB739" t="str">
            <v xml:space="preserve"> </v>
          </cell>
          <cell r="AC739" t="str">
            <v xml:space="preserve"> </v>
          </cell>
          <cell r="AD739" t="str">
            <v xml:space="preserve"> </v>
          </cell>
        </row>
        <row r="740">
          <cell r="AB740" t="str">
            <v xml:space="preserve"> </v>
          </cell>
          <cell r="AC740" t="str">
            <v xml:space="preserve"> </v>
          </cell>
          <cell r="AD740" t="str">
            <v xml:space="preserve"> </v>
          </cell>
        </row>
        <row r="741">
          <cell r="AB741" t="str">
            <v xml:space="preserve"> </v>
          </cell>
          <cell r="AC741" t="str">
            <v xml:space="preserve"> </v>
          </cell>
          <cell r="AD741" t="str">
            <v xml:space="preserve"> </v>
          </cell>
        </row>
        <row r="742">
          <cell r="AB742" t="str">
            <v xml:space="preserve"> </v>
          </cell>
          <cell r="AC742" t="str">
            <v xml:space="preserve"> </v>
          </cell>
          <cell r="AD742" t="str">
            <v xml:space="preserve"> </v>
          </cell>
        </row>
        <row r="743">
          <cell r="AB743" t="str">
            <v xml:space="preserve"> </v>
          </cell>
          <cell r="AC743" t="str">
            <v xml:space="preserve"> </v>
          </cell>
          <cell r="AD743" t="str">
            <v xml:space="preserve"> </v>
          </cell>
        </row>
        <row r="744">
          <cell r="AB744" t="str">
            <v xml:space="preserve"> </v>
          </cell>
          <cell r="AC744" t="str">
            <v xml:space="preserve"> </v>
          </cell>
          <cell r="AD744" t="str">
            <v xml:space="preserve"> </v>
          </cell>
        </row>
        <row r="745">
          <cell r="AB745" t="str">
            <v xml:space="preserve"> </v>
          </cell>
          <cell r="AC745" t="str">
            <v xml:space="preserve"> </v>
          </cell>
          <cell r="AD745" t="str">
            <v xml:space="preserve"> </v>
          </cell>
        </row>
        <row r="746">
          <cell r="AB746" t="str">
            <v xml:space="preserve"> </v>
          </cell>
          <cell r="AC746" t="str">
            <v xml:space="preserve"> </v>
          </cell>
          <cell r="AD746" t="str">
            <v xml:space="preserve"> </v>
          </cell>
        </row>
        <row r="747">
          <cell r="AB747" t="str">
            <v xml:space="preserve"> </v>
          </cell>
          <cell r="AC747" t="str">
            <v xml:space="preserve"> </v>
          </cell>
          <cell r="AD747" t="str">
            <v xml:space="preserve"> </v>
          </cell>
        </row>
        <row r="748">
          <cell r="AB748" t="str">
            <v xml:space="preserve"> </v>
          </cell>
          <cell r="AC748" t="str">
            <v xml:space="preserve"> </v>
          </cell>
          <cell r="AD748" t="str">
            <v xml:space="preserve"> </v>
          </cell>
        </row>
        <row r="749">
          <cell r="AB749" t="str">
            <v xml:space="preserve"> </v>
          </cell>
          <cell r="AC749" t="str">
            <v xml:space="preserve"> </v>
          </cell>
          <cell r="AD749" t="str">
            <v xml:space="preserve"> </v>
          </cell>
        </row>
        <row r="750">
          <cell r="AB750" t="str">
            <v xml:space="preserve"> </v>
          </cell>
          <cell r="AC750" t="str">
            <v xml:space="preserve"> </v>
          </cell>
          <cell r="AD750" t="str">
            <v xml:space="preserve"> </v>
          </cell>
        </row>
        <row r="751">
          <cell r="AB751" t="str">
            <v xml:space="preserve"> </v>
          </cell>
          <cell r="AC751" t="str">
            <v xml:space="preserve"> </v>
          </cell>
          <cell r="AD751" t="str">
            <v xml:space="preserve"> </v>
          </cell>
        </row>
        <row r="752">
          <cell r="AB752" t="str">
            <v xml:space="preserve"> </v>
          </cell>
          <cell r="AC752" t="str">
            <v xml:space="preserve"> </v>
          </cell>
          <cell r="AD752" t="str">
            <v xml:space="preserve"> </v>
          </cell>
        </row>
        <row r="753">
          <cell r="AB753" t="str">
            <v xml:space="preserve"> </v>
          </cell>
          <cell r="AC753" t="str">
            <v xml:space="preserve"> </v>
          </cell>
          <cell r="AD753" t="str">
            <v xml:space="preserve"> </v>
          </cell>
        </row>
        <row r="754">
          <cell r="AB754" t="str">
            <v xml:space="preserve"> </v>
          </cell>
          <cell r="AC754" t="str">
            <v xml:space="preserve"> </v>
          </cell>
          <cell r="AD754" t="str">
            <v xml:space="preserve"> </v>
          </cell>
        </row>
        <row r="755">
          <cell r="AB755" t="str">
            <v xml:space="preserve"> </v>
          </cell>
          <cell r="AC755" t="str">
            <v xml:space="preserve"> </v>
          </cell>
          <cell r="AD755" t="str">
            <v xml:space="preserve"> </v>
          </cell>
        </row>
        <row r="756">
          <cell r="AB756" t="str">
            <v xml:space="preserve"> </v>
          </cell>
          <cell r="AC756" t="str">
            <v xml:space="preserve"> </v>
          </cell>
          <cell r="AD756" t="str">
            <v xml:space="preserve"> </v>
          </cell>
        </row>
        <row r="757">
          <cell r="AB757" t="str">
            <v xml:space="preserve"> </v>
          </cell>
          <cell r="AC757" t="str">
            <v xml:space="preserve"> </v>
          </cell>
          <cell r="AD757" t="str">
            <v xml:space="preserve"> </v>
          </cell>
        </row>
        <row r="758">
          <cell r="AB758" t="str">
            <v xml:space="preserve"> </v>
          </cell>
          <cell r="AC758" t="str">
            <v xml:space="preserve"> </v>
          </cell>
          <cell r="AD758" t="str">
            <v xml:space="preserve"> </v>
          </cell>
        </row>
        <row r="759">
          <cell r="AB759" t="str">
            <v xml:space="preserve"> </v>
          </cell>
          <cell r="AC759" t="str">
            <v xml:space="preserve"> </v>
          </cell>
          <cell r="AD759" t="str">
            <v xml:space="preserve"> </v>
          </cell>
        </row>
        <row r="760">
          <cell r="AB760" t="str">
            <v xml:space="preserve"> </v>
          </cell>
          <cell r="AC760" t="str">
            <v xml:space="preserve"> </v>
          </cell>
          <cell r="AD760" t="str">
            <v xml:space="preserve"> </v>
          </cell>
        </row>
        <row r="761">
          <cell r="AB761" t="str">
            <v xml:space="preserve"> </v>
          </cell>
          <cell r="AC761" t="str">
            <v xml:space="preserve"> </v>
          </cell>
          <cell r="AD761" t="str">
            <v xml:space="preserve"> </v>
          </cell>
        </row>
        <row r="762">
          <cell r="AB762" t="str">
            <v xml:space="preserve"> </v>
          </cell>
          <cell r="AC762" t="str">
            <v xml:space="preserve"> </v>
          </cell>
          <cell r="AD762" t="str">
            <v xml:space="preserve"> </v>
          </cell>
        </row>
        <row r="763">
          <cell r="AB763" t="str">
            <v xml:space="preserve"> </v>
          </cell>
          <cell r="AC763" t="str">
            <v xml:space="preserve"> </v>
          </cell>
          <cell r="AD763" t="str">
            <v xml:space="preserve"> </v>
          </cell>
        </row>
        <row r="764">
          <cell r="AB764" t="str">
            <v xml:space="preserve"> </v>
          </cell>
          <cell r="AC764" t="str">
            <v xml:space="preserve"> </v>
          </cell>
          <cell r="AD764" t="str">
            <v xml:space="preserve"> </v>
          </cell>
        </row>
        <row r="765">
          <cell r="AB765" t="str">
            <v xml:space="preserve"> </v>
          </cell>
          <cell r="AC765" t="str">
            <v xml:space="preserve"> </v>
          </cell>
          <cell r="AD765" t="str">
            <v xml:space="preserve"> </v>
          </cell>
        </row>
        <row r="766">
          <cell r="AB766" t="str">
            <v xml:space="preserve"> </v>
          </cell>
          <cell r="AC766" t="str">
            <v xml:space="preserve"> </v>
          </cell>
          <cell r="AD766" t="str">
            <v xml:space="preserve"> </v>
          </cell>
        </row>
        <row r="767">
          <cell r="AB767" t="str">
            <v xml:space="preserve"> </v>
          </cell>
          <cell r="AC767" t="str">
            <v xml:space="preserve"> </v>
          </cell>
          <cell r="AD767" t="str">
            <v xml:space="preserve"> </v>
          </cell>
        </row>
        <row r="768">
          <cell r="AB768" t="str">
            <v xml:space="preserve"> </v>
          </cell>
          <cell r="AC768" t="str">
            <v xml:space="preserve"> </v>
          </cell>
          <cell r="AD768" t="str">
            <v xml:space="preserve"> </v>
          </cell>
        </row>
        <row r="769">
          <cell r="AB769" t="str">
            <v xml:space="preserve"> </v>
          </cell>
          <cell r="AC769" t="str">
            <v xml:space="preserve"> </v>
          </cell>
          <cell r="AD769" t="str">
            <v xml:space="preserve"> </v>
          </cell>
        </row>
        <row r="770">
          <cell r="AB770" t="str">
            <v xml:space="preserve"> </v>
          </cell>
          <cell r="AC770" t="str">
            <v xml:space="preserve"> </v>
          </cell>
          <cell r="AD770" t="str">
            <v xml:space="preserve"> </v>
          </cell>
        </row>
        <row r="771">
          <cell r="AB771" t="str">
            <v xml:space="preserve"> </v>
          </cell>
          <cell r="AC771" t="str">
            <v xml:space="preserve"> </v>
          </cell>
          <cell r="AD771" t="str">
            <v xml:space="preserve"> </v>
          </cell>
        </row>
        <row r="772">
          <cell r="AB772" t="str">
            <v xml:space="preserve"> </v>
          </cell>
          <cell r="AC772" t="str">
            <v xml:space="preserve"> </v>
          </cell>
          <cell r="AD772" t="str">
            <v xml:space="preserve"> </v>
          </cell>
        </row>
        <row r="773">
          <cell r="AB773" t="str">
            <v xml:space="preserve"> </v>
          </cell>
          <cell r="AC773" t="str">
            <v xml:space="preserve"> </v>
          </cell>
          <cell r="AD773" t="str">
            <v xml:space="preserve"> </v>
          </cell>
        </row>
        <row r="774">
          <cell r="AB774" t="str">
            <v xml:space="preserve"> </v>
          </cell>
          <cell r="AC774" t="str">
            <v xml:space="preserve"> </v>
          </cell>
          <cell r="AD774" t="str">
            <v xml:space="preserve"> </v>
          </cell>
        </row>
        <row r="775">
          <cell r="AB775" t="str">
            <v xml:space="preserve"> </v>
          </cell>
          <cell r="AC775" t="str">
            <v xml:space="preserve"> </v>
          </cell>
          <cell r="AD775" t="str">
            <v xml:space="preserve"> </v>
          </cell>
        </row>
        <row r="776">
          <cell r="AB776" t="str">
            <v xml:space="preserve"> </v>
          </cell>
          <cell r="AC776" t="str">
            <v xml:space="preserve"> </v>
          </cell>
          <cell r="AD776" t="str">
            <v xml:space="preserve"> </v>
          </cell>
        </row>
        <row r="777">
          <cell r="AB777" t="str">
            <v xml:space="preserve"> </v>
          </cell>
          <cell r="AC777" t="str">
            <v xml:space="preserve"> </v>
          </cell>
          <cell r="AD777" t="str">
            <v xml:space="preserve"> </v>
          </cell>
        </row>
        <row r="778">
          <cell r="AB778" t="str">
            <v xml:space="preserve"> </v>
          </cell>
          <cell r="AC778" t="str">
            <v xml:space="preserve"> </v>
          </cell>
          <cell r="AD778" t="str">
            <v xml:space="preserve"> </v>
          </cell>
        </row>
        <row r="779">
          <cell r="AB779" t="str">
            <v xml:space="preserve"> </v>
          </cell>
          <cell r="AC779" t="str">
            <v xml:space="preserve"> </v>
          </cell>
          <cell r="AD779" t="str">
            <v xml:space="preserve"> </v>
          </cell>
        </row>
        <row r="780">
          <cell r="AB780" t="str">
            <v xml:space="preserve"> </v>
          </cell>
          <cell r="AC780" t="str">
            <v xml:space="preserve"> </v>
          </cell>
          <cell r="AD780" t="str">
            <v xml:space="preserve"> </v>
          </cell>
        </row>
        <row r="781">
          <cell r="AB781" t="str">
            <v xml:space="preserve"> </v>
          </cell>
          <cell r="AC781" t="str">
            <v xml:space="preserve"> </v>
          </cell>
          <cell r="AD781" t="str">
            <v xml:space="preserve"> </v>
          </cell>
        </row>
        <row r="782">
          <cell r="AB782" t="str">
            <v xml:space="preserve"> </v>
          </cell>
          <cell r="AC782" t="str">
            <v xml:space="preserve"> </v>
          </cell>
          <cell r="AD782" t="str">
            <v xml:space="preserve"> </v>
          </cell>
        </row>
        <row r="783">
          <cell r="AB783" t="str">
            <v xml:space="preserve"> </v>
          </cell>
          <cell r="AC783" t="str">
            <v xml:space="preserve"> </v>
          </cell>
          <cell r="AD783" t="str">
            <v xml:space="preserve"> </v>
          </cell>
        </row>
        <row r="784">
          <cell r="AB784" t="str">
            <v xml:space="preserve"> </v>
          </cell>
          <cell r="AC784" t="str">
            <v xml:space="preserve"> </v>
          </cell>
          <cell r="AD784" t="str">
            <v xml:space="preserve"> </v>
          </cell>
        </row>
        <row r="785">
          <cell r="AB785" t="str">
            <v xml:space="preserve"> </v>
          </cell>
          <cell r="AC785" t="str">
            <v xml:space="preserve"> </v>
          </cell>
          <cell r="AD785" t="str">
            <v xml:space="preserve"> </v>
          </cell>
        </row>
        <row r="786">
          <cell r="AB786" t="str">
            <v xml:space="preserve"> </v>
          </cell>
          <cell r="AC786" t="str">
            <v xml:space="preserve"> </v>
          </cell>
          <cell r="AD786" t="str">
            <v xml:space="preserve"> </v>
          </cell>
        </row>
        <row r="787">
          <cell r="AB787" t="str">
            <v xml:space="preserve"> </v>
          </cell>
          <cell r="AC787" t="str">
            <v xml:space="preserve"> </v>
          </cell>
          <cell r="AD787" t="str">
            <v xml:space="preserve"> </v>
          </cell>
        </row>
        <row r="788">
          <cell r="AB788" t="str">
            <v xml:space="preserve"> </v>
          </cell>
          <cell r="AC788" t="str">
            <v xml:space="preserve"> </v>
          </cell>
          <cell r="AD788" t="str">
            <v xml:space="preserve"> </v>
          </cell>
        </row>
        <row r="789">
          <cell r="AB789" t="str">
            <v xml:space="preserve"> </v>
          </cell>
          <cell r="AC789" t="str">
            <v xml:space="preserve"> </v>
          </cell>
          <cell r="AD789" t="str">
            <v xml:space="preserve"> </v>
          </cell>
        </row>
        <row r="790">
          <cell r="AB790" t="str">
            <v xml:space="preserve"> </v>
          </cell>
          <cell r="AC790" t="str">
            <v xml:space="preserve"> </v>
          </cell>
          <cell r="AD790" t="str">
            <v xml:space="preserve"> </v>
          </cell>
        </row>
        <row r="791">
          <cell r="AB791" t="str">
            <v xml:space="preserve"> </v>
          </cell>
          <cell r="AC791" t="str">
            <v xml:space="preserve"> </v>
          </cell>
          <cell r="AD791" t="str">
            <v xml:space="preserve"> </v>
          </cell>
        </row>
        <row r="792">
          <cell r="AB792" t="str">
            <v xml:space="preserve"> </v>
          </cell>
          <cell r="AC792" t="str">
            <v xml:space="preserve"> </v>
          </cell>
          <cell r="AD792" t="str">
            <v xml:space="preserve"> </v>
          </cell>
        </row>
        <row r="793">
          <cell r="AB793" t="str">
            <v xml:space="preserve"> </v>
          </cell>
          <cell r="AC793" t="str">
            <v xml:space="preserve"> </v>
          </cell>
          <cell r="AD793" t="str">
            <v xml:space="preserve"> </v>
          </cell>
        </row>
        <row r="794">
          <cell r="AB794" t="str">
            <v xml:space="preserve"> </v>
          </cell>
          <cell r="AC794" t="str">
            <v xml:space="preserve"> </v>
          </cell>
          <cell r="AD794" t="str">
            <v xml:space="preserve"> </v>
          </cell>
        </row>
        <row r="795">
          <cell r="AB795" t="str">
            <v xml:space="preserve"> </v>
          </cell>
          <cell r="AC795" t="str">
            <v xml:space="preserve"> </v>
          </cell>
          <cell r="AD795" t="str">
            <v xml:space="preserve"> </v>
          </cell>
        </row>
        <row r="796">
          <cell r="AB796" t="str">
            <v xml:space="preserve"> </v>
          </cell>
          <cell r="AC796" t="str">
            <v xml:space="preserve"> </v>
          </cell>
          <cell r="AD796" t="str">
            <v xml:space="preserve"> </v>
          </cell>
        </row>
        <row r="797">
          <cell r="AB797" t="str">
            <v xml:space="preserve"> </v>
          </cell>
          <cell r="AC797" t="str">
            <v xml:space="preserve"> </v>
          </cell>
          <cell r="AD797" t="str">
            <v xml:space="preserve"> </v>
          </cell>
        </row>
        <row r="798">
          <cell r="AB798" t="str">
            <v xml:space="preserve"> </v>
          </cell>
          <cell r="AC798" t="str">
            <v xml:space="preserve"> </v>
          </cell>
          <cell r="AD798" t="str">
            <v xml:space="preserve"> </v>
          </cell>
        </row>
        <row r="799">
          <cell r="AB799" t="str">
            <v xml:space="preserve"> </v>
          </cell>
          <cell r="AC799" t="str">
            <v xml:space="preserve"> </v>
          </cell>
          <cell r="AD799" t="str">
            <v xml:space="preserve"> </v>
          </cell>
        </row>
        <row r="800">
          <cell r="AB800" t="str">
            <v xml:space="preserve"> </v>
          </cell>
          <cell r="AC800" t="str">
            <v xml:space="preserve"> </v>
          </cell>
          <cell r="AD800" t="str">
            <v xml:space="preserve"> </v>
          </cell>
        </row>
        <row r="801">
          <cell r="AB801" t="str">
            <v xml:space="preserve"> </v>
          </cell>
          <cell r="AC801" t="str">
            <v xml:space="preserve"> </v>
          </cell>
          <cell r="AD801" t="str">
            <v xml:space="preserve"> </v>
          </cell>
        </row>
        <row r="802">
          <cell r="AB802" t="str">
            <v xml:space="preserve"> </v>
          </cell>
          <cell r="AC802" t="str">
            <v xml:space="preserve"> </v>
          </cell>
          <cell r="AD802" t="str">
            <v xml:space="preserve"> </v>
          </cell>
        </row>
        <row r="803">
          <cell r="AB803" t="str">
            <v xml:space="preserve"> </v>
          </cell>
          <cell r="AC803" t="str">
            <v xml:space="preserve"> </v>
          </cell>
          <cell r="AD803" t="str">
            <v xml:space="preserve"> </v>
          </cell>
        </row>
        <row r="804">
          <cell r="AB804" t="str">
            <v xml:space="preserve"> </v>
          </cell>
          <cell r="AC804" t="str">
            <v xml:space="preserve"> </v>
          </cell>
          <cell r="AD804" t="str">
            <v xml:space="preserve"> </v>
          </cell>
        </row>
        <row r="805">
          <cell r="AB805" t="str">
            <v xml:space="preserve"> </v>
          </cell>
          <cell r="AC805" t="str">
            <v xml:space="preserve"> </v>
          </cell>
          <cell r="AD805" t="str">
            <v xml:space="preserve"> </v>
          </cell>
        </row>
        <row r="806">
          <cell r="AB806" t="str">
            <v xml:space="preserve"> </v>
          </cell>
          <cell r="AC806" t="str">
            <v xml:space="preserve"> </v>
          </cell>
          <cell r="AD806" t="str">
            <v xml:space="preserve"> </v>
          </cell>
        </row>
        <row r="807">
          <cell r="AB807" t="str">
            <v xml:space="preserve"> </v>
          </cell>
          <cell r="AC807" t="str">
            <v xml:space="preserve"> </v>
          </cell>
          <cell r="AD807" t="str">
            <v xml:space="preserve"> </v>
          </cell>
        </row>
        <row r="808">
          <cell r="AB808" t="str">
            <v xml:space="preserve"> </v>
          </cell>
          <cell r="AC808" t="str">
            <v xml:space="preserve"> </v>
          </cell>
          <cell r="AD808" t="str">
            <v xml:space="preserve"> </v>
          </cell>
        </row>
        <row r="809">
          <cell r="AB809" t="str">
            <v xml:space="preserve"> </v>
          </cell>
          <cell r="AC809" t="str">
            <v xml:space="preserve"> </v>
          </cell>
          <cell r="AD809" t="str">
            <v xml:space="preserve"> </v>
          </cell>
        </row>
        <row r="810">
          <cell r="AB810" t="str">
            <v xml:space="preserve"> </v>
          </cell>
          <cell r="AC810" t="str">
            <v xml:space="preserve"> </v>
          </cell>
          <cell r="AD810" t="str">
            <v xml:space="preserve"> </v>
          </cell>
        </row>
        <row r="811">
          <cell r="AB811" t="str">
            <v xml:space="preserve"> </v>
          </cell>
          <cell r="AC811" t="str">
            <v xml:space="preserve"> </v>
          </cell>
          <cell r="AD811" t="str">
            <v xml:space="preserve"> </v>
          </cell>
        </row>
        <row r="812">
          <cell r="AB812" t="str">
            <v xml:space="preserve"> </v>
          </cell>
          <cell r="AC812" t="str">
            <v xml:space="preserve"> </v>
          </cell>
          <cell r="AD812" t="str">
            <v xml:space="preserve"> </v>
          </cell>
        </row>
        <row r="813">
          <cell r="AB813" t="str">
            <v xml:space="preserve"> </v>
          </cell>
          <cell r="AC813" t="str">
            <v xml:space="preserve"> </v>
          </cell>
          <cell r="AD813" t="str">
            <v xml:space="preserve"> </v>
          </cell>
        </row>
        <row r="814">
          <cell r="AB814" t="str">
            <v xml:space="preserve"> </v>
          </cell>
          <cell r="AC814" t="str">
            <v xml:space="preserve"> </v>
          </cell>
          <cell r="AD814" t="str">
            <v xml:space="preserve"> </v>
          </cell>
        </row>
        <row r="815">
          <cell r="AB815" t="str">
            <v xml:space="preserve"> </v>
          </cell>
          <cell r="AC815" t="str">
            <v xml:space="preserve"> </v>
          </cell>
          <cell r="AD815" t="str">
            <v xml:space="preserve"> </v>
          </cell>
        </row>
        <row r="816">
          <cell r="AB816" t="str">
            <v xml:space="preserve"> </v>
          </cell>
          <cell r="AC816" t="str">
            <v xml:space="preserve"> </v>
          </cell>
          <cell r="AD816" t="str">
            <v xml:space="preserve"> </v>
          </cell>
        </row>
        <row r="817">
          <cell r="AB817" t="str">
            <v xml:space="preserve"> </v>
          </cell>
          <cell r="AC817" t="str">
            <v xml:space="preserve"> </v>
          </cell>
          <cell r="AD817" t="str">
            <v xml:space="preserve"> </v>
          </cell>
        </row>
        <row r="818">
          <cell r="AB818" t="str">
            <v xml:space="preserve"> </v>
          </cell>
          <cell r="AC818" t="str">
            <v xml:space="preserve"> </v>
          </cell>
          <cell r="AD818" t="str">
            <v xml:space="preserve"> </v>
          </cell>
        </row>
        <row r="819">
          <cell r="AB819" t="str">
            <v xml:space="preserve"> </v>
          </cell>
          <cell r="AC819" t="str">
            <v xml:space="preserve"> </v>
          </cell>
          <cell r="AD819" t="str">
            <v xml:space="preserve"> </v>
          </cell>
        </row>
        <row r="820">
          <cell r="AB820" t="str">
            <v xml:space="preserve"> </v>
          </cell>
          <cell r="AC820" t="str">
            <v xml:space="preserve"> </v>
          </cell>
          <cell r="AD820" t="str">
            <v xml:space="preserve"> </v>
          </cell>
        </row>
        <row r="821">
          <cell r="AB821" t="str">
            <v xml:space="preserve"> </v>
          </cell>
          <cell r="AC821" t="str">
            <v xml:space="preserve"> </v>
          </cell>
          <cell r="AD821" t="str">
            <v xml:space="preserve"> </v>
          </cell>
        </row>
        <row r="822">
          <cell r="AB822" t="str">
            <v xml:space="preserve"> </v>
          </cell>
          <cell r="AC822" t="str">
            <v xml:space="preserve"> </v>
          </cell>
          <cell r="AD822" t="str">
            <v xml:space="preserve"> </v>
          </cell>
        </row>
        <row r="823">
          <cell r="AB823" t="str">
            <v xml:space="preserve"> </v>
          </cell>
          <cell r="AC823" t="str">
            <v xml:space="preserve"> </v>
          </cell>
          <cell r="AD823" t="str">
            <v xml:space="preserve"> </v>
          </cell>
        </row>
        <row r="824">
          <cell r="AB824" t="str">
            <v xml:space="preserve"> </v>
          </cell>
          <cell r="AC824" t="str">
            <v xml:space="preserve"> </v>
          </cell>
          <cell r="AD824" t="str">
            <v xml:space="preserve"> </v>
          </cell>
        </row>
        <row r="825">
          <cell r="AB825" t="str">
            <v xml:space="preserve"> </v>
          </cell>
          <cell r="AC825" t="str">
            <v xml:space="preserve"> </v>
          </cell>
          <cell r="AD825" t="str">
            <v xml:space="preserve"> </v>
          </cell>
        </row>
        <row r="826">
          <cell r="AB826" t="str">
            <v xml:space="preserve"> </v>
          </cell>
          <cell r="AC826" t="str">
            <v xml:space="preserve"> </v>
          </cell>
          <cell r="AD826" t="str">
            <v xml:space="preserve"> </v>
          </cell>
        </row>
        <row r="827">
          <cell r="AB827" t="str">
            <v xml:space="preserve"> </v>
          </cell>
          <cell r="AC827" t="str">
            <v xml:space="preserve"> </v>
          </cell>
          <cell r="AD827" t="str">
            <v xml:space="preserve"> </v>
          </cell>
        </row>
        <row r="828">
          <cell r="AB828" t="str">
            <v xml:space="preserve"> </v>
          </cell>
          <cell r="AC828" t="str">
            <v xml:space="preserve"> </v>
          </cell>
          <cell r="AD828" t="str">
            <v xml:space="preserve"> </v>
          </cell>
        </row>
        <row r="829">
          <cell r="AB829" t="str">
            <v xml:space="preserve"> </v>
          </cell>
          <cell r="AC829" t="str">
            <v xml:space="preserve"> </v>
          </cell>
          <cell r="AD829" t="str">
            <v xml:space="preserve"> </v>
          </cell>
        </row>
        <row r="830">
          <cell r="AB830" t="str">
            <v xml:space="preserve"> </v>
          </cell>
          <cell r="AC830" t="str">
            <v xml:space="preserve"> </v>
          </cell>
          <cell r="AD830" t="str">
            <v xml:space="preserve"> </v>
          </cell>
        </row>
        <row r="831">
          <cell r="AB831" t="str">
            <v xml:space="preserve"> </v>
          </cell>
          <cell r="AC831" t="str">
            <v xml:space="preserve"> </v>
          </cell>
          <cell r="AD831" t="str">
            <v xml:space="preserve"> </v>
          </cell>
        </row>
        <row r="832">
          <cell r="AB832" t="str">
            <v xml:space="preserve"> </v>
          </cell>
          <cell r="AC832" t="str">
            <v xml:space="preserve"> </v>
          </cell>
          <cell r="AD832" t="str">
            <v xml:space="preserve"> </v>
          </cell>
        </row>
        <row r="833">
          <cell r="AB833" t="str">
            <v xml:space="preserve"> </v>
          </cell>
          <cell r="AC833" t="str">
            <v xml:space="preserve"> </v>
          </cell>
          <cell r="AD833" t="str">
            <v xml:space="preserve"> </v>
          </cell>
        </row>
        <row r="834">
          <cell r="AB834" t="str">
            <v xml:space="preserve"> </v>
          </cell>
          <cell r="AC834" t="str">
            <v xml:space="preserve"> </v>
          </cell>
          <cell r="AD834" t="str">
            <v xml:space="preserve"> </v>
          </cell>
        </row>
        <row r="835">
          <cell r="AB835" t="str">
            <v xml:space="preserve"> </v>
          </cell>
          <cell r="AC835" t="str">
            <v xml:space="preserve"> </v>
          </cell>
          <cell r="AD835" t="str">
            <v xml:space="preserve"> </v>
          </cell>
        </row>
        <row r="836">
          <cell r="AB836" t="str">
            <v xml:space="preserve"> </v>
          </cell>
          <cell r="AC836" t="str">
            <v xml:space="preserve"> </v>
          </cell>
          <cell r="AD836" t="str">
            <v xml:space="preserve"> </v>
          </cell>
        </row>
        <row r="837">
          <cell r="AB837" t="str">
            <v xml:space="preserve"> </v>
          </cell>
          <cell r="AC837" t="str">
            <v xml:space="preserve"> </v>
          </cell>
          <cell r="AD837" t="str">
            <v xml:space="preserve"> </v>
          </cell>
        </row>
        <row r="838">
          <cell r="AB838" t="str">
            <v xml:space="preserve"> </v>
          </cell>
          <cell r="AC838" t="str">
            <v xml:space="preserve"> </v>
          </cell>
          <cell r="AD838" t="str">
            <v xml:space="preserve"> </v>
          </cell>
        </row>
        <row r="839">
          <cell r="AB839" t="str">
            <v xml:space="preserve"> </v>
          </cell>
          <cell r="AC839" t="str">
            <v xml:space="preserve"> </v>
          </cell>
          <cell r="AD839" t="str">
            <v xml:space="preserve"> </v>
          </cell>
        </row>
        <row r="840">
          <cell r="AB840" t="str">
            <v xml:space="preserve"> </v>
          </cell>
          <cell r="AC840" t="str">
            <v xml:space="preserve"> </v>
          </cell>
          <cell r="AD840" t="str">
            <v xml:space="preserve"> </v>
          </cell>
        </row>
        <row r="841">
          <cell r="AB841" t="str">
            <v xml:space="preserve"> </v>
          </cell>
          <cell r="AC841" t="str">
            <v xml:space="preserve"> </v>
          </cell>
          <cell r="AD841" t="str">
            <v xml:space="preserve"> </v>
          </cell>
        </row>
        <row r="842">
          <cell r="AB842" t="str">
            <v xml:space="preserve"> </v>
          </cell>
          <cell r="AC842" t="str">
            <v xml:space="preserve"> </v>
          </cell>
          <cell r="AD842" t="str">
            <v xml:space="preserve"> </v>
          </cell>
        </row>
        <row r="843">
          <cell r="AB843" t="str">
            <v xml:space="preserve"> </v>
          </cell>
          <cell r="AC843" t="str">
            <v xml:space="preserve"> </v>
          </cell>
          <cell r="AD843" t="str">
            <v xml:space="preserve"> </v>
          </cell>
        </row>
        <row r="844">
          <cell r="AB844" t="str">
            <v xml:space="preserve"> </v>
          </cell>
          <cell r="AC844" t="str">
            <v xml:space="preserve"> </v>
          </cell>
          <cell r="AD844" t="str">
            <v xml:space="preserve"> </v>
          </cell>
        </row>
        <row r="845">
          <cell r="AB845" t="str">
            <v xml:space="preserve"> </v>
          </cell>
          <cell r="AC845" t="str">
            <v xml:space="preserve"> </v>
          </cell>
          <cell r="AD845" t="str">
            <v xml:space="preserve"> </v>
          </cell>
        </row>
        <row r="846">
          <cell r="AB846" t="str">
            <v xml:space="preserve"> </v>
          </cell>
          <cell r="AC846" t="str">
            <v xml:space="preserve"> </v>
          </cell>
          <cell r="AD846" t="str">
            <v xml:space="preserve"> </v>
          </cell>
        </row>
        <row r="847">
          <cell r="AB847" t="str">
            <v xml:space="preserve"> </v>
          </cell>
          <cell r="AC847" t="str">
            <v xml:space="preserve"> </v>
          </cell>
          <cell r="AD847" t="str">
            <v xml:space="preserve"> </v>
          </cell>
        </row>
        <row r="848">
          <cell r="AB848" t="str">
            <v xml:space="preserve"> </v>
          </cell>
          <cell r="AC848" t="str">
            <v xml:space="preserve"> </v>
          </cell>
          <cell r="AD848" t="str">
            <v xml:space="preserve"> </v>
          </cell>
        </row>
        <row r="849">
          <cell r="AB849" t="str">
            <v xml:space="preserve"> </v>
          </cell>
          <cell r="AC849" t="str">
            <v xml:space="preserve"> </v>
          </cell>
          <cell r="AD849" t="str">
            <v xml:space="preserve"> </v>
          </cell>
        </row>
        <row r="850">
          <cell r="AB850" t="str">
            <v xml:space="preserve"> </v>
          </cell>
          <cell r="AC850" t="str">
            <v xml:space="preserve"> </v>
          </cell>
          <cell r="AD850" t="str">
            <v xml:space="preserve"> </v>
          </cell>
        </row>
        <row r="851">
          <cell r="AB851" t="str">
            <v xml:space="preserve"> </v>
          </cell>
          <cell r="AC851" t="str">
            <v xml:space="preserve"> </v>
          </cell>
          <cell r="AD851" t="str">
            <v xml:space="preserve"> </v>
          </cell>
        </row>
        <row r="852">
          <cell r="AB852" t="str">
            <v xml:space="preserve"> </v>
          </cell>
          <cell r="AC852" t="str">
            <v xml:space="preserve"> </v>
          </cell>
          <cell r="AD852" t="str">
            <v xml:space="preserve"> </v>
          </cell>
        </row>
        <row r="853">
          <cell r="AB853" t="str">
            <v xml:space="preserve"> </v>
          </cell>
          <cell r="AC853" t="str">
            <v xml:space="preserve"> </v>
          </cell>
          <cell r="AD853" t="str">
            <v xml:space="preserve"> </v>
          </cell>
        </row>
        <row r="854">
          <cell r="AB854" t="str">
            <v xml:space="preserve"> </v>
          </cell>
          <cell r="AC854" t="str">
            <v xml:space="preserve"> </v>
          </cell>
          <cell r="AD854" t="str">
            <v xml:space="preserve"> </v>
          </cell>
        </row>
        <row r="855">
          <cell r="AB855" t="str">
            <v xml:space="preserve"> </v>
          </cell>
          <cell r="AC855" t="str">
            <v xml:space="preserve"> </v>
          </cell>
          <cell r="AD855" t="str">
            <v xml:space="preserve"> </v>
          </cell>
        </row>
        <row r="856">
          <cell r="AB856" t="str">
            <v xml:space="preserve"> </v>
          </cell>
          <cell r="AC856" t="str">
            <v xml:space="preserve"> </v>
          </cell>
          <cell r="AD856" t="str">
            <v xml:space="preserve"> </v>
          </cell>
        </row>
        <row r="857">
          <cell r="AB857" t="str">
            <v xml:space="preserve"> </v>
          </cell>
          <cell r="AC857" t="str">
            <v xml:space="preserve"> </v>
          </cell>
          <cell r="AD857" t="str">
            <v xml:space="preserve"> </v>
          </cell>
        </row>
        <row r="858">
          <cell r="AB858" t="str">
            <v xml:space="preserve"> </v>
          </cell>
          <cell r="AC858" t="str">
            <v xml:space="preserve"> </v>
          </cell>
          <cell r="AD858" t="str">
            <v xml:space="preserve"> </v>
          </cell>
        </row>
        <row r="859">
          <cell r="AB859" t="str">
            <v xml:space="preserve"> </v>
          </cell>
          <cell r="AC859" t="str">
            <v xml:space="preserve"> </v>
          </cell>
          <cell r="AD859" t="str">
            <v xml:space="preserve"> </v>
          </cell>
        </row>
        <row r="860">
          <cell r="AB860" t="str">
            <v xml:space="preserve"> </v>
          </cell>
          <cell r="AC860" t="str">
            <v xml:space="preserve"> </v>
          </cell>
          <cell r="AD860" t="str">
            <v xml:space="preserve"> </v>
          </cell>
        </row>
        <row r="861">
          <cell r="AB861" t="str">
            <v xml:space="preserve"> </v>
          </cell>
          <cell r="AC861" t="str">
            <v xml:space="preserve"> </v>
          </cell>
          <cell r="AD861" t="str">
            <v xml:space="preserve"> </v>
          </cell>
        </row>
        <row r="862">
          <cell r="AB862" t="str">
            <v xml:space="preserve"> </v>
          </cell>
          <cell r="AC862" t="str">
            <v xml:space="preserve"> </v>
          </cell>
          <cell r="AD862" t="str">
            <v xml:space="preserve"> </v>
          </cell>
        </row>
        <row r="863">
          <cell r="AB863" t="str">
            <v xml:space="preserve"> </v>
          </cell>
          <cell r="AC863" t="str">
            <v xml:space="preserve"> </v>
          </cell>
          <cell r="AD863" t="str">
            <v xml:space="preserve"> </v>
          </cell>
        </row>
        <row r="864">
          <cell r="AB864" t="str">
            <v xml:space="preserve"> </v>
          </cell>
          <cell r="AC864" t="str">
            <v xml:space="preserve"> </v>
          </cell>
          <cell r="AD864" t="str">
            <v xml:space="preserve"> </v>
          </cell>
        </row>
        <row r="865">
          <cell r="AB865" t="str">
            <v xml:space="preserve"> </v>
          </cell>
          <cell r="AC865" t="str">
            <v xml:space="preserve"> </v>
          </cell>
          <cell r="AD865" t="str">
            <v xml:space="preserve"> </v>
          </cell>
        </row>
        <row r="866">
          <cell r="AB866" t="str">
            <v xml:space="preserve"> </v>
          </cell>
          <cell r="AC866" t="str">
            <v xml:space="preserve"> </v>
          </cell>
          <cell r="AD866" t="str">
            <v xml:space="preserve"> </v>
          </cell>
        </row>
        <row r="867">
          <cell r="AB867" t="str">
            <v xml:space="preserve"> </v>
          </cell>
          <cell r="AC867" t="str">
            <v xml:space="preserve"> </v>
          </cell>
          <cell r="AD867" t="str">
            <v xml:space="preserve"> </v>
          </cell>
        </row>
        <row r="868">
          <cell r="AB868" t="str">
            <v xml:space="preserve"> </v>
          </cell>
          <cell r="AC868" t="str">
            <v xml:space="preserve"> </v>
          </cell>
          <cell r="AD868" t="str">
            <v xml:space="preserve"> </v>
          </cell>
        </row>
        <row r="869">
          <cell r="AB869" t="str">
            <v xml:space="preserve"> </v>
          </cell>
          <cell r="AC869" t="str">
            <v xml:space="preserve"> </v>
          </cell>
          <cell r="AD869" t="str">
            <v xml:space="preserve"> </v>
          </cell>
        </row>
        <row r="870">
          <cell r="AB870" t="str">
            <v xml:space="preserve"> </v>
          </cell>
          <cell r="AC870" t="str">
            <v xml:space="preserve"> </v>
          </cell>
          <cell r="AD870" t="str">
            <v xml:space="preserve"> </v>
          </cell>
        </row>
        <row r="871">
          <cell r="AB871" t="str">
            <v xml:space="preserve"> </v>
          </cell>
          <cell r="AC871" t="str">
            <v xml:space="preserve"> </v>
          </cell>
          <cell r="AD871" t="str">
            <v xml:space="preserve"> </v>
          </cell>
        </row>
        <row r="872">
          <cell r="AB872" t="str">
            <v xml:space="preserve"> </v>
          </cell>
          <cell r="AC872" t="str">
            <v xml:space="preserve"> </v>
          </cell>
          <cell r="AD872" t="str">
            <v xml:space="preserve"> </v>
          </cell>
        </row>
        <row r="873">
          <cell r="AB873" t="str">
            <v xml:space="preserve"> </v>
          </cell>
          <cell r="AC873" t="str">
            <v xml:space="preserve"> </v>
          </cell>
          <cell r="AD873" t="str">
            <v xml:space="preserve"> </v>
          </cell>
        </row>
        <row r="874">
          <cell r="AB874" t="str">
            <v xml:space="preserve"> </v>
          </cell>
          <cell r="AC874" t="str">
            <v xml:space="preserve"> </v>
          </cell>
          <cell r="AD874" t="str">
            <v xml:space="preserve"> </v>
          </cell>
        </row>
        <row r="875">
          <cell r="AB875" t="str">
            <v xml:space="preserve"> </v>
          </cell>
          <cell r="AC875" t="str">
            <v xml:space="preserve"> </v>
          </cell>
          <cell r="AD875" t="str">
            <v xml:space="preserve"> </v>
          </cell>
        </row>
        <row r="876">
          <cell r="AB876" t="str">
            <v xml:space="preserve"> </v>
          </cell>
          <cell r="AC876" t="str">
            <v xml:space="preserve"> </v>
          </cell>
          <cell r="AD876" t="str">
            <v xml:space="preserve"> </v>
          </cell>
        </row>
        <row r="877">
          <cell r="AB877" t="str">
            <v xml:space="preserve"> </v>
          </cell>
          <cell r="AC877" t="str">
            <v xml:space="preserve"> </v>
          </cell>
          <cell r="AD877" t="str">
            <v xml:space="preserve"> </v>
          </cell>
        </row>
        <row r="878">
          <cell r="AB878" t="str">
            <v xml:space="preserve"> </v>
          </cell>
          <cell r="AC878" t="str">
            <v xml:space="preserve"> </v>
          </cell>
          <cell r="AD878" t="str">
            <v xml:space="preserve"> </v>
          </cell>
        </row>
        <row r="879">
          <cell r="AB879" t="str">
            <v xml:space="preserve"> </v>
          </cell>
          <cell r="AC879" t="str">
            <v xml:space="preserve"> </v>
          </cell>
          <cell r="AD879" t="str">
            <v xml:space="preserve"> </v>
          </cell>
        </row>
        <row r="880">
          <cell r="AB880" t="str">
            <v xml:space="preserve"> </v>
          </cell>
          <cell r="AC880" t="str">
            <v xml:space="preserve"> </v>
          </cell>
          <cell r="AD880" t="str">
            <v xml:space="preserve"> </v>
          </cell>
        </row>
        <row r="881">
          <cell r="AB881" t="str">
            <v xml:space="preserve"> </v>
          </cell>
          <cell r="AC881" t="str">
            <v xml:space="preserve"> </v>
          </cell>
          <cell r="AD881" t="str">
            <v xml:space="preserve"> </v>
          </cell>
        </row>
        <row r="882">
          <cell r="AB882" t="str">
            <v xml:space="preserve"> </v>
          </cell>
          <cell r="AC882" t="str">
            <v xml:space="preserve"> </v>
          </cell>
          <cell r="AD882" t="str">
            <v xml:space="preserve"> </v>
          </cell>
        </row>
        <row r="883">
          <cell r="AB883" t="str">
            <v xml:space="preserve"> </v>
          </cell>
          <cell r="AC883" t="str">
            <v xml:space="preserve"> </v>
          </cell>
          <cell r="AD883" t="str">
            <v xml:space="preserve"> </v>
          </cell>
        </row>
        <row r="884">
          <cell r="AB884" t="str">
            <v xml:space="preserve"> </v>
          </cell>
          <cell r="AC884" t="str">
            <v xml:space="preserve"> </v>
          </cell>
          <cell r="AD884" t="str">
            <v xml:space="preserve"> </v>
          </cell>
        </row>
        <row r="885">
          <cell r="AB885" t="str">
            <v xml:space="preserve"> </v>
          </cell>
          <cell r="AC885" t="str">
            <v xml:space="preserve"> </v>
          </cell>
          <cell r="AD885" t="str">
            <v xml:space="preserve"> </v>
          </cell>
        </row>
        <row r="886">
          <cell r="AB886" t="str">
            <v xml:space="preserve"> </v>
          </cell>
          <cell r="AC886" t="str">
            <v xml:space="preserve"> </v>
          </cell>
          <cell r="AD886" t="str">
            <v xml:space="preserve"> </v>
          </cell>
        </row>
        <row r="887">
          <cell r="AB887" t="str">
            <v xml:space="preserve"> </v>
          </cell>
          <cell r="AC887" t="str">
            <v xml:space="preserve"> </v>
          </cell>
          <cell r="AD887" t="str">
            <v xml:space="preserve"> </v>
          </cell>
        </row>
        <row r="888">
          <cell r="AB888" t="str">
            <v xml:space="preserve"> </v>
          </cell>
          <cell r="AC888" t="str">
            <v xml:space="preserve"> </v>
          </cell>
          <cell r="AD888" t="str">
            <v xml:space="preserve"> </v>
          </cell>
        </row>
        <row r="889">
          <cell r="AB889" t="str">
            <v xml:space="preserve"> </v>
          </cell>
          <cell r="AC889" t="str">
            <v xml:space="preserve"> </v>
          </cell>
          <cell r="AD889" t="str">
            <v xml:space="preserve"> </v>
          </cell>
        </row>
        <row r="890">
          <cell r="AB890" t="str">
            <v xml:space="preserve"> </v>
          </cell>
          <cell r="AC890" t="str">
            <v xml:space="preserve"> </v>
          </cell>
          <cell r="AD890" t="str">
            <v xml:space="preserve"> </v>
          </cell>
        </row>
        <row r="891">
          <cell r="AB891" t="str">
            <v xml:space="preserve"> </v>
          </cell>
          <cell r="AC891" t="str">
            <v xml:space="preserve"> </v>
          </cell>
          <cell r="AD891" t="str">
            <v xml:space="preserve"> </v>
          </cell>
        </row>
        <row r="892">
          <cell r="AB892" t="str">
            <v xml:space="preserve"> </v>
          </cell>
          <cell r="AC892" t="str">
            <v xml:space="preserve"> </v>
          </cell>
          <cell r="AD892" t="str">
            <v xml:space="preserve"> </v>
          </cell>
        </row>
        <row r="893">
          <cell r="AB893" t="str">
            <v xml:space="preserve"> </v>
          </cell>
          <cell r="AC893" t="str">
            <v xml:space="preserve"> </v>
          </cell>
          <cell r="AD893" t="str">
            <v xml:space="preserve"> </v>
          </cell>
        </row>
        <row r="894">
          <cell r="AB894" t="str">
            <v xml:space="preserve"> </v>
          </cell>
          <cell r="AC894" t="str">
            <v xml:space="preserve"> </v>
          </cell>
          <cell r="AD894" t="str">
            <v xml:space="preserve"> </v>
          </cell>
        </row>
        <row r="895">
          <cell r="AB895" t="str">
            <v xml:space="preserve"> </v>
          </cell>
          <cell r="AC895" t="str">
            <v xml:space="preserve"> </v>
          </cell>
          <cell r="AD895" t="str">
            <v xml:space="preserve"> </v>
          </cell>
        </row>
        <row r="896">
          <cell r="AB896" t="str">
            <v xml:space="preserve"> </v>
          </cell>
          <cell r="AC896" t="str">
            <v xml:space="preserve"> </v>
          </cell>
          <cell r="AD896" t="str">
            <v xml:space="preserve"> </v>
          </cell>
        </row>
        <row r="897">
          <cell r="AB897" t="str">
            <v xml:space="preserve"> </v>
          </cell>
          <cell r="AC897" t="str">
            <v xml:space="preserve"> </v>
          </cell>
          <cell r="AD897" t="str">
            <v xml:space="preserve"> </v>
          </cell>
        </row>
        <row r="898">
          <cell r="AB898" t="str">
            <v xml:space="preserve"> </v>
          </cell>
          <cell r="AC898" t="str">
            <v xml:space="preserve"> </v>
          </cell>
          <cell r="AD898" t="str">
            <v xml:space="preserve"> </v>
          </cell>
        </row>
        <row r="899">
          <cell r="AB899" t="str">
            <v xml:space="preserve"> </v>
          </cell>
          <cell r="AC899" t="str">
            <v xml:space="preserve"> </v>
          </cell>
          <cell r="AD899" t="str">
            <v xml:space="preserve"> </v>
          </cell>
        </row>
        <row r="900">
          <cell r="AB900" t="str">
            <v xml:space="preserve"> </v>
          </cell>
          <cell r="AC900" t="str">
            <v xml:space="preserve"> </v>
          </cell>
          <cell r="AD900" t="str">
            <v xml:space="preserve"> </v>
          </cell>
        </row>
        <row r="901">
          <cell r="AB901" t="str">
            <v xml:space="preserve"> </v>
          </cell>
          <cell r="AC901" t="str">
            <v xml:space="preserve"> </v>
          </cell>
          <cell r="AD901" t="str">
            <v xml:space="preserve"> </v>
          </cell>
        </row>
        <row r="902">
          <cell r="AB902" t="str">
            <v xml:space="preserve"> </v>
          </cell>
          <cell r="AC902" t="str">
            <v xml:space="preserve"> </v>
          </cell>
          <cell r="AD902" t="str">
            <v xml:space="preserve"> </v>
          </cell>
        </row>
        <row r="903">
          <cell r="AB903" t="str">
            <v xml:space="preserve"> </v>
          </cell>
          <cell r="AC903" t="str">
            <v xml:space="preserve"> </v>
          </cell>
          <cell r="AD903" t="str">
            <v xml:space="preserve"> </v>
          </cell>
        </row>
        <row r="904">
          <cell r="AB904" t="str">
            <v xml:space="preserve"> </v>
          </cell>
          <cell r="AC904" t="str">
            <v xml:space="preserve"> </v>
          </cell>
          <cell r="AD904" t="str">
            <v xml:space="preserve"> </v>
          </cell>
        </row>
        <row r="905">
          <cell r="AB905" t="str">
            <v xml:space="preserve"> </v>
          </cell>
          <cell r="AC905" t="str">
            <v xml:space="preserve"> </v>
          </cell>
          <cell r="AD905" t="str">
            <v xml:space="preserve"> </v>
          </cell>
        </row>
        <row r="906">
          <cell r="AB906" t="str">
            <v xml:space="preserve"> </v>
          </cell>
          <cell r="AC906" t="str">
            <v xml:space="preserve"> </v>
          </cell>
          <cell r="AD906" t="str">
            <v xml:space="preserve"> </v>
          </cell>
        </row>
        <row r="907">
          <cell r="AB907" t="str">
            <v xml:space="preserve"> </v>
          </cell>
          <cell r="AC907" t="str">
            <v xml:space="preserve"> </v>
          </cell>
          <cell r="AD907" t="str">
            <v xml:space="preserve"> </v>
          </cell>
        </row>
        <row r="908">
          <cell r="AB908" t="str">
            <v xml:space="preserve"> </v>
          </cell>
          <cell r="AC908" t="str">
            <v xml:space="preserve"> </v>
          </cell>
          <cell r="AD908" t="str">
            <v xml:space="preserve"> </v>
          </cell>
        </row>
        <row r="909">
          <cell r="AB909" t="str">
            <v xml:space="preserve"> </v>
          </cell>
          <cell r="AC909" t="str">
            <v xml:space="preserve"> </v>
          </cell>
          <cell r="AD909" t="str">
            <v xml:space="preserve"> </v>
          </cell>
        </row>
        <row r="910">
          <cell r="AB910" t="str">
            <v xml:space="preserve"> </v>
          </cell>
          <cell r="AC910" t="str">
            <v xml:space="preserve"> </v>
          </cell>
          <cell r="AD910" t="str">
            <v xml:space="preserve"> </v>
          </cell>
        </row>
        <row r="911">
          <cell r="AB911" t="str">
            <v xml:space="preserve"> </v>
          </cell>
          <cell r="AC911" t="str">
            <v xml:space="preserve"> </v>
          </cell>
          <cell r="AD911" t="str">
            <v xml:space="preserve"> </v>
          </cell>
        </row>
        <row r="912">
          <cell r="AB912" t="str">
            <v xml:space="preserve"> </v>
          </cell>
          <cell r="AC912" t="str">
            <v xml:space="preserve"> </v>
          </cell>
          <cell r="AD912" t="str">
            <v xml:space="preserve"> </v>
          </cell>
        </row>
        <row r="913">
          <cell r="AB913" t="str">
            <v xml:space="preserve"> </v>
          </cell>
          <cell r="AC913" t="str">
            <v xml:space="preserve"> </v>
          </cell>
          <cell r="AD913" t="str">
            <v xml:space="preserve"> </v>
          </cell>
        </row>
        <row r="914">
          <cell r="AB914" t="str">
            <v xml:space="preserve"> </v>
          </cell>
          <cell r="AC914" t="str">
            <v xml:space="preserve"> </v>
          </cell>
          <cell r="AD914" t="str">
            <v xml:space="preserve"> </v>
          </cell>
        </row>
        <row r="915">
          <cell r="AB915" t="str">
            <v xml:space="preserve"> </v>
          </cell>
          <cell r="AC915" t="str">
            <v xml:space="preserve"> </v>
          </cell>
          <cell r="AD915" t="str">
            <v xml:space="preserve"> </v>
          </cell>
        </row>
        <row r="916">
          <cell r="AB916" t="str">
            <v xml:space="preserve"> </v>
          </cell>
          <cell r="AC916" t="str">
            <v xml:space="preserve"> </v>
          </cell>
          <cell r="AD916" t="str">
            <v xml:space="preserve"> </v>
          </cell>
        </row>
        <row r="917">
          <cell r="AB917" t="str">
            <v xml:space="preserve"> </v>
          </cell>
          <cell r="AC917" t="str">
            <v xml:space="preserve"> </v>
          </cell>
          <cell r="AD917" t="str">
            <v xml:space="preserve"> </v>
          </cell>
        </row>
        <row r="918">
          <cell r="AB918" t="str">
            <v xml:space="preserve"> </v>
          </cell>
          <cell r="AC918" t="str">
            <v xml:space="preserve"> </v>
          </cell>
          <cell r="AD918" t="str">
            <v xml:space="preserve"> </v>
          </cell>
        </row>
        <row r="919">
          <cell r="AB919" t="str">
            <v xml:space="preserve"> </v>
          </cell>
          <cell r="AC919" t="str">
            <v xml:space="preserve"> </v>
          </cell>
          <cell r="AD919" t="str">
            <v xml:space="preserve"> </v>
          </cell>
        </row>
        <row r="920">
          <cell r="AB920" t="str">
            <v xml:space="preserve"> </v>
          </cell>
          <cell r="AC920" t="str">
            <v xml:space="preserve"> </v>
          </cell>
          <cell r="AD920" t="str">
            <v xml:space="preserve"> </v>
          </cell>
        </row>
        <row r="921">
          <cell r="AB921" t="str">
            <v xml:space="preserve"> </v>
          </cell>
          <cell r="AC921" t="str">
            <v xml:space="preserve"> </v>
          </cell>
          <cell r="AD921" t="str">
            <v xml:space="preserve"> </v>
          </cell>
        </row>
        <row r="922">
          <cell r="AB922" t="str">
            <v xml:space="preserve"> </v>
          </cell>
          <cell r="AC922" t="str">
            <v xml:space="preserve"> </v>
          </cell>
          <cell r="AD922" t="str">
            <v xml:space="preserve"> </v>
          </cell>
        </row>
        <row r="923">
          <cell r="AB923" t="str">
            <v xml:space="preserve"> </v>
          </cell>
          <cell r="AC923" t="str">
            <v xml:space="preserve"> </v>
          </cell>
          <cell r="AD923" t="str">
            <v xml:space="preserve"> </v>
          </cell>
        </row>
        <row r="924">
          <cell r="AB924" t="str">
            <v xml:space="preserve"> </v>
          </cell>
          <cell r="AC924" t="str">
            <v xml:space="preserve"> </v>
          </cell>
          <cell r="AD924" t="str">
            <v xml:space="preserve"> </v>
          </cell>
        </row>
        <row r="925">
          <cell r="AB925" t="str">
            <v xml:space="preserve"> </v>
          </cell>
          <cell r="AC925" t="str">
            <v xml:space="preserve"> </v>
          </cell>
          <cell r="AD925" t="str">
            <v xml:space="preserve"> </v>
          </cell>
        </row>
        <row r="926">
          <cell r="AB926" t="str">
            <v xml:space="preserve"> </v>
          </cell>
          <cell r="AC926" t="str">
            <v xml:space="preserve"> </v>
          </cell>
          <cell r="AD926" t="str">
            <v xml:space="preserve"> </v>
          </cell>
        </row>
        <row r="927">
          <cell r="AB927" t="str">
            <v xml:space="preserve"> </v>
          </cell>
          <cell r="AC927" t="str">
            <v xml:space="preserve"> </v>
          </cell>
          <cell r="AD927" t="str">
            <v xml:space="preserve"> </v>
          </cell>
        </row>
        <row r="928">
          <cell r="AB928" t="str">
            <v xml:space="preserve"> </v>
          </cell>
          <cell r="AC928" t="str">
            <v xml:space="preserve"> </v>
          </cell>
          <cell r="AD928" t="str">
            <v xml:space="preserve"> </v>
          </cell>
        </row>
        <row r="929">
          <cell r="AB929" t="str">
            <v xml:space="preserve"> </v>
          </cell>
          <cell r="AC929" t="str">
            <v xml:space="preserve"> </v>
          </cell>
          <cell r="AD929" t="str">
            <v xml:space="preserve"> </v>
          </cell>
        </row>
        <row r="930">
          <cell r="AB930" t="str">
            <v xml:space="preserve"> </v>
          </cell>
          <cell r="AC930" t="str">
            <v xml:space="preserve"> </v>
          </cell>
          <cell r="AD930" t="str">
            <v xml:space="preserve"> </v>
          </cell>
        </row>
        <row r="931">
          <cell r="AB931" t="str">
            <v xml:space="preserve"> </v>
          </cell>
          <cell r="AC931" t="str">
            <v xml:space="preserve"> </v>
          </cell>
          <cell r="AD931" t="str">
            <v xml:space="preserve"> </v>
          </cell>
        </row>
        <row r="932">
          <cell r="AB932" t="str">
            <v xml:space="preserve"> </v>
          </cell>
          <cell r="AC932" t="str">
            <v xml:space="preserve"> </v>
          </cell>
          <cell r="AD932" t="str">
            <v xml:space="preserve"> </v>
          </cell>
        </row>
        <row r="933">
          <cell r="AB933" t="str">
            <v xml:space="preserve"> </v>
          </cell>
          <cell r="AC933" t="str">
            <v xml:space="preserve"> </v>
          </cell>
          <cell r="AD933" t="str">
            <v xml:space="preserve"> </v>
          </cell>
        </row>
        <row r="934">
          <cell r="AB934" t="str">
            <v xml:space="preserve"> </v>
          </cell>
          <cell r="AC934" t="str">
            <v xml:space="preserve"> </v>
          </cell>
          <cell r="AD934" t="str">
            <v xml:space="preserve"> </v>
          </cell>
        </row>
        <row r="935">
          <cell r="AB935" t="str">
            <v xml:space="preserve"> </v>
          </cell>
          <cell r="AC935" t="str">
            <v xml:space="preserve"> </v>
          </cell>
          <cell r="AD935" t="str">
            <v xml:space="preserve"> </v>
          </cell>
        </row>
        <row r="936">
          <cell r="AB936" t="str">
            <v xml:space="preserve"> </v>
          </cell>
          <cell r="AC936" t="str">
            <v xml:space="preserve"> </v>
          </cell>
          <cell r="AD936" t="str">
            <v xml:space="preserve"> </v>
          </cell>
        </row>
        <row r="937">
          <cell r="AB937" t="str">
            <v xml:space="preserve"> </v>
          </cell>
          <cell r="AC937" t="str">
            <v xml:space="preserve"> </v>
          </cell>
          <cell r="AD937" t="str">
            <v xml:space="preserve"> </v>
          </cell>
        </row>
        <row r="938">
          <cell r="AB938" t="str">
            <v xml:space="preserve"> </v>
          </cell>
          <cell r="AC938" t="str">
            <v xml:space="preserve"> </v>
          </cell>
          <cell r="AD938" t="str">
            <v xml:space="preserve"> </v>
          </cell>
        </row>
        <row r="939">
          <cell r="AB939" t="str">
            <v xml:space="preserve"> </v>
          </cell>
          <cell r="AC939" t="str">
            <v xml:space="preserve"> </v>
          </cell>
          <cell r="AD939" t="str">
            <v xml:space="preserve"> </v>
          </cell>
        </row>
        <row r="940">
          <cell r="AB940" t="str">
            <v xml:space="preserve"> </v>
          </cell>
          <cell r="AC940" t="str">
            <v xml:space="preserve"> </v>
          </cell>
          <cell r="AD940" t="str">
            <v xml:space="preserve"> </v>
          </cell>
        </row>
        <row r="941">
          <cell r="AB941" t="str">
            <v xml:space="preserve"> </v>
          </cell>
          <cell r="AC941" t="str">
            <v xml:space="preserve"> </v>
          </cell>
          <cell r="AD941" t="str">
            <v xml:space="preserve"> </v>
          </cell>
        </row>
        <row r="942">
          <cell r="AB942" t="str">
            <v xml:space="preserve"> </v>
          </cell>
          <cell r="AC942" t="str">
            <v xml:space="preserve"> </v>
          </cell>
          <cell r="AD942" t="str">
            <v xml:space="preserve"> </v>
          </cell>
        </row>
        <row r="943">
          <cell r="AB943" t="str">
            <v xml:space="preserve"> </v>
          </cell>
          <cell r="AC943" t="str">
            <v xml:space="preserve"> </v>
          </cell>
          <cell r="AD943" t="str">
            <v xml:space="preserve"> </v>
          </cell>
        </row>
        <row r="944">
          <cell r="AB944" t="str">
            <v xml:space="preserve"> </v>
          </cell>
          <cell r="AC944" t="str">
            <v xml:space="preserve"> </v>
          </cell>
          <cell r="AD944" t="str">
            <v xml:space="preserve"> </v>
          </cell>
        </row>
        <row r="945">
          <cell r="AB945" t="str">
            <v xml:space="preserve"> </v>
          </cell>
          <cell r="AC945" t="str">
            <v xml:space="preserve"> </v>
          </cell>
          <cell r="AD945" t="str">
            <v xml:space="preserve"> </v>
          </cell>
        </row>
        <row r="946">
          <cell r="AB946" t="str">
            <v xml:space="preserve"> </v>
          </cell>
          <cell r="AC946" t="str">
            <v xml:space="preserve"> </v>
          </cell>
          <cell r="AD946" t="str">
            <v xml:space="preserve"> </v>
          </cell>
        </row>
        <row r="947">
          <cell r="AB947" t="str">
            <v xml:space="preserve"> </v>
          </cell>
          <cell r="AC947" t="str">
            <v xml:space="preserve"> </v>
          </cell>
          <cell r="AD947" t="str">
            <v xml:space="preserve"> </v>
          </cell>
        </row>
        <row r="948">
          <cell r="AB948" t="str">
            <v xml:space="preserve"> </v>
          </cell>
          <cell r="AC948" t="str">
            <v xml:space="preserve"> </v>
          </cell>
          <cell r="AD948" t="str">
            <v xml:space="preserve"> </v>
          </cell>
        </row>
        <row r="949">
          <cell r="AB949" t="str">
            <v xml:space="preserve"> </v>
          </cell>
          <cell r="AC949" t="str">
            <v xml:space="preserve"> </v>
          </cell>
          <cell r="AD949" t="str">
            <v xml:space="preserve"> </v>
          </cell>
        </row>
        <row r="950">
          <cell r="AB950" t="str">
            <v xml:space="preserve"> </v>
          </cell>
          <cell r="AC950" t="str">
            <v xml:space="preserve"> </v>
          </cell>
          <cell r="AD950" t="str">
            <v xml:space="preserve"> </v>
          </cell>
        </row>
        <row r="951">
          <cell r="AB951" t="str">
            <v xml:space="preserve"> </v>
          </cell>
          <cell r="AC951" t="str">
            <v xml:space="preserve"> </v>
          </cell>
          <cell r="AD951" t="str">
            <v xml:space="preserve"> </v>
          </cell>
        </row>
        <row r="952">
          <cell r="AB952" t="str">
            <v xml:space="preserve"> </v>
          </cell>
          <cell r="AC952" t="str">
            <v xml:space="preserve"> </v>
          </cell>
          <cell r="AD952" t="str">
            <v xml:space="preserve"> </v>
          </cell>
        </row>
        <row r="953">
          <cell r="AB953" t="str">
            <v xml:space="preserve"> </v>
          </cell>
          <cell r="AC953" t="str">
            <v xml:space="preserve"> </v>
          </cell>
          <cell r="AD953" t="str">
            <v xml:space="preserve"> </v>
          </cell>
        </row>
        <row r="954">
          <cell r="AB954" t="str">
            <v xml:space="preserve"> </v>
          </cell>
          <cell r="AC954" t="str">
            <v xml:space="preserve"> </v>
          </cell>
          <cell r="AD954" t="str">
            <v xml:space="preserve"> </v>
          </cell>
        </row>
        <row r="955">
          <cell r="AB955" t="str">
            <v xml:space="preserve"> </v>
          </cell>
          <cell r="AC955" t="str">
            <v xml:space="preserve"> </v>
          </cell>
          <cell r="AD955" t="str">
            <v xml:space="preserve"> </v>
          </cell>
        </row>
        <row r="956">
          <cell r="AB956" t="str">
            <v xml:space="preserve"> </v>
          </cell>
          <cell r="AC956" t="str">
            <v xml:space="preserve"> </v>
          </cell>
          <cell r="AD956" t="str">
            <v xml:space="preserve"> </v>
          </cell>
        </row>
        <row r="957">
          <cell r="AB957" t="str">
            <v xml:space="preserve"> </v>
          </cell>
          <cell r="AC957" t="str">
            <v xml:space="preserve"> </v>
          </cell>
          <cell r="AD957" t="str">
            <v xml:space="preserve"> </v>
          </cell>
        </row>
        <row r="958">
          <cell r="AB958" t="str">
            <v xml:space="preserve"> </v>
          </cell>
          <cell r="AC958" t="str">
            <v xml:space="preserve"> </v>
          </cell>
          <cell r="AD958" t="str">
            <v xml:space="preserve"> </v>
          </cell>
        </row>
        <row r="959">
          <cell r="AB959" t="str">
            <v xml:space="preserve"> </v>
          </cell>
          <cell r="AC959" t="str">
            <v xml:space="preserve"> </v>
          </cell>
          <cell r="AD959" t="str">
            <v xml:space="preserve"> </v>
          </cell>
        </row>
        <row r="960">
          <cell r="AB960" t="str">
            <v xml:space="preserve"> </v>
          </cell>
          <cell r="AC960" t="str">
            <v xml:space="preserve"> </v>
          </cell>
          <cell r="AD960" t="str">
            <v xml:space="preserve"> </v>
          </cell>
        </row>
        <row r="961">
          <cell r="AB961" t="str">
            <v xml:space="preserve"> </v>
          </cell>
          <cell r="AC961" t="str">
            <v xml:space="preserve"> </v>
          </cell>
          <cell r="AD961" t="str">
            <v xml:space="preserve"> </v>
          </cell>
        </row>
        <row r="962">
          <cell r="AB962" t="str">
            <v xml:space="preserve"> </v>
          </cell>
          <cell r="AC962" t="str">
            <v xml:space="preserve"> </v>
          </cell>
          <cell r="AD962" t="str">
            <v xml:space="preserve"> </v>
          </cell>
        </row>
        <row r="963">
          <cell r="AB963" t="str">
            <v xml:space="preserve"> </v>
          </cell>
          <cell r="AC963" t="str">
            <v xml:space="preserve"> </v>
          </cell>
          <cell r="AD963" t="str">
            <v xml:space="preserve"> </v>
          </cell>
        </row>
        <row r="964">
          <cell r="AB964" t="str">
            <v xml:space="preserve"> </v>
          </cell>
          <cell r="AC964" t="str">
            <v xml:space="preserve"> </v>
          </cell>
          <cell r="AD964" t="str">
            <v xml:space="preserve"> </v>
          </cell>
        </row>
        <row r="965">
          <cell r="AB965" t="str">
            <v xml:space="preserve"> </v>
          </cell>
          <cell r="AC965" t="str">
            <v xml:space="preserve"> </v>
          </cell>
          <cell r="AD965" t="str">
            <v xml:space="preserve"> </v>
          </cell>
        </row>
        <row r="966">
          <cell r="AB966" t="str">
            <v xml:space="preserve"> </v>
          </cell>
          <cell r="AC966" t="str">
            <v xml:space="preserve"> </v>
          </cell>
          <cell r="AD966" t="str">
            <v xml:space="preserve"> </v>
          </cell>
        </row>
        <row r="967">
          <cell r="AB967" t="str">
            <v xml:space="preserve"> </v>
          </cell>
          <cell r="AC967" t="str">
            <v xml:space="preserve"> </v>
          </cell>
          <cell r="AD967" t="str">
            <v xml:space="preserve"> </v>
          </cell>
        </row>
        <row r="968">
          <cell r="AB968" t="str">
            <v xml:space="preserve"> </v>
          </cell>
          <cell r="AC968" t="str">
            <v xml:space="preserve"> </v>
          </cell>
          <cell r="AD968" t="str">
            <v xml:space="preserve"> </v>
          </cell>
        </row>
        <row r="969">
          <cell r="AB969" t="str">
            <v xml:space="preserve"> </v>
          </cell>
          <cell r="AC969" t="str">
            <v xml:space="preserve"> </v>
          </cell>
          <cell r="AD969" t="str">
            <v xml:space="preserve"> </v>
          </cell>
        </row>
        <row r="970">
          <cell r="AB970" t="str">
            <v xml:space="preserve"> </v>
          </cell>
          <cell r="AC970" t="str">
            <v xml:space="preserve"> </v>
          </cell>
          <cell r="AD970" t="str">
            <v xml:space="preserve"> </v>
          </cell>
        </row>
        <row r="971">
          <cell r="AB971" t="str">
            <v xml:space="preserve"> </v>
          </cell>
          <cell r="AC971" t="str">
            <v xml:space="preserve"> </v>
          </cell>
          <cell r="AD971" t="str">
            <v xml:space="preserve"> </v>
          </cell>
        </row>
        <row r="972">
          <cell r="AB972" t="str">
            <v xml:space="preserve"> </v>
          </cell>
          <cell r="AC972" t="str">
            <v xml:space="preserve"> </v>
          </cell>
          <cell r="AD972" t="str">
            <v xml:space="preserve"> </v>
          </cell>
        </row>
        <row r="973">
          <cell r="AB973" t="str">
            <v xml:space="preserve"> </v>
          </cell>
          <cell r="AC973" t="str">
            <v xml:space="preserve"> </v>
          </cell>
          <cell r="AD973" t="str">
            <v xml:space="preserve"> </v>
          </cell>
        </row>
        <row r="974">
          <cell r="AB974" t="str">
            <v xml:space="preserve"> </v>
          </cell>
          <cell r="AC974" t="str">
            <v xml:space="preserve"> </v>
          </cell>
          <cell r="AD974" t="str">
            <v xml:space="preserve"> </v>
          </cell>
        </row>
        <row r="975">
          <cell r="AB975" t="str">
            <v xml:space="preserve"> </v>
          </cell>
          <cell r="AC975" t="str">
            <v xml:space="preserve"> </v>
          </cell>
          <cell r="AD975" t="str">
            <v xml:space="preserve"> </v>
          </cell>
        </row>
        <row r="976">
          <cell r="AB976" t="str">
            <v xml:space="preserve"> </v>
          </cell>
          <cell r="AC976" t="str">
            <v xml:space="preserve"> </v>
          </cell>
          <cell r="AD976" t="str">
            <v xml:space="preserve"> </v>
          </cell>
        </row>
        <row r="977">
          <cell r="AB977" t="str">
            <v xml:space="preserve"> </v>
          </cell>
          <cell r="AC977" t="str">
            <v xml:space="preserve"> </v>
          </cell>
          <cell r="AD977" t="str">
            <v xml:space="preserve"> </v>
          </cell>
        </row>
        <row r="978">
          <cell r="AB978" t="str">
            <v xml:space="preserve"> </v>
          </cell>
          <cell r="AC978" t="str">
            <v xml:space="preserve"> </v>
          </cell>
          <cell r="AD978" t="str">
            <v xml:space="preserve"> </v>
          </cell>
        </row>
        <row r="979">
          <cell r="AB979" t="str">
            <v xml:space="preserve"> </v>
          </cell>
          <cell r="AC979" t="str">
            <v xml:space="preserve"> </v>
          </cell>
          <cell r="AD979" t="str">
            <v xml:space="preserve"> </v>
          </cell>
        </row>
        <row r="980">
          <cell r="AB980" t="str">
            <v xml:space="preserve"> </v>
          </cell>
          <cell r="AC980" t="str">
            <v xml:space="preserve"> </v>
          </cell>
          <cell r="AD980" t="str">
            <v xml:space="preserve"> </v>
          </cell>
        </row>
        <row r="981">
          <cell r="AB981" t="str">
            <v xml:space="preserve"> </v>
          </cell>
          <cell r="AC981" t="str">
            <v xml:space="preserve"> </v>
          </cell>
          <cell r="AD981" t="str">
            <v xml:space="preserve"> </v>
          </cell>
        </row>
        <row r="982">
          <cell r="AB982" t="str">
            <v xml:space="preserve"> </v>
          </cell>
          <cell r="AC982" t="str">
            <v xml:space="preserve"> </v>
          </cell>
          <cell r="AD982" t="str">
            <v xml:space="preserve"> </v>
          </cell>
        </row>
        <row r="983">
          <cell r="AB983" t="str">
            <v xml:space="preserve"> </v>
          </cell>
          <cell r="AC983" t="str">
            <v xml:space="preserve"> </v>
          </cell>
          <cell r="AD983" t="str">
            <v xml:space="preserve"> </v>
          </cell>
        </row>
        <row r="984">
          <cell r="AB984" t="str">
            <v xml:space="preserve"> </v>
          </cell>
          <cell r="AC984" t="str">
            <v xml:space="preserve"> </v>
          </cell>
          <cell r="AD984" t="str">
            <v xml:space="preserve"> </v>
          </cell>
        </row>
        <row r="985">
          <cell r="AB985" t="str">
            <v xml:space="preserve"> </v>
          </cell>
          <cell r="AC985" t="str">
            <v xml:space="preserve"> </v>
          </cell>
          <cell r="AD985" t="str">
            <v xml:space="preserve"> </v>
          </cell>
        </row>
        <row r="986">
          <cell r="AB986" t="str">
            <v xml:space="preserve"> </v>
          </cell>
          <cell r="AC986" t="str">
            <v xml:space="preserve"> </v>
          </cell>
          <cell r="AD986" t="str">
            <v xml:space="preserve"> </v>
          </cell>
        </row>
        <row r="987">
          <cell r="AB987" t="str">
            <v xml:space="preserve"> </v>
          </cell>
          <cell r="AC987" t="str">
            <v xml:space="preserve"> </v>
          </cell>
          <cell r="AD987" t="str">
            <v xml:space="preserve"> </v>
          </cell>
        </row>
        <row r="988">
          <cell r="AB988" t="str">
            <v xml:space="preserve"> </v>
          </cell>
          <cell r="AC988" t="str">
            <v xml:space="preserve"> </v>
          </cell>
          <cell r="AD988" t="str">
            <v xml:space="preserve"> </v>
          </cell>
        </row>
        <row r="989">
          <cell r="AB989" t="str">
            <v xml:space="preserve"> </v>
          </cell>
          <cell r="AC989" t="str">
            <v xml:space="preserve"> </v>
          </cell>
          <cell r="AD989" t="str">
            <v xml:space="preserve"> </v>
          </cell>
        </row>
        <row r="990">
          <cell r="AB990" t="str">
            <v xml:space="preserve"> </v>
          </cell>
          <cell r="AC990" t="str">
            <v xml:space="preserve"> </v>
          </cell>
          <cell r="AD990" t="str">
            <v xml:space="preserve"> </v>
          </cell>
        </row>
        <row r="991">
          <cell r="AB991" t="str">
            <v xml:space="preserve"> </v>
          </cell>
          <cell r="AC991" t="str">
            <v xml:space="preserve"> </v>
          </cell>
          <cell r="AD991" t="str">
            <v xml:space="preserve"> </v>
          </cell>
        </row>
        <row r="992">
          <cell r="AB992" t="str">
            <v xml:space="preserve"> </v>
          </cell>
          <cell r="AC992" t="str">
            <v xml:space="preserve"> </v>
          </cell>
          <cell r="AD992" t="str">
            <v xml:space="preserve"> </v>
          </cell>
        </row>
        <row r="993">
          <cell r="AB993" t="str">
            <v xml:space="preserve"> </v>
          </cell>
          <cell r="AC993" t="str">
            <v xml:space="preserve"> </v>
          </cell>
          <cell r="AD993" t="str">
            <v xml:space="preserve"> </v>
          </cell>
        </row>
        <row r="994">
          <cell r="AB994" t="str">
            <v xml:space="preserve"> </v>
          </cell>
          <cell r="AC994" t="str">
            <v xml:space="preserve"> </v>
          </cell>
          <cell r="AD994" t="str">
            <v xml:space="preserve"> </v>
          </cell>
        </row>
        <row r="995">
          <cell r="AB995" t="str">
            <v xml:space="preserve"> </v>
          </cell>
          <cell r="AC995" t="str">
            <v xml:space="preserve"> </v>
          </cell>
          <cell r="AD995" t="str">
            <v xml:space="preserve"> </v>
          </cell>
        </row>
        <row r="996">
          <cell r="AB996" t="str">
            <v xml:space="preserve"> </v>
          </cell>
          <cell r="AC996" t="str">
            <v xml:space="preserve"> </v>
          </cell>
          <cell r="AD996" t="str">
            <v xml:space="preserve"> </v>
          </cell>
        </row>
        <row r="997">
          <cell r="AB997" t="str">
            <v xml:space="preserve"> </v>
          </cell>
          <cell r="AC997" t="str">
            <v xml:space="preserve"> </v>
          </cell>
          <cell r="AD997" t="str">
            <v xml:space="preserve"> </v>
          </cell>
        </row>
        <row r="998">
          <cell r="AB998" t="str">
            <v xml:space="preserve"> </v>
          </cell>
          <cell r="AC998" t="str">
            <v xml:space="preserve"> </v>
          </cell>
          <cell r="AD998" t="str">
            <v xml:space="preserve"> </v>
          </cell>
        </row>
        <row r="999">
          <cell r="AB999" t="str">
            <v xml:space="preserve"> </v>
          </cell>
          <cell r="AC999" t="str">
            <v xml:space="preserve"> </v>
          </cell>
          <cell r="AD999" t="str">
            <v xml:space="preserve"> </v>
          </cell>
        </row>
        <row r="1000">
          <cell r="AB1000" t="str">
            <v xml:space="preserve"> </v>
          </cell>
          <cell r="AC1000" t="str">
            <v xml:space="preserve"> </v>
          </cell>
          <cell r="AD1000" t="str">
            <v xml:space="preserve"> 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Calculator"/>
      <sheetName val="148 Line of Credit Amortization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 Averages"/>
      <sheetName val="10w135"/>
      <sheetName val="2186fift"/>
      <sheetName val="25w132"/>
      <sheetName val="40w135"/>
      <sheetName val="45w132"/>
      <sheetName val="470lenox"/>
      <sheetName val="SUMMAR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T"/>
    </sheetNames>
    <sheetDataSet>
      <sheetData sheetId="0">
        <row r="7">
          <cell r="A7">
            <v>562</v>
          </cell>
          <cell r="B7">
            <v>36</v>
          </cell>
          <cell r="C7" t="str">
            <v>Manhattan</v>
          </cell>
          <cell r="D7">
            <v>9</v>
          </cell>
          <cell r="E7">
            <v>64</v>
          </cell>
          <cell r="F7" t="str">
            <v>Rockrose Development Corp</v>
          </cell>
          <cell r="G7" t="str">
            <v>43 East 10th Street</v>
          </cell>
          <cell r="H7" t="str">
            <v>--</v>
          </cell>
          <cell r="I7">
            <v>48763</v>
          </cell>
          <cell r="J7">
            <v>0.02</v>
          </cell>
          <cell r="K7" t="str">
            <v>Annual</v>
          </cell>
          <cell r="N7">
            <v>-48763</v>
          </cell>
        </row>
        <row r="8">
          <cell r="A8">
            <v>1869</v>
          </cell>
          <cell r="B8">
            <v>1007</v>
          </cell>
          <cell r="C8" t="str">
            <v>Manhattan</v>
          </cell>
          <cell r="D8">
            <v>76</v>
          </cell>
          <cell r="E8">
            <v>70</v>
          </cell>
          <cell r="F8" t="str">
            <v>Carnegie Press</v>
          </cell>
          <cell r="G8" t="str">
            <v>229 West 97th St</v>
          </cell>
          <cell r="N8">
            <v>0</v>
          </cell>
        </row>
        <row r="9">
          <cell r="A9">
            <v>454</v>
          </cell>
          <cell r="B9">
            <v>1</v>
          </cell>
          <cell r="C9" t="str">
            <v>Manhattan</v>
          </cell>
          <cell r="D9">
            <v>38</v>
          </cell>
          <cell r="E9">
            <v>37</v>
          </cell>
          <cell r="F9" t="str">
            <v>Mie Japanese Restaurant</v>
          </cell>
          <cell r="G9" t="str">
            <v>196 Second Avenue</v>
          </cell>
          <cell r="H9" t="str">
            <v>1985/1986</v>
          </cell>
          <cell r="I9">
            <v>21960</v>
          </cell>
          <cell r="J9">
            <v>0.1</v>
          </cell>
          <cell r="N9">
            <v>-21960</v>
          </cell>
        </row>
        <row r="10">
          <cell r="A10">
            <v>1041</v>
          </cell>
          <cell r="B10">
            <v>19</v>
          </cell>
          <cell r="C10" t="str">
            <v>Manhattan</v>
          </cell>
          <cell r="D10">
            <v>31</v>
          </cell>
          <cell r="E10">
            <v>112</v>
          </cell>
          <cell r="F10" t="str">
            <v>311 Parking Corp</v>
          </cell>
          <cell r="G10" t="str">
            <v>311 W 50th Street</v>
          </cell>
          <cell r="N10">
            <v>0</v>
          </cell>
        </row>
        <row r="13">
          <cell r="C13" t="str">
            <v>Second Partition</v>
          </cell>
        </row>
        <row r="15">
          <cell r="A15">
            <v>1586</v>
          </cell>
          <cell r="B15" t="str">
            <v>5/35/43</v>
          </cell>
          <cell r="C15" t="str">
            <v>Manhattan</v>
          </cell>
          <cell r="D15">
            <v>102</v>
          </cell>
          <cell r="E15">
            <v>285</v>
          </cell>
          <cell r="F15" t="str">
            <v>John T. Paoletti</v>
          </cell>
          <cell r="G15" t="str">
            <v>515/525 East 89th St</v>
          </cell>
          <cell r="N15">
            <v>0</v>
          </cell>
        </row>
        <row r="16">
          <cell r="A16">
            <v>1144</v>
          </cell>
          <cell r="B16">
            <v>24</v>
          </cell>
          <cell r="C16" t="str">
            <v>Manhattan</v>
          </cell>
          <cell r="D16">
            <v>151</v>
          </cell>
          <cell r="E16">
            <v>10</v>
          </cell>
          <cell r="F16" t="str">
            <v>Walber 72nd Street Associates</v>
          </cell>
          <cell r="G16" t="str">
            <v>121 W 72nd ST Owners Corp</v>
          </cell>
          <cell r="H16" t="str">
            <v>2002/2003</v>
          </cell>
          <cell r="I16">
            <v>170916.12</v>
          </cell>
          <cell r="J16">
            <v>0.05</v>
          </cell>
          <cell r="K16" t="str">
            <v>Annual</v>
          </cell>
          <cell r="L16" t="str">
            <v>master 99 year lease</v>
          </cell>
          <cell r="M16">
            <v>214978.2</v>
          </cell>
          <cell r="N16">
            <v>44062.080000000016</v>
          </cell>
        </row>
        <row r="17">
          <cell r="A17">
            <v>161</v>
          </cell>
          <cell r="B17">
            <v>1</v>
          </cell>
          <cell r="C17" t="str">
            <v>Manhattan</v>
          </cell>
          <cell r="D17">
            <v>152</v>
          </cell>
          <cell r="E17">
            <v>130</v>
          </cell>
          <cell r="F17" t="str">
            <v>Dr. Naitan Chu</v>
          </cell>
          <cell r="G17" t="str">
            <v>170 Park Row</v>
          </cell>
          <cell r="H17" t="str">
            <v>1995/1996</v>
          </cell>
          <cell r="I17">
            <v>893848</v>
          </cell>
          <cell r="J17">
            <v>1.4189999999999999E-2</v>
          </cell>
          <cell r="K17" t="str">
            <v>Monthly</v>
          </cell>
          <cell r="L17" t="str">
            <v>Prepared by Accountants</v>
          </cell>
          <cell r="N17">
            <v>-893848</v>
          </cell>
        </row>
        <row r="18">
          <cell r="A18">
            <v>161</v>
          </cell>
          <cell r="B18">
            <v>1</v>
          </cell>
          <cell r="C18" t="str">
            <v>Manhattan</v>
          </cell>
          <cell r="D18">
            <v>152</v>
          </cell>
          <cell r="E18">
            <v>251</v>
          </cell>
          <cell r="F18" t="str">
            <v>Howard Huey</v>
          </cell>
          <cell r="G18" t="str">
            <v>180 Park Row</v>
          </cell>
          <cell r="H18" t="str">
            <v>1987/1988</v>
          </cell>
          <cell r="I18">
            <v>393227</v>
          </cell>
          <cell r="J18">
            <v>1.2211E-2</v>
          </cell>
          <cell r="K18" t="str">
            <v>Monthly</v>
          </cell>
          <cell r="L18" t="str">
            <v>Prepared by Accountants</v>
          </cell>
          <cell r="N18">
            <v>-393227</v>
          </cell>
        </row>
        <row r="19">
          <cell r="A19">
            <v>161</v>
          </cell>
          <cell r="B19">
            <v>1</v>
          </cell>
          <cell r="C19" t="str">
            <v>Manhattan</v>
          </cell>
          <cell r="D19">
            <v>152</v>
          </cell>
          <cell r="E19">
            <v>252</v>
          </cell>
          <cell r="F19" t="str">
            <v>Chatham Towers Dental</v>
          </cell>
          <cell r="G19" t="str">
            <v>180 Park Row</v>
          </cell>
          <cell r="H19" t="str">
            <v>1991/1992</v>
          </cell>
          <cell r="I19">
            <v>807112</v>
          </cell>
          <cell r="J19">
            <v>2.0365999999999999E-2</v>
          </cell>
          <cell r="K19" t="str">
            <v>Monthly</v>
          </cell>
          <cell r="L19" t="str">
            <v>Prepared by Accountants</v>
          </cell>
          <cell r="N19">
            <v>-807112</v>
          </cell>
        </row>
        <row r="20">
          <cell r="A20">
            <v>161</v>
          </cell>
          <cell r="B20">
            <v>1</v>
          </cell>
          <cell r="C20" t="str">
            <v>Manhattan</v>
          </cell>
          <cell r="D20">
            <v>152</v>
          </cell>
          <cell r="E20">
            <v>253</v>
          </cell>
          <cell r="F20" t="str">
            <v>Chatham Parking Systems</v>
          </cell>
          <cell r="G20" t="str">
            <v>180 Park Row</v>
          </cell>
          <cell r="H20" t="str">
            <v>1986/1987</v>
          </cell>
          <cell r="I20">
            <v>368224</v>
          </cell>
          <cell r="J20">
            <v>0.04</v>
          </cell>
          <cell r="K20" t="str">
            <v>Monthly</v>
          </cell>
          <cell r="L20" t="str">
            <v>Prepared by Accountants</v>
          </cell>
          <cell r="N20">
            <v>-368224</v>
          </cell>
        </row>
        <row r="21">
          <cell r="A21">
            <v>916</v>
          </cell>
          <cell r="B21">
            <v>61</v>
          </cell>
          <cell r="C21" t="str">
            <v>Manhattan</v>
          </cell>
          <cell r="D21">
            <v>157</v>
          </cell>
          <cell r="E21">
            <v>159</v>
          </cell>
          <cell r="F21" t="str">
            <v>Bargold Storage Systems</v>
          </cell>
          <cell r="G21" t="str">
            <v>200 East 36th Street</v>
          </cell>
          <cell r="L21" t="str">
            <v>N/A</v>
          </cell>
          <cell r="N21">
            <v>0</v>
          </cell>
        </row>
        <row r="22">
          <cell r="A22">
            <v>916</v>
          </cell>
          <cell r="B22">
            <v>61</v>
          </cell>
          <cell r="C22" t="str">
            <v>Manhattan</v>
          </cell>
          <cell r="D22">
            <v>157</v>
          </cell>
          <cell r="E22">
            <v>160</v>
          </cell>
          <cell r="F22" t="str">
            <v>Or-brand Inc.</v>
          </cell>
          <cell r="G22" t="str">
            <v>200 East 36th Street</v>
          </cell>
          <cell r="H22" t="str">
            <v>1986/1987</v>
          </cell>
          <cell r="I22">
            <v>395000</v>
          </cell>
          <cell r="J22">
            <v>1.4999999999999999E-2</v>
          </cell>
          <cell r="L22" t="str">
            <v>N/A</v>
          </cell>
          <cell r="N22">
            <v>-395000</v>
          </cell>
        </row>
        <row r="23">
          <cell r="A23">
            <v>916</v>
          </cell>
          <cell r="B23">
            <v>61</v>
          </cell>
          <cell r="C23" t="str">
            <v>Manhattan</v>
          </cell>
          <cell r="D23">
            <v>157</v>
          </cell>
          <cell r="E23">
            <v>161</v>
          </cell>
          <cell r="F23" t="str">
            <v>Quark Inc.</v>
          </cell>
          <cell r="G23" t="str">
            <v>200 East 36th Street</v>
          </cell>
          <cell r="H23" t="str">
            <v>99/00</v>
          </cell>
          <cell r="I23">
            <v>417678.76</v>
          </cell>
          <cell r="J23">
            <v>1.0999999999999999E-2</v>
          </cell>
          <cell r="K23" t="str">
            <v>Annual</v>
          </cell>
          <cell r="M23">
            <v>614948.36</v>
          </cell>
          <cell r="N23">
            <v>197269.59999999998</v>
          </cell>
        </row>
        <row r="24">
          <cell r="A24">
            <v>916</v>
          </cell>
          <cell r="B24">
            <v>61</v>
          </cell>
          <cell r="C24" t="str">
            <v>Manhattan</v>
          </cell>
          <cell r="D24">
            <v>157</v>
          </cell>
          <cell r="E24">
            <v>162</v>
          </cell>
          <cell r="F24" t="str">
            <v>Quark Inc.</v>
          </cell>
          <cell r="G24" t="str">
            <v>200 East 36th Street</v>
          </cell>
          <cell r="H24" t="str">
            <v>94/95</v>
          </cell>
          <cell r="I24">
            <v>327915</v>
          </cell>
          <cell r="J24">
            <v>3.0000000000000001E-3</v>
          </cell>
          <cell r="K24" t="str">
            <v>Annual</v>
          </cell>
          <cell r="M24">
            <v>614948.36</v>
          </cell>
          <cell r="N24">
            <v>287033.36</v>
          </cell>
        </row>
        <row r="25">
          <cell r="A25">
            <v>916</v>
          </cell>
          <cell r="B25">
            <v>61</v>
          </cell>
          <cell r="C25" t="str">
            <v>Manhattan</v>
          </cell>
          <cell r="D25">
            <v>157</v>
          </cell>
          <cell r="E25">
            <v>163</v>
          </cell>
          <cell r="F25" t="str">
            <v>Antiques Source Showroom</v>
          </cell>
          <cell r="G25" t="str">
            <v>200 East 36th Street</v>
          </cell>
          <cell r="H25" t="str">
            <v>2001/2002</v>
          </cell>
          <cell r="I25">
            <v>466636.64</v>
          </cell>
          <cell r="J25">
            <v>8.5000000000000006E-2</v>
          </cell>
          <cell r="K25" t="str">
            <v>Annual</v>
          </cell>
          <cell r="N25">
            <v>-466636.64</v>
          </cell>
        </row>
        <row r="26">
          <cell r="A26">
            <v>916</v>
          </cell>
          <cell r="B26">
            <v>61</v>
          </cell>
          <cell r="C26" t="str">
            <v>Manhattan</v>
          </cell>
          <cell r="D26">
            <v>157</v>
          </cell>
          <cell r="E26">
            <v>164</v>
          </cell>
          <cell r="F26" t="str">
            <v>Murray Hill Chemist-FORMER 9/30/02</v>
          </cell>
          <cell r="G26" t="str">
            <v>200 East 36th Street</v>
          </cell>
          <cell r="H26" t="str">
            <v>2001/2002</v>
          </cell>
          <cell r="I26">
            <v>466636.64</v>
          </cell>
          <cell r="J26">
            <v>0.15</v>
          </cell>
          <cell r="K26" t="str">
            <v>Annual</v>
          </cell>
          <cell r="L26" t="str">
            <v>FORMER AS OF 9/30/02-BILLED wrong base</v>
          </cell>
          <cell r="N26">
            <v>-466636.64</v>
          </cell>
        </row>
        <row r="27">
          <cell r="A27">
            <v>916</v>
          </cell>
          <cell r="B27">
            <v>61</v>
          </cell>
          <cell r="C27" t="str">
            <v>Manhattan</v>
          </cell>
          <cell r="D27">
            <v>157</v>
          </cell>
          <cell r="E27">
            <v>164</v>
          </cell>
          <cell r="F27" t="str">
            <v>Murray Hill Chemist-FORMER 9/30/02</v>
          </cell>
          <cell r="G27" t="str">
            <v>200 East 36th Street</v>
          </cell>
          <cell r="H27" t="str">
            <v>2001/2002</v>
          </cell>
          <cell r="I27">
            <v>382327</v>
          </cell>
          <cell r="J27">
            <v>0.04</v>
          </cell>
          <cell r="K27" t="str">
            <v>Annual</v>
          </cell>
          <cell r="L27" t="str">
            <v>FORMER AS OF 9/30/02-BILLED WRONG @15%</v>
          </cell>
          <cell r="N27">
            <v>-382327</v>
          </cell>
        </row>
        <row r="28">
          <cell r="A28">
            <v>916</v>
          </cell>
          <cell r="B28">
            <v>61</v>
          </cell>
          <cell r="C28" t="str">
            <v>Manhattan</v>
          </cell>
          <cell r="D28">
            <v>157</v>
          </cell>
          <cell r="E28">
            <v>164</v>
          </cell>
          <cell r="F28" t="str">
            <v>NY Warehouse, Inc. new 10/1/02</v>
          </cell>
          <cell r="G28" t="str">
            <v>200 East 36th Street</v>
          </cell>
          <cell r="H28" t="str">
            <v>02/03</v>
          </cell>
          <cell r="I28">
            <v>504646.52</v>
          </cell>
          <cell r="J28">
            <v>0.04</v>
          </cell>
          <cell r="N28">
            <v>-504646.52</v>
          </cell>
        </row>
        <row r="29">
          <cell r="A29">
            <v>916</v>
          </cell>
          <cell r="B29">
            <v>61</v>
          </cell>
          <cell r="C29" t="str">
            <v>Manhattan</v>
          </cell>
          <cell r="D29">
            <v>157</v>
          </cell>
          <cell r="E29">
            <v>165</v>
          </cell>
          <cell r="F29" t="str">
            <v>Andrea Shoe Repair</v>
          </cell>
          <cell r="G29" t="str">
            <v>200 East 36th Street</v>
          </cell>
          <cell r="H29" t="str">
            <v>2001/2002</v>
          </cell>
          <cell r="I29">
            <v>466636.64</v>
          </cell>
          <cell r="J29">
            <v>0.04</v>
          </cell>
          <cell r="K29" t="str">
            <v>Annual</v>
          </cell>
          <cell r="L29" t="str">
            <v>gross base year</v>
          </cell>
          <cell r="N29">
            <v>-466636.64</v>
          </cell>
        </row>
        <row r="30">
          <cell r="A30">
            <v>916</v>
          </cell>
          <cell r="B30">
            <v>61</v>
          </cell>
          <cell r="C30" t="str">
            <v>Manhattan</v>
          </cell>
          <cell r="D30">
            <v>157</v>
          </cell>
          <cell r="E30">
            <v>165</v>
          </cell>
          <cell r="F30" t="str">
            <v>Andrea Shoe Repair</v>
          </cell>
          <cell r="G30" t="str">
            <v>200 East 36th Street</v>
          </cell>
          <cell r="H30" t="str">
            <v>2001/2002</v>
          </cell>
          <cell r="I30">
            <v>382327</v>
          </cell>
          <cell r="J30">
            <v>0.04</v>
          </cell>
          <cell r="K30" t="str">
            <v>Annual</v>
          </cell>
          <cell r="L30" t="str">
            <v>net base year</v>
          </cell>
          <cell r="N30">
            <v>-382327</v>
          </cell>
        </row>
        <row r="31">
          <cell r="A31">
            <v>64</v>
          </cell>
          <cell r="B31">
            <v>8</v>
          </cell>
          <cell r="C31" t="str">
            <v>Manhattan</v>
          </cell>
          <cell r="D31">
            <v>159</v>
          </cell>
          <cell r="E31">
            <v>92</v>
          </cell>
          <cell r="F31" t="str">
            <v>Sutton Investments Ltd</v>
          </cell>
          <cell r="G31" t="str">
            <v>55 Liberty Street</v>
          </cell>
          <cell r="N31">
            <v>0</v>
          </cell>
        </row>
        <row r="32">
          <cell r="A32">
            <v>1390</v>
          </cell>
          <cell r="B32">
            <v>23</v>
          </cell>
          <cell r="C32" t="str">
            <v>Manhattan</v>
          </cell>
          <cell r="D32">
            <v>186</v>
          </cell>
          <cell r="E32">
            <v>86</v>
          </cell>
          <cell r="F32" t="str">
            <v>SGA Madison Realty LLC</v>
          </cell>
          <cell r="G32" t="str">
            <v>35 East 75th Street</v>
          </cell>
          <cell r="H32" t="str">
            <v>87/88</v>
          </cell>
          <cell r="I32">
            <v>623898.97</v>
          </cell>
          <cell r="J32">
            <v>0.2</v>
          </cell>
          <cell r="K32" t="str">
            <v>monthly</v>
          </cell>
          <cell r="L32" t="str">
            <v>garage retro 10/15/02</v>
          </cell>
          <cell r="M32">
            <v>683906.45</v>
          </cell>
          <cell r="N32">
            <v>60007.479999999981</v>
          </cell>
        </row>
        <row r="33">
          <cell r="A33">
            <v>1390</v>
          </cell>
          <cell r="B33">
            <v>23</v>
          </cell>
          <cell r="C33" t="str">
            <v>Manhattan</v>
          </cell>
          <cell r="D33">
            <v>186</v>
          </cell>
          <cell r="E33">
            <v>86</v>
          </cell>
          <cell r="F33" t="str">
            <v>RAPID 75</v>
          </cell>
          <cell r="G33" t="str">
            <v>35 East 75th Street</v>
          </cell>
          <cell r="L33" t="str">
            <v>not billed R/E T only BID</v>
          </cell>
          <cell r="N33">
            <v>0</v>
          </cell>
        </row>
        <row r="34">
          <cell r="A34">
            <v>1407</v>
          </cell>
          <cell r="B34">
            <v>33</v>
          </cell>
          <cell r="C34" t="str">
            <v>Manhattan</v>
          </cell>
          <cell r="D34">
            <v>187</v>
          </cell>
          <cell r="E34">
            <v>194</v>
          </cell>
          <cell r="F34" t="str">
            <v>Kinney System Inc</v>
          </cell>
          <cell r="G34" t="str">
            <v>165 East 72nd Street</v>
          </cell>
          <cell r="L34" t="str">
            <v>per Joe Scholes-no r/e tax esc</v>
          </cell>
          <cell r="N34">
            <v>0</v>
          </cell>
        </row>
        <row r="35">
          <cell r="A35">
            <v>1407</v>
          </cell>
          <cell r="B35">
            <v>33</v>
          </cell>
          <cell r="C35" t="str">
            <v>Manhattan</v>
          </cell>
          <cell r="D35">
            <v>187</v>
          </cell>
          <cell r="E35">
            <v>195</v>
          </cell>
          <cell r="F35" t="str">
            <v>Cellco Partnership verizon</v>
          </cell>
          <cell r="G35" t="str">
            <v>165 East 72nd Street</v>
          </cell>
          <cell r="H35" t="str">
            <v>96/97</v>
          </cell>
          <cell r="I35">
            <v>1280666</v>
          </cell>
          <cell r="J35">
            <v>1.4999999999999999E-2</v>
          </cell>
          <cell r="K35" t="str">
            <v>Annual</v>
          </cell>
          <cell r="N35">
            <v>-1280666</v>
          </cell>
        </row>
        <row r="36">
          <cell r="A36">
            <v>1407</v>
          </cell>
          <cell r="B36">
            <v>33</v>
          </cell>
          <cell r="C36" t="str">
            <v>Manhattan</v>
          </cell>
          <cell r="D36">
            <v>187</v>
          </cell>
          <cell r="E36">
            <v>196</v>
          </cell>
          <cell r="F36" t="str">
            <v>Leonard Poll Opticians</v>
          </cell>
          <cell r="G36" t="str">
            <v>165 East 72nd Street</v>
          </cell>
          <cell r="H36" t="str">
            <v>97/98</v>
          </cell>
          <cell r="I36">
            <v>1282490</v>
          </cell>
          <cell r="J36">
            <v>0.01</v>
          </cell>
          <cell r="K36" t="str">
            <v>Annual</v>
          </cell>
          <cell r="N36">
            <v>-1282490</v>
          </cell>
        </row>
        <row r="37">
          <cell r="A37">
            <v>1407</v>
          </cell>
          <cell r="B37">
            <v>33</v>
          </cell>
          <cell r="C37" t="str">
            <v>Manhattan</v>
          </cell>
          <cell r="D37">
            <v>187</v>
          </cell>
          <cell r="E37">
            <v>198</v>
          </cell>
          <cell r="F37" t="str">
            <v>Hickey Chemist III LTD</v>
          </cell>
          <cell r="G37" t="str">
            <v>165 East 72nd Street</v>
          </cell>
          <cell r="H37" t="str">
            <v>96/97</v>
          </cell>
          <cell r="I37">
            <v>1280666</v>
          </cell>
          <cell r="J37">
            <v>1.7399999999999999E-2</v>
          </cell>
          <cell r="K37" t="str">
            <v>Annual</v>
          </cell>
          <cell r="N37">
            <v>-1280666</v>
          </cell>
        </row>
        <row r="38">
          <cell r="A38">
            <v>1407</v>
          </cell>
          <cell r="B38">
            <v>33</v>
          </cell>
          <cell r="C38" t="str">
            <v>Manhattan</v>
          </cell>
          <cell r="D38">
            <v>187</v>
          </cell>
          <cell r="E38">
            <v>199</v>
          </cell>
          <cell r="F38" t="str">
            <v>Citibank NA</v>
          </cell>
          <cell r="G38" t="str">
            <v>165 East 72nd Street</v>
          </cell>
          <cell r="L38" t="str">
            <v>per Joe Scholes-no r/e tax esc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5374044648"/>
      <sheetName val="Template"/>
      <sheetName val="Sheet3"/>
      <sheetName val="VLookup Data"/>
      <sheetName val="yardi_data (2)"/>
      <sheetName val="COV"/>
      <sheetName val="contents"/>
      <sheetName val=" bud"/>
      <sheetName val="yrlycomp"/>
      <sheetName val="Income"/>
      <sheetName val="EXP-Pie"/>
      <sheetName val="pyrl"/>
      <sheetName val="Payroll"/>
      <sheetName val="Gas"/>
      <sheetName val="Electric"/>
      <sheetName val="elect"/>
      <sheetName val="Gas Cooking"/>
      <sheetName val="Gas Heating"/>
      <sheetName val="Repairs &amp; Supplies"/>
      <sheetName val="Gen &amp; Admin"/>
      <sheetName val="MOrtgage"/>
      <sheetName val=" Insurance-Sched(No PDF)"/>
      <sheetName val="Water"/>
      <sheetName val="wtrswr"/>
      <sheetName val="RE Taxes"/>
      <sheetName val="CAP"/>
      <sheetName val="maint pro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IRR"/>
      <sheetName val="Operating Cash Flow"/>
      <sheetName val="Depreciation and Taxes"/>
      <sheetName val="Project Budget"/>
      <sheetName val="Funding Schedule"/>
      <sheetName val="Tables for Memo"/>
      <sheetName val="Re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hart"/>
      <sheetName val="MKTValue"/>
      <sheetName val="BlankMKT"/>
      <sheetName val="Reno"/>
      <sheetName val="Report"/>
      <sheetName val="Master"/>
      <sheetName val="Unit"/>
      <sheetName val="Tenant"/>
      <sheetName val="Rent"/>
      <sheetName val="LseAgree"/>
      <sheetName val="UseOcc"/>
      <sheetName val="421A-2.2%"/>
      <sheetName val="Future"/>
      <sheetName val="GROSS POTENTIA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load"/>
      <sheetName val="COV"/>
      <sheetName val="contents"/>
      <sheetName val="2011 bud"/>
      <sheetName val="yrlycomp"/>
      <sheetName val="income "/>
      <sheetName val="EXP-Pie"/>
      <sheetName val="Payroll"/>
      <sheetName val="Utility"/>
      <sheetName val="eg"/>
      <sheetName val="other Operating"/>
      <sheetName val="Other operating 2"/>
      <sheetName val="CAM Allocation"/>
      <sheetName val="heating"/>
      <sheetName val="cooking"/>
      <sheetName val="2011_bud"/>
      <sheetName val="income_"/>
      <sheetName val="other_Operating"/>
      <sheetName val="Other_operating_2"/>
      <sheetName val="CAM_Allocation"/>
      <sheetName val="2011_bud1"/>
      <sheetName val="income_1"/>
      <sheetName val="other_Operating1"/>
      <sheetName val="Other_operating_21"/>
      <sheetName val="CAM_Allocation1"/>
      <sheetName val="2011_bud2"/>
      <sheetName val="income_2"/>
      <sheetName val="other_Operating2"/>
      <sheetName val="Other_operating_22"/>
      <sheetName val="CAM_Allocation2"/>
      <sheetName val="2011_bud3"/>
      <sheetName val="income_3"/>
      <sheetName val="other_Operating3"/>
      <sheetName val="Other_operating_23"/>
      <sheetName val="CAM_Allocation3"/>
      <sheetName val="2011_bud4"/>
      <sheetName val="income_4"/>
      <sheetName val="other_Operating4"/>
      <sheetName val="Other_operating_24"/>
      <sheetName val="CAM_Allocation4"/>
      <sheetName val="2011_bud5"/>
      <sheetName val="income_5"/>
      <sheetName val="other_Operating5"/>
      <sheetName val="Other_operating_25"/>
      <sheetName val="CAM_Allocation5"/>
      <sheetName val="2011_bud6"/>
      <sheetName val="income_6"/>
      <sheetName val="other_Operating6"/>
      <sheetName val="Other_operating_26"/>
      <sheetName val="CAM_Allocation6"/>
      <sheetName val="2011_bud7"/>
      <sheetName val="income_7"/>
      <sheetName val="other_Operating7"/>
      <sheetName val="Other_operating_27"/>
      <sheetName val="CAM_Allocation7"/>
      <sheetName val="2011_bud9"/>
      <sheetName val="income_9"/>
      <sheetName val="other_Operating9"/>
      <sheetName val="Other_operating_29"/>
      <sheetName val="CAM_Allocation9"/>
      <sheetName val="2011_bud8"/>
      <sheetName val="income_8"/>
      <sheetName val="other_Operating8"/>
      <sheetName val="Other_operating_28"/>
      <sheetName val="CAM_Allocation8"/>
      <sheetName val="2011_bud10"/>
      <sheetName val="income_10"/>
      <sheetName val="other_Operating10"/>
      <sheetName val="Other_operating_210"/>
      <sheetName val="CAM_Allocation10"/>
      <sheetName val="2011_bud11"/>
      <sheetName val="income_11"/>
      <sheetName val="other_Operating11"/>
      <sheetName val="Other_operating_211"/>
      <sheetName val="CAM_Allocation11"/>
      <sheetName val="2011_bud12"/>
      <sheetName val="income_12"/>
      <sheetName val="other_Operating12"/>
      <sheetName val="Other_operating_212"/>
      <sheetName val="CAM_Allocation12"/>
      <sheetName val="2011_bud13"/>
      <sheetName val="income_13"/>
      <sheetName val="other_Operating13"/>
      <sheetName val="Other_operating_213"/>
      <sheetName val="CAM_Allocation13"/>
      <sheetName val="2011_bud14"/>
      <sheetName val="income_14"/>
      <sheetName val="other_Operating14"/>
      <sheetName val="Other_operating_214"/>
      <sheetName val="CAM_Allocation14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/>
    <v>2</v>
    <v>3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3"/>
  <sheetViews>
    <sheetView topLeftCell="A479" workbookViewId="0">
      <selection activeCell="A485" sqref="A485"/>
    </sheetView>
  </sheetViews>
  <sheetFormatPr baseColWidth="10" defaultColWidth="8.7109375" defaultRowHeight="16"/>
  <cols>
    <col min="2" max="2" width="31.140625" bestFit="1" customWidth="1"/>
  </cols>
  <sheetData>
    <row r="1" spans="1:8">
      <c r="A1" s="181" t="s">
        <v>0</v>
      </c>
      <c r="B1" s="181" t="s">
        <v>1</v>
      </c>
      <c r="C1" s="791">
        <f>SUMIF('yardi_data (2)'!$A:$A,$A1,'yardi_data (2)'!C:C)</f>
        <v>0</v>
      </c>
      <c r="D1" s="791">
        <f>SUMIF('yardi_data (2)'!$A:$A,$A1,'yardi_data (2)'!$D:$D)</f>
        <v>0</v>
      </c>
      <c r="E1" s="791">
        <f>SUMIF('yardi_data (2)'!$A:$A,$A1,'yardi_data (2)'!$E:$E)</f>
        <v>0</v>
      </c>
      <c r="F1" s="791">
        <f>SUMIF('yardi_data (2)'!$A:$A,$A1,'yardi_data (2)'!$F:$F)</f>
        <v>0</v>
      </c>
      <c r="G1" s="791">
        <f>SUMIF('yardi_data (2)'!$A:$A,$A1,'yardi_data (2)'!$G:$G)</f>
        <v>0</v>
      </c>
      <c r="H1" s="792"/>
    </row>
    <row r="2" spans="1:8">
      <c r="A2" s="182" t="s">
        <v>2</v>
      </c>
      <c r="B2" s="182" t="s">
        <v>3</v>
      </c>
      <c r="C2" s="791">
        <f>SUMIF('yardi_data (2)'!$A:$A,$A2,'yardi_data (2)'!C:C)</f>
        <v>0</v>
      </c>
      <c r="D2" s="791">
        <f>SUMIF('yardi_data (2)'!$A:$A,$A2,'yardi_data (2)'!$D:$D)</f>
        <v>0</v>
      </c>
      <c r="E2" s="791">
        <f>SUMIF('yardi_data (2)'!$A:$A,$A2,'yardi_data (2)'!$E:$E)</f>
        <v>0</v>
      </c>
      <c r="F2" s="791">
        <f>SUMIF('yardi_data (2)'!$A:$A,$A2,'yardi_data (2)'!$F:$F)</f>
        <v>0</v>
      </c>
      <c r="G2" s="791">
        <f>SUMIF('yardi_data (2)'!$A:$A,$A2,'yardi_data (2)'!$G:$G)</f>
        <v>0</v>
      </c>
      <c r="H2" s="792"/>
    </row>
    <row r="3" spans="1:8">
      <c r="A3" s="181" t="s">
        <v>4</v>
      </c>
      <c r="B3" s="181" t="s">
        <v>5</v>
      </c>
      <c r="C3" s="791">
        <f>SUMIF('yardi_data (2)'!$A:$A,$A3,'yardi_data (2)'!C:C)</f>
        <v>0</v>
      </c>
      <c r="D3" s="791">
        <f>SUMIF('yardi_data (2)'!$A:$A,$A3,'yardi_data (2)'!$D:$D)</f>
        <v>0</v>
      </c>
      <c r="E3" s="791">
        <f>SUMIF('yardi_data (2)'!$A:$A,$A3,'yardi_data (2)'!$E:$E)</f>
        <v>0</v>
      </c>
      <c r="F3" s="791">
        <f>SUMIF('yardi_data (2)'!$A:$A,$A3,'yardi_data (2)'!$F:$F)</f>
        <v>0</v>
      </c>
      <c r="G3" s="791">
        <f>SUMIF('yardi_data (2)'!$A:$A,$A3,'yardi_data (2)'!$G:$G)</f>
        <v>0</v>
      </c>
      <c r="H3" s="792"/>
    </row>
    <row r="4" spans="1:8">
      <c r="A4" s="182" t="s">
        <v>6</v>
      </c>
      <c r="B4" s="182" t="s">
        <v>7</v>
      </c>
      <c r="C4" s="791">
        <f>SUMIF('yardi_data (2)'!$A:$A,$A4,'yardi_data (2)'!C:C)</f>
        <v>0</v>
      </c>
      <c r="D4" s="791">
        <f>SUMIF('yardi_data (2)'!$A:$A,$A4,'yardi_data (2)'!$D:$D)</f>
        <v>0</v>
      </c>
      <c r="E4" s="791">
        <f>SUMIF('yardi_data (2)'!$A:$A,$A4,'yardi_data (2)'!$E:$E)</f>
        <v>0</v>
      </c>
      <c r="F4" s="791">
        <f>SUMIF('yardi_data (2)'!$A:$A,$A4,'yardi_data (2)'!$F:$F)</f>
        <v>0</v>
      </c>
      <c r="G4" s="791">
        <f>SUMIF('yardi_data (2)'!$A:$A,$A4,'yardi_data (2)'!$G:$G)</f>
        <v>0</v>
      </c>
      <c r="H4" s="792"/>
    </row>
    <row r="5" spans="1:8">
      <c r="A5" s="181" t="s">
        <v>8</v>
      </c>
      <c r="B5" s="181" t="s">
        <v>9</v>
      </c>
      <c r="C5" s="791">
        <f>SUMIF('yardi_data (2)'!$A:$A,$A5,'yardi_data (2)'!C:C)</f>
        <v>0</v>
      </c>
      <c r="D5" s="791">
        <f>SUMIF('yardi_data (2)'!$A:$A,$A5,'yardi_data (2)'!$D:$D)</f>
        <v>0</v>
      </c>
      <c r="E5" s="791">
        <f>SUMIF('yardi_data (2)'!$A:$A,$A5,'yardi_data (2)'!$E:$E)</f>
        <v>0</v>
      </c>
      <c r="F5" s="791">
        <f>SUMIF('yardi_data (2)'!$A:$A,$A5,'yardi_data (2)'!$F:$F)</f>
        <v>0</v>
      </c>
      <c r="G5" s="791">
        <f>SUMIF('yardi_data (2)'!$A:$A,$A5,'yardi_data (2)'!$G:$G)</f>
        <v>0</v>
      </c>
      <c r="H5" s="792"/>
    </row>
    <row r="6" spans="1:8">
      <c r="A6" s="182" t="s">
        <v>10</v>
      </c>
      <c r="B6" s="182" t="s">
        <v>11</v>
      </c>
      <c r="C6" s="791">
        <f>SUMIF('yardi_data (2)'!$A:$A,$A6,'yardi_data (2)'!C:C)</f>
        <v>0</v>
      </c>
      <c r="D6" s="791">
        <f>SUMIF('yardi_data (2)'!$A:$A,$A6,'yardi_data (2)'!$D:$D)</f>
        <v>0</v>
      </c>
      <c r="E6" s="791">
        <f>SUMIF('yardi_data (2)'!$A:$A,$A6,'yardi_data (2)'!$E:$E)</f>
        <v>0</v>
      </c>
      <c r="F6" s="791">
        <f>SUMIF('yardi_data (2)'!$A:$A,$A6,'yardi_data (2)'!$F:$F)</f>
        <v>0</v>
      </c>
      <c r="G6" s="791">
        <f>SUMIF('yardi_data (2)'!$A:$A,$A6,'yardi_data (2)'!$G:$G)</f>
        <v>0</v>
      </c>
      <c r="H6" s="792"/>
    </row>
    <row r="7" spans="1:8">
      <c r="A7" s="181" t="s">
        <v>12</v>
      </c>
      <c r="B7" s="181" t="s">
        <v>13</v>
      </c>
      <c r="C7" s="791">
        <f>SUMIF('yardi_data (2)'!$A:$A,$A7,'yardi_data (2)'!C:C)</f>
        <v>0</v>
      </c>
      <c r="D7" s="791">
        <f>SUMIF('yardi_data (2)'!$A:$A,$A7,'yardi_data (2)'!$D:$D)</f>
        <v>0</v>
      </c>
      <c r="E7" s="791">
        <f>SUMIF('yardi_data (2)'!$A:$A,$A7,'yardi_data (2)'!$E:$E)</f>
        <v>0</v>
      </c>
      <c r="F7" s="791">
        <f>SUMIF('yardi_data (2)'!$A:$A,$A7,'yardi_data (2)'!$F:$F)</f>
        <v>0</v>
      </c>
      <c r="G7" s="791">
        <f>SUMIF('yardi_data (2)'!$A:$A,$A7,'yardi_data (2)'!$G:$G)</f>
        <v>0</v>
      </c>
      <c r="H7" s="792"/>
    </row>
    <row r="8" spans="1:8">
      <c r="A8" s="182" t="s">
        <v>14</v>
      </c>
      <c r="B8" s="182" t="s">
        <v>15</v>
      </c>
      <c r="C8" s="791">
        <f>SUMIF('yardi_data (2)'!$A:$A,$A8,'yardi_data (2)'!C:C)</f>
        <v>0</v>
      </c>
      <c r="D8" s="791">
        <f>SUMIF('yardi_data (2)'!$A:$A,$A8,'yardi_data (2)'!$D:$D)</f>
        <v>0</v>
      </c>
      <c r="E8" s="791">
        <f>SUMIF('yardi_data (2)'!$A:$A,$A8,'yardi_data (2)'!$E:$E)</f>
        <v>0</v>
      </c>
      <c r="F8" s="791">
        <f>SUMIF('yardi_data (2)'!$A:$A,$A8,'yardi_data (2)'!$F:$F)</f>
        <v>0</v>
      </c>
      <c r="G8" s="791">
        <f>SUMIF('yardi_data (2)'!$A:$A,$A8,'yardi_data (2)'!$G:$G)</f>
        <v>0</v>
      </c>
      <c r="H8" s="792"/>
    </row>
    <row r="9" spans="1:8">
      <c r="A9" s="181" t="s">
        <v>16</v>
      </c>
      <c r="B9" s="181" t="s">
        <v>17</v>
      </c>
      <c r="C9" s="791">
        <f>SUMIF('yardi_data (2)'!$A:$A,$A9,'yardi_data (2)'!C:C)</f>
        <v>0</v>
      </c>
      <c r="D9" s="791">
        <f>SUMIF('yardi_data (2)'!$A:$A,$A9,'yardi_data (2)'!$D:$D)</f>
        <v>0</v>
      </c>
      <c r="E9" s="791">
        <f>SUMIF('yardi_data (2)'!$A:$A,$A9,'yardi_data (2)'!$E:$E)</f>
        <v>0</v>
      </c>
      <c r="F9" s="791">
        <f>SUMIF('yardi_data (2)'!$A:$A,$A9,'yardi_data (2)'!$F:$F)</f>
        <v>0</v>
      </c>
      <c r="G9" s="791">
        <f>SUMIF('yardi_data (2)'!$A:$A,$A9,'yardi_data (2)'!$G:$G)</f>
        <v>0</v>
      </c>
      <c r="H9" s="792"/>
    </row>
    <row r="10" spans="1:8">
      <c r="A10" s="182" t="s">
        <v>18</v>
      </c>
      <c r="B10" s="182" t="s">
        <v>19</v>
      </c>
      <c r="C10" s="791">
        <f>SUMIF('yardi_data (2)'!$A:$A,$A10,'yardi_data (2)'!C:C)</f>
        <v>0</v>
      </c>
      <c r="D10" s="791">
        <f>SUMIF('yardi_data (2)'!$A:$A,$A10,'yardi_data (2)'!$D:$D)</f>
        <v>0</v>
      </c>
      <c r="E10" s="791">
        <f>SUMIF('yardi_data (2)'!$A:$A,$A10,'yardi_data (2)'!$E:$E)</f>
        <v>0</v>
      </c>
      <c r="F10" s="791">
        <f>SUMIF('yardi_data (2)'!$A:$A,$A10,'yardi_data (2)'!$F:$F)</f>
        <v>0</v>
      </c>
      <c r="G10" s="791">
        <f>SUMIF('yardi_data (2)'!$A:$A,$A10,'yardi_data (2)'!$G:$G)</f>
        <v>0</v>
      </c>
      <c r="H10" s="792"/>
    </row>
    <row r="11" spans="1:8">
      <c r="A11" s="181" t="s">
        <v>20</v>
      </c>
      <c r="B11" s="181" t="s">
        <v>21</v>
      </c>
      <c r="C11" s="791">
        <f>SUMIF('yardi_data (2)'!$A:$A,$A11,'yardi_data (2)'!C:C)</f>
        <v>0</v>
      </c>
      <c r="D11" s="791">
        <f>SUMIF('yardi_data (2)'!$A:$A,$A11,'yardi_data (2)'!$D:$D)</f>
        <v>0</v>
      </c>
      <c r="E11" s="791">
        <f>SUMIF('yardi_data (2)'!$A:$A,$A11,'yardi_data (2)'!$E:$E)</f>
        <v>0</v>
      </c>
      <c r="F11" s="791">
        <f>SUMIF('yardi_data (2)'!$A:$A,$A11,'yardi_data (2)'!$F:$F)</f>
        <v>0</v>
      </c>
      <c r="G11" s="791">
        <f>SUMIF('yardi_data (2)'!$A:$A,$A11,'yardi_data (2)'!$G:$G)</f>
        <v>0</v>
      </c>
      <c r="H11" s="792"/>
    </row>
    <row r="12" spans="1:8">
      <c r="A12" s="182" t="s">
        <v>22</v>
      </c>
      <c r="B12" s="182" t="s">
        <v>23</v>
      </c>
      <c r="C12" s="791">
        <f>SUMIF('yardi_data (2)'!$A:$A,$A12,'yardi_data (2)'!C:C)</f>
        <v>0</v>
      </c>
      <c r="D12" s="791">
        <f>SUMIF('yardi_data (2)'!$A:$A,$A12,'yardi_data (2)'!$D:$D)</f>
        <v>0</v>
      </c>
      <c r="E12" s="791">
        <f>SUMIF('yardi_data (2)'!$A:$A,$A12,'yardi_data (2)'!$E:$E)</f>
        <v>0</v>
      </c>
      <c r="F12" s="791">
        <f>SUMIF('yardi_data (2)'!$A:$A,$A12,'yardi_data (2)'!$F:$F)</f>
        <v>0</v>
      </c>
      <c r="G12" s="791">
        <f>SUMIF('yardi_data (2)'!$A:$A,$A12,'yardi_data (2)'!$G:$G)</f>
        <v>0</v>
      </c>
      <c r="H12" s="792"/>
    </row>
    <row r="13" spans="1:8">
      <c r="A13" s="181" t="s">
        <v>24</v>
      </c>
      <c r="B13" s="181" t="s">
        <v>25</v>
      </c>
      <c r="C13" s="791">
        <f>SUMIF('yardi_data (2)'!$A:$A,$A13,'yardi_data (2)'!C:C)</f>
        <v>0</v>
      </c>
      <c r="D13" s="791">
        <f>SUMIF('yardi_data (2)'!$A:$A,$A13,'yardi_data (2)'!$D:$D)</f>
        <v>0</v>
      </c>
      <c r="E13" s="791">
        <f>SUMIF('yardi_data (2)'!$A:$A,$A13,'yardi_data (2)'!$E:$E)</f>
        <v>0</v>
      </c>
      <c r="F13" s="791">
        <f>SUMIF('yardi_data (2)'!$A:$A,$A13,'yardi_data (2)'!$F:$F)</f>
        <v>0</v>
      </c>
      <c r="G13" s="791">
        <f>SUMIF('yardi_data (2)'!$A:$A,$A13,'yardi_data (2)'!$G:$G)</f>
        <v>0</v>
      </c>
      <c r="H13" s="792"/>
    </row>
    <row r="14" spans="1:8">
      <c r="A14" s="182" t="s">
        <v>26</v>
      </c>
      <c r="B14" s="182" t="s">
        <v>27</v>
      </c>
      <c r="C14" s="791">
        <f>SUMIF('yardi_data (2)'!$A:$A,$A14,'yardi_data (2)'!C:C)</f>
        <v>0</v>
      </c>
      <c r="D14" s="791">
        <f>SUMIF('yardi_data (2)'!$A:$A,$A14,'yardi_data (2)'!$D:$D)</f>
        <v>0</v>
      </c>
      <c r="E14" s="791">
        <f>SUMIF('yardi_data (2)'!$A:$A,$A14,'yardi_data (2)'!$E:$E)</f>
        <v>0</v>
      </c>
      <c r="F14" s="791">
        <f>SUMIF('yardi_data (2)'!$A:$A,$A14,'yardi_data (2)'!$F:$F)</f>
        <v>0</v>
      </c>
      <c r="G14" s="791">
        <f>SUMIF('yardi_data (2)'!$A:$A,$A14,'yardi_data (2)'!$G:$G)</f>
        <v>0</v>
      </c>
      <c r="H14" s="792"/>
    </row>
    <row r="15" spans="1:8">
      <c r="A15" s="181" t="s">
        <v>28</v>
      </c>
      <c r="B15" s="181" t="s">
        <v>29</v>
      </c>
      <c r="C15" s="791">
        <f>SUMIF('yardi_data (2)'!$A:$A,$A15,'yardi_data (2)'!C:C)</f>
        <v>0</v>
      </c>
      <c r="D15" s="791">
        <f>SUMIF('yardi_data (2)'!$A:$A,$A15,'yardi_data (2)'!$D:$D)</f>
        <v>0</v>
      </c>
      <c r="E15" s="791">
        <f>SUMIF('yardi_data (2)'!$A:$A,$A15,'yardi_data (2)'!$E:$E)</f>
        <v>0</v>
      </c>
      <c r="F15" s="791">
        <f>SUMIF('yardi_data (2)'!$A:$A,$A15,'yardi_data (2)'!$F:$F)</f>
        <v>0</v>
      </c>
      <c r="G15" s="791">
        <f>SUMIF('yardi_data (2)'!$A:$A,$A15,'yardi_data (2)'!$G:$G)</f>
        <v>0</v>
      </c>
      <c r="H15" s="792"/>
    </row>
    <row r="16" spans="1:8">
      <c r="A16" s="182" t="s">
        <v>30</v>
      </c>
      <c r="B16" s="182" t="s">
        <v>31</v>
      </c>
      <c r="C16" s="791">
        <f>SUMIF('yardi_data (2)'!$A:$A,$A16,'yardi_data (2)'!C:C)</f>
        <v>0</v>
      </c>
      <c r="D16" s="791">
        <f>SUMIF('yardi_data (2)'!$A:$A,$A16,'yardi_data (2)'!$D:$D)</f>
        <v>0</v>
      </c>
      <c r="E16" s="791">
        <f>SUMIF('yardi_data (2)'!$A:$A,$A16,'yardi_data (2)'!$E:$E)</f>
        <v>0</v>
      </c>
      <c r="F16" s="791">
        <f>SUMIF('yardi_data (2)'!$A:$A,$A16,'yardi_data (2)'!$F:$F)</f>
        <v>0</v>
      </c>
      <c r="G16" s="791">
        <f>SUMIF('yardi_data (2)'!$A:$A,$A16,'yardi_data (2)'!$G:$G)</f>
        <v>0</v>
      </c>
      <c r="H16" s="792"/>
    </row>
    <row r="17" spans="1:8">
      <c r="A17" s="181" t="s">
        <v>32</v>
      </c>
      <c r="B17" s="181" t="s">
        <v>33</v>
      </c>
      <c r="C17" s="791">
        <f>SUMIF('yardi_data (2)'!$A:$A,$A17,'yardi_data (2)'!C:C)</f>
        <v>0</v>
      </c>
      <c r="D17" s="791">
        <f>SUMIF('yardi_data (2)'!$A:$A,$A17,'yardi_data (2)'!$D:$D)</f>
        <v>0</v>
      </c>
      <c r="E17" s="791">
        <f>SUMIF('yardi_data (2)'!$A:$A,$A17,'yardi_data (2)'!$E:$E)</f>
        <v>0</v>
      </c>
      <c r="F17" s="791">
        <f>SUMIF('yardi_data (2)'!$A:$A,$A17,'yardi_data (2)'!$F:$F)</f>
        <v>0</v>
      </c>
      <c r="G17" s="791">
        <f>SUMIF('yardi_data (2)'!$A:$A,$A17,'yardi_data (2)'!$G:$G)</f>
        <v>0</v>
      </c>
      <c r="H17" s="792"/>
    </row>
    <row r="18" spans="1:8">
      <c r="A18" s="182" t="s">
        <v>34</v>
      </c>
      <c r="B18" s="182" t="s">
        <v>35</v>
      </c>
      <c r="C18" s="791">
        <f>SUMIF('yardi_data (2)'!$A:$A,$A18,'yardi_data (2)'!C:C)</f>
        <v>0</v>
      </c>
      <c r="D18" s="791">
        <f>SUMIF('yardi_data (2)'!$A:$A,$A18,'yardi_data (2)'!$D:$D)</f>
        <v>0</v>
      </c>
      <c r="E18" s="791">
        <f>SUMIF('yardi_data (2)'!$A:$A,$A18,'yardi_data (2)'!$E:$E)</f>
        <v>0</v>
      </c>
      <c r="F18" s="791">
        <f>SUMIF('yardi_data (2)'!$A:$A,$A18,'yardi_data (2)'!$F:$F)</f>
        <v>0</v>
      </c>
      <c r="G18" s="791">
        <f>SUMIF('yardi_data (2)'!$A:$A,$A18,'yardi_data (2)'!$G:$G)</f>
        <v>0</v>
      </c>
      <c r="H18" s="792"/>
    </row>
    <row r="19" spans="1:8">
      <c r="A19" s="181" t="s">
        <v>36</v>
      </c>
      <c r="B19" s="181" t="s">
        <v>37</v>
      </c>
      <c r="C19" s="791">
        <f>SUMIF('yardi_data (2)'!$A:$A,$A19,'yardi_data (2)'!C:C)</f>
        <v>0</v>
      </c>
      <c r="D19" s="791">
        <f>SUMIF('yardi_data (2)'!$A:$A,$A19,'yardi_data (2)'!$D:$D)</f>
        <v>0</v>
      </c>
      <c r="E19" s="791">
        <f>SUMIF('yardi_data (2)'!$A:$A,$A19,'yardi_data (2)'!$E:$E)</f>
        <v>0</v>
      </c>
      <c r="F19" s="791">
        <f>SUMIF('yardi_data (2)'!$A:$A,$A19,'yardi_data (2)'!$F:$F)</f>
        <v>0</v>
      </c>
      <c r="G19" s="791">
        <f>SUMIF('yardi_data (2)'!$A:$A,$A19,'yardi_data (2)'!$G:$G)</f>
        <v>0</v>
      </c>
      <c r="H19" s="792"/>
    </row>
    <row r="20" spans="1:8">
      <c r="A20" s="182" t="s">
        <v>38</v>
      </c>
      <c r="B20" s="182" t="s">
        <v>39</v>
      </c>
      <c r="C20" s="791">
        <f>SUMIF('yardi_data (2)'!$A:$A,$A20,'yardi_data (2)'!C:C)</f>
        <v>0</v>
      </c>
      <c r="D20" s="791">
        <f>SUMIF('yardi_data (2)'!$A:$A,$A20,'yardi_data (2)'!$D:$D)</f>
        <v>0</v>
      </c>
      <c r="E20" s="791">
        <f>SUMIF('yardi_data (2)'!$A:$A,$A20,'yardi_data (2)'!$E:$E)</f>
        <v>0</v>
      </c>
      <c r="F20" s="791">
        <f>SUMIF('yardi_data (2)'!$A:$A,$A20,'yardi_data (2)'!$F:$F)</f>
        <v>0</v>
      </c>
      <c r="G20" s="791">
        <f>SUMIF('yardi_data (2)'!$A:$A,$A20,'yardi_data (2)'!$G:$G)</f>
        <v>0</v>
      </c>
      <c r="H20" s="792"/>
    </row>
    <row r="21" spans="1:8">
      <c r="A21" s="181" t="s">
        <v>40</v>
      </c>
      <c r="B21" s="181" t="s">
        <v>41</v>
      </c>
      <c r="C21" s="791">
        <f>SUMIF('yardi_data (2)'!$A:$A,$A21,'yardi_data (2)'!C:C)</f>
        <v>0</v>
      </c>
      <c r="D21" s="791">
        <f>SUMIF('yardi_data (2)'!$A:$A,$A21,'yardi_data (2)'!$D:$D)</f>
        <v>0</v>
      </c>
      <c r="E21" s="791">
        <f>SUMIF('yardi_data (2)'!$A:$A,$A21,'yardi_data (2)'!$E:$E)</f>
        <v>0</v>
      </c>
      <c r="F21" s="791">
        <f>SUMIF('yardi_data (2)'!$A:$A,$A21,'yardi_data (2)'!$F:$F)</f>
        <v>0</v>
      </c>
      <c r="G21" s="791">
        <f>SUMIF('yardi_data (2)'!$A:$A,$A21,'yardi_data (2)'!$G:$G)</f>
        <v>0</v>
      </c>
      <c r="H21" s="792"/>
    </row>
    <row r="22" spans="1:8">
      <c r="A22" s="182" t="s">
        <v>42</v>
      </c>
      <c r="B22" s="182" t="s">
        <v>43</v>
      </c>
      <c r="C22" s="791">
        <f>SUMIF('yardi_data (2)'!$A:$A,$A22,'yardi_data (2)'!C:C)</f>
        <v>0</v>
      </c>
      <c r="D22" s="791">
        <f>SUMIF('yardi_data (2)'!$A:$A,$A22,'yardi_data (2)'!$D:$D)</f>
        <v>0</v>
      </c>
      <c r="E22" s="791">
        <f>SUMIF('yardi_data (2)'!$A:$A,$A22,'yardi_data (2)'!$E:$E)</f>
        <v>0</v>
      </c>
      <c r="F22" s="791">
        <f>SUMIF('yardi_data (2)'!$A:$A,$A22,'yardi_data (2)'!$F:$F)</f>
        <v>0</v>
      </c>
      <c r="G22" s="791">
        <f>SUMIF('yardi_data (2)'!$A:$A,$A22,'yardi_data (2)'!$G:$G)</f>
        <v>0</v>
      </c>
      <c r="H22" s="792"/>
    </row>
    <row r="23" spans="1:8">
      <c r="A23" s="181" t="s">
        <v>44</v>
      </c>
      <c r="B23" s="181" t="s">
        <v>45</v>
      </c>
      <c r="C23" s="791">
        <f>SUMIF('yardi_data (2)'!$A:$A,$A23,'yardi_data (2)'!C:C)</f>
        <v>0</v>
      </c>
      <c r="D23" s="791">
        <f>SUMIF('yardi_data (2)'!$A:$A,$A23,'yardi_data (2)'!$D:$D)</f>
        <v>0</v>
      </c>
      <c r="E23" s="791">
        <f>SUMIF('yardi_data (2)'!$A:$A,$A23,'yardi_data (2)'!$E:$E)</f>
        <v>0</v>
      </c>
      <c r="F23" s="791">
        <f>SUMIF('yardi_data (2)'!$A:$A,$A23,'yardi_data (2)'!$F:$F)</f>
        <v>0</v>
      </c>
      <c r="G23" s="791">
        <f>SUMIF('yardi_data (2)'!$A:$A,$A23,'yardi_data (2)'!$G:$G)</f>
        <v>0</v>
      </c>
      <c r="H23" s="792"/>
    </row>
    <row r="24" spans="1:8">
      <c r="A24" s="182" t="s">
        <v>46</v>
      </c>
      <c r="B24" s="182" t="s">
        <v>47</v>
      </c>
      <c r="C24" s="791">
        <f>SUMIF('yardi_data (2)'!$A:$A,$A24,'yardi_data (2)'!C:C)</f>
        <v>0</v>
      </c>
      <c r="D24" s="791">
        <f>SUMIF('yardi_data (2)'!$A:$A,$A24,'yardi_data (2)'!$D:$D)</f>
        <v>0</v>
      </c>
      <c r="E24" s="791">
        <f>SUMIF('yardi_data (2)'!$A:$A,$A24,'yardi_data (2)'!$E:$E)</f>
        <v>0</v>
      </c>
      <c r="F24" s="791">
        <f>SUMIF('yardi_data (2)'!$A:$A,$A24,'yardi_data (2)'!$F:$F)</f>
        <v>0</v>
      </c>
      <c r="G24" s="791">
        <f>SUMIF('yardi_data (2)'!$A:$A,$A24,'yardi_data (2)'!$G:$G)</f>
        <v>0</v>
      </c>
      <c r="H24" s="792"/>
    </row>
    <row r="25" spans="1:8">
      <c r="A25" s="181" t="s">
        <v>48</v>
      </c>
      <c r="B25" s="181" t="s">
        <v>49</v>
      </c>
      <c r="C25" s="791">
        <f>SUMIF('yardi_data (2)'!$A:$A,$A25,'yardi_data (2)'!C:C)</f>
        <v>0</v>
      </c>
      <c r="D25" s="791">
        <f>SUMIF('yardi_data (2)'!$A:$A,$A25,'yardi_data (2)'!$D:$D)</f>
        <v>0</v>
      </c>
      <c r="E25" s="791">
        <f>SUMIF('yardi_data (2)'!$A:$A,$A25,'yardi_data (2)'!$E:$E)</f>
        <v>0</v>
      </c>
      <c r="F25" s="791">
        <f>SUMIF('yardi_data (2)'!$A:$A,$A25,'yardi_data (2)'!$F:$F)</f>
        <v>0</v>
      </c>
      <c r="G25" s="791">
        <f>SUMIF('yardi_data (2)'!$A:$A,$A25,'yardi_data (2)'!$G:$G)</f>
        <v>0</v>
      </c>
      <c r="H25" s="792"/>
    </row>
    <row r="26" spans="1:8">
      <c r="A26" s="182" t="s">
        <v>50</v>
      </c>
      <c r="B26" s="182" t="s">
        <v>51</v>
      </c>
      <c r="C26" s="791">
        <f>SUMIF('yardi_data (2)'!$A:$A,$A26,'yardi_data (2)'!C:C)</f>
        <v>0</v>
      </c>
      <c r="D26" s="791">
        <f>SUMIF('yardi_data (2)'!$A:$A,$A26,'yardi_data (2)'!$D:$D)</f>
        <v>0</v>
      </c>
      <c r="E26" s="791">
        <f>SUMIF('yardi_data (2)'!$A:$A,$A26,'yardi_data (2)'!$E:$E)</f>
        <v>0</v>
      </c>
      <c r="F26" s="791">
        <f>SUMIF('yardi_data (2)'!$A:$A,$A26,'yardi_data (2)'!$F:$F)</f>
        <v>0</v>
      </c>
      <c r="G26" s="791">
        <f>SUMIF('yardi_data (2)'!$A:$A,$A26,'yardi_data (2)'!$G:$G)</f>
        <v>0</v>
      </c>
      <c r="H26" s="792"/>
    </row>
    <row r="27" spans="1:8">
      <c r="A27" s="181" t="s">
        <v>52</v>
      </c>
      <c r="B27" s="181" t="s">
        <v>53</v>
      </c>
      <c r="C27" s="791">
        <f>SUMIF('yardi_data (2)'!$A:$A,$A27,'yardi_data (2)'!C:C)</f>
        <v>0</v>
      </c>
      <c r="D27" s="791">
        <f>SUMIF('yardi_data (2)'!$A:$A,$A27,'yardi_data (2)'!$D:$D)</f>
        <v>0</v>
      </c>
      <c r="E27" s="791">
        <f>SUMIF('yardi_data (2)'!$A:$A,$A27,'yardi_data (2)'!$E:$E)</f>
        <v>0</v>
      </c>
      <c r="F27" s="791">
        <f>SUMIF('yardi_data (2)'!$A:$A,$A27,'yardi_data (2)'!$F:$F)</f>
        <v>0</v>
      </c>
      <c r="G27" s="791">
        <f>SUMIF('yardi_data (2)'!$A:$A,$A27,'yardi_data (2)'!$G:$G)</f>
        <v>0</v>
      </c>
      <c r="H27" s="792"/>
    </row>
    <row r="28" spans="1:8">
      <c r="A28" s="182" t="s">
        <v>54</v>
      </c>
      <c r="B28" s="182" t="s">
        <v>55</v>
      </c>
      <c r="C28" s="791">
        <f>SUMIF('yardi_data (2)'!$A:$A,$A28,'yardi_data (2)'!C:C)</f>
        <v>0</v>
      </c>
      <c r="D28" s="791">
        <f>SUMIF('yardi_data (2)'!$A:$A,$A28,'yardi_data (2)'!$D:$D)</f>
        <v>0</v>
      </c>
      <c r="E28" s="791">
        <f>SUMIF('yardi_data (2)'!$A:$A,$A28,'yardi_data (2)'!$E:$E)</f>
        <v>0</v>
      </c>
      <c r="F28" s="791">
        <f>SUMIF('yardi_data (2)'!$A:$A,$A28,'yardi_data (2)'!$F:$F)</f>
        <v>0</v>
      </c>
      <c r="G28" s="791">
        <f>SUMIF('yardi_data (2)'!$A:$A,$A28,'yardi_data (2)'!$G:$G)</f>
        <v>0</v>
      </c>
      <c r="H28" s="792"/>
    </row>
    <row r="29" spans="1:8">
      <c r="A29" s="181" t="s">
        <v>56</v>
      </c>
      <c r="B29" s="181" t="s">
        <v>57</v>
      </c>
      <c r="C29" s="791">
        <f>SUMIF('yardi_data (2)'!$A:$A,$A29,'yardi_data (2)'!C:C)</f>
        <v>0</v>
      </c>
      <c r="D29" s="791">
        <f>SUMIF('yardi_data (2)'!$A:$A,$A29,'yardi_data (2)'!$D:$D)</f>
        <v>0</v>
      </c>
      <c r="E29" s="791">
        <f>SUMIF('yardi_data (2)'!$A:$A,$A29,'yardi_data (2)'!$E:$E)</f>
        <v>0</v>
      </c>
      <c r="F29" s="791">
        <f>SUMIF('yardi_data (2)'!$A:$A,$A29,'yardi_data (2)'!$F:$F)</f>
        <v>0</v>
      </c>
      <c r="G29" s="791">
        <f>SUMIF('yardi_data (2)'!$A:$A,$A29,'yardi_data (2)'!$G:$G)</f>
        <v>0</v>
      </c>
      <c r="H29" s="792"/>
    </row>
    <row r="30" spans="1:8">
      <c r="A30" s="182" t="s">
        <v>58</v>
      </c>
      <c r="B30" s="182" t="s">
        <v>59</v>
      </c>
      <c r="C30" s="791">
        <f>SUMIF('yardi_data (2)'!$A:$A,$A30,'yardi_data (2)'!C:C)</f>
        <v>0</v>
      </c>
      <c r="D30" s="791">
        <f>SUMIF('yardi_data (2)'!$A:$A,$A30,'yardi_data (2)'!$D:$D)</f>
        <v>0</v>
      </c>
      <c r="E30" s="791">
        <f>SUMIF('yardi_data (2)'!$A:$A,$A30,'yardi_data (2)'!$E:$E)</f>
        <v>0</v>
      </c>
      <c r="F30" s="791">
        <f>SUMIF('yardi_data (2)'!$A:$A,$A30,'yardi_data (2)'!$F:$F)</f>
        <v>0</v>
      </c>
      <c r="G30" s="791">
        <f>SUMIF('yardi_data (2)'!$A:$A,$A30,'yardi_data (2)'!$G:$G)</f>
        <v>0</v>
      </c>
      <c r="H30" s="792"/>
    </row>
    <row r="31" spans="1:8">
      <c r="A31" s="181" t="s">
        <v>60</v>
      </c>
      <c r="B31" s="181" t="s">
        <v>61</v>
      </c>
      <c r="C31" s="791">
        <f>SUMIF('yardi_data (2)'!$A:$A,$A31,'yardi_data (2)'!C:C)</f>
        <v>0</v>
      </c>
      <c r="D31" s="791">
        <f>SUMIF('yardi_data (2)'!$A:$A,$A31,'yardi_data (2)'!$D:$D)</f>
        <v>0</v>
      </c>
      <c r="E31" s="791">
        <f>SUMIF('yardi_data (2)'!$A:$A,$A31,'yardi_data (2)'!$E:$E)</f>
        <v>0</v>
      </c>
      <c r="F31" s="791">
        <f>SUMIF('yardi_data (2)'!$A:$A,$A31,'yardi_data (2)'!$F:$F)</f>
        <v>0</v>
      </c>
      <c r="G31" s="791">
        <f>SUMIF('yardi_data (2)'!$A:$A,$A31,'yardi_data (2)'!$G:$G)</f>
        <v>0</v>
      </c>
      <c r="H31" s="792"/>
    </row>
    <row r="32" spans="1:8">
      <c r="A32" s="182" t="s">
        <v>62</v>
      </c>
      <c r="B32" s="182" t="s">
        <v>63</v>
      </c>
      <c r="C32" s="791">
        <f>SUMIF('yardi_data (2)'!$A:$A,$A32,'yardi_data (2)'!C:C)</f>
        <v>0</v>
      </c>
      <c r="D32" s="791">
        <f>SUMIF('yardi_data (2)'!$A:$A,$A32,'yardi_data (2)'!$D:$D)</f>
        <v>0</v>
      </c>
      <c r="E32" s="791">
        <f>SUMIF('yardi_data (2)'!$A:$A,$A32,'yardi_data (2)'!$E:$E)</f>
        <v>0</v>
      </c>
      <c r="F32" s="791">
        <f>SUMIF('yardi_data (2)'!$A:$A,$A32,'yardi_data (2)'!$F:$F)</f>
        <v>0</v>
      </c>
      <c r="G32" s="791">
        <f>SUMIF('yardi_data (2)'!$A:$A,$A32,'yardi_data (2)'!$G:$G)</f>
        <v>0</v>
      </c>
      <c r="H32" s="792"/>
    </row>
    <row r="33" spans="1:8">
      <c r="A33" s="181" t="s">
        <v>64</v>
      </c>
      <c r="B33" s="181" t="s">
        <v>65</v>
      </c>
      <c r="C33" s="791">
        <f>SUMIF('yardi_data (2)'!$A:$A,$A33,'yardi_data (2)'!C:C)</f>
        <v>0</v>
      </c>
      <c r="D33" s="791">
        <f>SUMIF('yardi_data (2)'!$A:$A,$A33,'yardi_data (2)'!$D:$D)</f>
        <v>0</v>
      </c>
      <c r="E33" s="791">
        <f>SUMIF('yardi_data (2)'!$A:$A,$A33,'yardi_data (2)'!$E:$E)</f>
        <v>0</v>
      </c>
      <c r="F33" s="791">
        <f>SUMIF('yardi_data (2)'!$A:$A,$A33,'yardi_data (2)'!$F:$F)</f>
        <v>0</v>
      </c>
      <c r="G33" s="791">
        <f>SUMIF('yardi_data (2)'!$A:$A,$A33,'yardi_data (2)'!$G:$G)</f>
        <v>0</v>
      </c>
      <c r="H33" s="792"/>
    </row>
    <row r="34" spans="1:8">
      <c r="A34" s="182" t="s">
        <v>66</v>
      </c>
      <c r="B34" s="182" t="s">
        <v>67</v>
      </c>
      <c r="C34" s="791">
        <f>SUMIF('yardi_data (2)'!$A:$A,$A34,'yardi_data (2)'!C:C)</f>
        <v>0</v>
      </c>
      <c r="D34" s="791">
        <f>SUMIF('yardi_data (2)'!$A:$A,$A34,'yardi_data (2)'!$D:$D)</f>
        <v>0</v>
      </c>
      <c r="E34" s="791">
        <f>SUMIF('yardi_data (2)'!$A:$A,$A34,'yardi_data (2)'!$E:$E)</f>
        <v>0</v>
      </c>
      <c r="F34" s="791">
        <f>SUMIF('yardi_data (2)'!$A:$A,$A34,'yardi_data (2)'!$F:$F)</f>
        <v>0</v>
      </c>
      <c r="G34" s="791">
        <f>SUMIF('yardi_data (2)'!$A:$A,$A34,'yardi_data (2)'!$G:$G)</f>
        <v>0</v>
      </c>
      <c r="H34" s="792"/>
    </row>
    <row r="35" spans="1:8">
      <c r="A35" s="181" t="s">
        <v>68</v>
      </c>
      <c r="B35" s="181" t="s">
        <v>69</v>
      </c>
      <c r="C35" s="791">
        <f>SUMIF('yardi_data (2)'!$A:$A,$A35,'yardi_data (2)'!C:C)</f>
        <v>0</v>
      </c>
      <c r="D35" s="791">
        <f>SUMIF('yardi_data (2)'!$A:$A,$A35,'yardi_data (2)'!$D:$D)</f>
        <v>0</v>
      </c>
      <c r="E35" s="791">
        <f>SUMIF('yardi_data (2)'!$A:$A,$A35,'yardi_data (2)'!$E:$E)</f>
        <v>0</v>
      </c>
      <c r="F35" s="791">
        <f>SUMIF('yardi_data (2)'!$A:$A,$A35,'yardi_data (2)'!$F:$F)</f>
        <v>0</v>
      </c>
      <c r="G35" s="791">
        <f>SUMIF('yardi_data (2)'!$A:$A,$A35,'yardi_data (2)'!$G:$G)</f>
        <v>0</v>
      </c>
      <c r="H35" s="792"/>
    </row>
    <row r="36" spans="1:8">
      <c r="A36" s="181" t="s">
        <v>70</v>
      </c>
      <c r="B36" s="181" t="s">
        <v>69</v>
      </c>
      <c r="C36" s="791">
        <f>SUMIF('yardi_data (2)'!$A:$A,$A36,'yardi_data (2)'!C:C)</f>
        <v>0</v>
      </c>
      <c r="D36" s="791">
        <f>SUMIF('yardi_data (2)'!$A:$A,$A36,'yardi_data (2)'!$D:$D)</f>
        <v>0</v>
      </c>
      <c r="E36" s="791">
        <f>SUMIF('yardi_data (2)'!$A:$A,$A36,'yardi_data (2)'!$E:$E)</f>
        <v>0</v>
      </c>
      <c r="F36" s="791">
        <f>SUMIF('yardi_data (2)'!$A:$A,$A36,'yardi_data (2)'!$F:$F)</f>
        <v>0</v>
      </c>
      <c r="G36" s="791">
        <f>SUMIF('yardi_data (2)'!$A:$A,$A36,'yardi_data (2)'!$G:$G)</f>
        <v>0</v>
      </c>
      <c r="H36" s="792"/>
    </row>
    <row r="37" spans="1:8">
      <c r="A37" s="182" t="s">
        <v>71</v>
      </c>
      <c r="B37" s="182" t="s">
        <v>72</v>
      </c>
      <c r="C37" s="791">
        <f>SUMIF('yardi_data (2)'!$A:$A,$A37,'yardi_data (2)'!C:C)</f>
        <v>0</v>
      </c>
      <c r="D37" s="791">
        <f>SUMIF('yardi_data (2)'!$A:$A,$A37,'yardi_data (2)'!$D:$D)</f>
        <v>0</v>
      </c>
      <c r="E37" s="791">
        <f>SUMIF('yardi_data (2)'!$A:$A,$A37,'yardi_data (2)'!$E:$E)</f>
        <v>0</v>
      </c>
      <c r="F37" s="791">
        <f>SUMIF('yardi_data (2)'!$A:$A,$A37,'yardi_data (2)'!$F:$F)</f>
        <v>0</v>
      </c>
      <c r="G37" s="791">
        <f>SUMIF('yardi_data (2)'!$A:$A,$A37,'yardi_data (2)'!$G:$G)</f>
        <v>0</v>
      </c>
      <c r="H37" s="792"/>
    </row>
    <row r="38" spans="1:8">
      <c r="A38" s="181" t="s">
        <v>73</v>
      </c>
      <c r="B38" s="181" t="s">
        <v>74</v>
      </c>
      <c r="C38" s="791">
        <f>SUMIF('yardi_data (2)'!$A:$A,$A38,'yardi_data (2)'!C:C)</f>
        <v>0</v>
      </c>
      <c r="D38" s="791">
        <f>SUMIF('yardi_data (2)'!$A:$A,$A38,'yardi_data (2)'!$D:$D)</f>
        <v>0</v>
      </c>
      <c r="E38" s="791">
        <f>SUMIF('yardi_data (2)'!$A:$A,$A38,'yardi_data (2)'!$E:$E)</f>
        <v>0</v>
      </c>
      <c r="F38" s="791">
        <f>SUMIF('yardi_data (2)'!$A:$A,$A38,'yardi_data (2)'!$F:$F)</f>
        <v>0</v>
      </c>
      <c r="G38" s="791">
        <f>SUMIF('yardi_data (2)'!$A:$A,$A38,'yardi_data (2)'!$G:$G)</f>
        <v>0</v>
      </c>
      <c r="H38" s="792"/>
    </row>
    <row r="39" spans="1:8">
      <c r="A39" s="182" t="s">
        <v>75</v>
      </c>
      <c r="B39" s="182" t="s">
        <v>76</v>
      </c>
      <c r="C39" s="791">
        <f>SUMIF('yardi_data (2)'!$A:$A,$A39,'yardi_data (2)'!C:C)</f>
        <v>0</v>
      </c>
      <c r="D39" s="791">
        <f>SUMIF('yardi_data (2)'!$A:$A,$A39,'yardi_data (2)'!$D:$D)</f>
        <v>0</v>
      </c>
      <c r="E39" s="791">
        <f>SUMIF('yardi_data (2)'!$A:$A,$A39,'yardi_data (2)'!$E:$E)</f>
        <v>0</v>
      </c>
      <c r="F39" s="791">
        <f>SUMIF('yardi_data (2)'!$A:$A,$A39,'yardi_data (2)'!$F:$F)</f>
        <v>0</v>
      </c>
      <c r="G39" s="791">
        <f>SUMIF('yardi_data (2)'!$A:$A,$A39,'yardi_data (2)'!$G:$G)</f>
        <v>0</v>
      </c>
      <c r="H39" s="792"/>
    </row>
    <row r="40" spans="1:8">
      <c r="A40" s="181" t="s">
        <v>77</v>
      </c>
      <c r="B40" s="181" t="s">
        <v>78</v>
      </c>
      <c r="C40" s="791">
        <f>SUMIF('yardi_data (2)'!$A:$A,$A40,'yardi_data (2)'!C:C)</f>
        <v>0</v>
      </c>
      <c r="D40" s="791">
        <f>SUMIF('yardi_data (2)'!$A:$A,$A40,'yardi_data (2)'!$D:$D)</f>
        <v>0</v>
      </c>
      <c r="E40" s="791">
        <f>SUMIF('yardi_data (2)'!$A:$A,$A40,'yardi_data (2)'!$E:$E)</f>
        <v>0</v>
      </c>
      <c r="F40" s="791">
        <f>SUMIF('yardi_data (2)'!$A:$A,$A40,'yardi_data (2)'!$F:$F)</f>
        <v>0</v>
      </c>
      <c r="G40" s="791">
        <f>SUMIF('yardi_data (2)'!$A:$A,$A40,'yardi_data (2)'!$G:$G)</f>
        <v>0</v>
      </c>
      <c r="H40" s="792"/>
    </row>
    <row r="41" spans="1:8">
      <c r="A41" s="182" t="s">
        <v>79</v>
      </c>
      <c r="B41" s="182" t="s">
        <v>80</v>
      </c>
      <c r="C41" s="791">
        <f>SUMIF('yardi_data (2)'!$A:$A,$A41,'yardi_data (2)'!C:C)</f>
        <v>0</v>
      </c>
      <c r="D41" s="791">
        <f>SUMIF('yardi_data (2)'!$A:$A,$A41,'yardi_data (2)'!$D:$D)</f>
        <v>0</v>
      </c>
      <c r="E41" s="791">
        <f>SUMIF('yardi_data (2)'!$A:$A,$A41,'yardi_data (2)'!$E:$E)</f>
        <v>0</v>
      </c>
      <c r="F41" s="791">
        <f>SUMIF('yardi_data (2)'!$A:$A,$A41,'yardi_data (2)'!$F:$F)</f>
        <v>0</v>
      </c>
      <c r="G41" s="791">
        <f>SUMIF('yardi_data (2)'!$A:$A,$A41,'yardi_data (2)'!$G:$G)</f>
        <v>0</v>
      </c>
      <c r="H41" s="792"/>
    </row>
    <row r="42" spans="1:8">
      <c r="A42" s="181" t="s">
        <v>81</v>
      </c>
      <c r="B42" s="181" t="s">
        <v>82</v>
      </c>
      <c r="C42" s="791">
        <f>SUMIF('yardi_data (2)'!$A:$A,$A42,'yardi_data (2)'!C:C)</f>
        <v>0</v>
      </c>
      <c r="D42" s="791">
        <f>SUMIF('yardi_data (2)'!$A:$A,$A42,'yardi_data (2)'!$D:$D)</f>
        <v>0</v>
      </c>
      <c r="E42" s="791">
        <f>SUMIF('yardi_data (2)'!$A:$A,$A42,'yardi_data (2)'!$E:$E)</f>
        <v>0</v>
      </c>
      <c r="F42" s="791">
        <f>SUMIF('yardi_data (2)'!$A:$A,$A42,'yardi_data (2)'!$F:$F)</f>
        <v>0</v>
      </c>
      <c r="G42" s="791">
        <f>SUMIF('yardi_data (2)'!$A:$A,$A42,'yardi_data (2)'!$G:$G)</f>
        <v>0</v>
      </c>
      <c r="H42" s="792"/>
    </row>
    <row r="43" spans="1:8">
      <c r="A43" s="182" t="s">
        <v>83</v>
      </c>
      <c r="B43" s="182" t="s">
        <v>84</v>
      </c>
      <c r="C43" s="791">
        <f>SUMIF('yardi_data (2)'!$A:$A,$A43,'yardi_data (2)'!C:C)</f>
        <v>0</v>
      </c>
      <c r="D43" s="791">
        <f>SUMIF('yardi_data (2)'!$A:$A,$A43,'yardi_data (2)'!$D:$D)</f>
        <v>0</v>
      </c>
      <c r="E43" s="791">
        <f>SUMIF('yardi_data (2)'!$A:$A,$A43,'yardi_data (2)'!$E:$E)</f>
        <v>0</v>
      </c>
      <c r="F43" s="791">
        <f>SUMIF('yardi_data (2)'!$A:$A,$A43,'yardi_data (2)'!$F:$F)</f>
        <v>0</v>
      </c>
      <c r="G43" s="791">
        <f>SUMIF('yardi_data (2)'!$A:$A,$A43,'yardi_data (2)'!$G:$G)</f>
        <v>0</v>
      </c>
      <c r="H43" s="792"/>
    </row>
    <row r="44" spans="1:8">
      <c r="A44" s="181" t="s">
        <v>85</v>
      </c>
      <c r="B44" s="181" t="s">
        <v>86</v>
      </c>
      <c r="C44" s="791">
        <f>SUMIF('yardi_data (2)'!$A:$A,$A44,'yardi_data (2)'!C:C)</f>
        <v>0</v>
      </c>
      <c r="D44" s="791">
        <f>SUMIF('yardi_data (2)'!$A:$A,$A44,'yardi_data (2)'!$D:$D)</f>
        <v>0</v>
      </c>
      <c r="E44" s="791">
        <f>SUMIF('yardi_data (2)'!$A:$A,$A44,'yardi_data (2)'!$E:$E)</f>
        <v>0</v>
      </c>
      <c r="F44" s="791">
        <f>SUMIF('yardi_data (2)'!$A:$A,$A44,'yardi_data (2)'!$F:$F)</f>
        <v>0</v>
      </c>
      <c r="G44" s="791">
        <f>SUMIF('yardi_data (2)'!$A:$A,$A44,'yardi_data (2)'!$G:$G)</f>
        <v>0</v>
      </c>
      <c r="H44" s="792"/>
    </row>
    <row r="45" spans="1:8">
      <c r="A45" s="182" t="s">
        <v>87</v>
      </c>
      <c r="B45" s="182" t="s">
        <v>88</v>
      </c>
      <c r="C45" s="791">
        <f>SUMIF('yardi_data (2)'!$A:$A,$A45,'yardi_data (2)'!C:C)</f>
        <v>0</v>
      </c>
      <c r="D45" s="791">
        <f>SUMIF('yardi_data (2)'!$A:$A,$A45,'yardi_data (2)'!$D:$D)</f>
        <v>0</v>
      </c>
      <c r="E45" s="791">
        <f>SUMIF('yardi_data (2)'!$A:$A,$A45,'yardi_data (2)'!$E:$E)</f>
        <v>0</v>
      </c>
      <c r="F45" s="791">
        <f>SUMIF('yardi_data (2)'!$A:$A,$A45,'yardi_data (2)'!$F:$F)</f>
        <v>0</v>
      </c>
      <c r="G45" s="791">
        <f>SUMIF('yardi_data (2)'!$A:$A,$A45,'yardi_data (2)'!$G:$G)</f>
        <v>0</v>
      </c>
      <c r="H45" s="792"/>
    </row>
    <row r="46" spans="1:8">
      <c r="A46" s="181" t="s">
        <v>89</v>
      </c>
      <c r="B46" s="181" t="s">
        <v>90</v>
      </c>
      <c r="C46" s="791">
        <f>SUMIF('yardi_data (2)'!$A:$A,$A46,'yardi_data (2)'!C:C)</f>
        <v>0</v>
      </c>
      <c r="D46" s="791">
        <f>SUMIF('yardi_data (2)'!$A:$A,$A46,'yardi_data (2)'!$D:$D)</f>
        <v>0</v>
      </c>
      <c r="E46" s="791">
        <f>SUMIF('yardi_data (2)'!$A:$A,$A46,'yardi_data (2)'!$E:$E)</f>
        <v>0</v>
      </c>
      <c r="F46" s="791">
        <f>SUMIF('yardi_data (2)'!$A:$A,$A46,'yardi_data (2)'!$F:$F)</f>
        <v>0</v>
      </c>
      <c r="G46" s="791">
        <f>SUMIF('yardi_data (2)'!$A:$A,$A46,'yardi_data (2)'!$G:$G)</f>
        <v>0</v>
      </c>
      <c r="H46" s="792"/>
    </row>
    <row r="47" spans="1:8">
      <c r="A47" s="182" t="s">
        <v>91</v>
      </c>
      <c r="B47" s="182" t="s">
        <v>92</v>
      </c>
      <c r="C47" s="791">
        <f>SUMIF('yardi_data (2)'!$A:$A,$A47,'yardi_data (2)'!C:C)</f>
        <v>0</v>
      </c>
      <c r="D47" s="791">
        <f>SUMIF('yardi_data (2)'!$A:$A,$A47,'yardi_data (2)'!$D:$D)</f>
        <v>0</v>
      </c>
      <c r="E47" s="791">
        <f>SUMIF('yardi_data (2)'!$A:$A,$A47,'yardi_data (2)'!$E:$E)</f>
        <v>0</v>
      </c>
      <c r="F47" s="791">
        <f>SUMIF('yardi_data (2)'!$A:$A,$A47,'yardi_data (2)'!$F:$F)</f>
        <v>0</v>
      </c>
      <c r="G47" s="791">
        <f>SUMIF('yardi_data (2)'!$A:$A,$A47,'yardi_data (2)'!$G:$G)</f>
        <v>0</v>
      </c>
      <c r="H47" s="792"/>
    </row>
    <row r="48" spans="1:8">
      <c r="A48" s="181" t="s">
        <v>93</v>
      </c>
      <c r="B48" s="181" t="s">
        <v>94</v>
      </c>
      <c r="C48" s="791">
        <f>SUMIF('yardi_data (2)'!$A:$A,$A48,'yardi_data (2)'!C:C)</f>
        <v>0</v>
      </c>
      <c r="D48" s="791">
        <f>SUMIF('yardi_data (2)'!$A:$A,$A48,'yardi_data (2)'!$D:$D)</f>
        <v>0</v>
      </c>
      <c r="E48" s="791">
        <f>SUMIF('yardi_data (2)'!$A:$A,$A48,'yardi_data (2)'!$E:$E)</f>
        <v>0</v>
      </c>
      <c r="F48" s="791">
        <f>SUMIF('yardi_data (2)'!$A:$A,$A48,'yardi_data (2)'!$F:$F)</f>
        <v>0</v>
      </c>
      <c r="G48" s="791">
        <f>SUMIF('yardi_data (2)'!$A:$A,$A48,'yardi_data (2)'!$G:$G)</f>
        <v>0</v>
      </c>
      <c r="H48" s="792"/>
    </row>
    <row r="49" spans="1:8">
      <c r="A49" s="182" t="s">
        <v>95</v>
      </c>
      <c r="B49" s="182" t="s">
        <v>96</v>
      </c>
      <c r="C49" s="791">
        <f>SUMIF('yardi_data (2)'!$A:$A,$A49,'yardi_data (2)'!C:C)</f>
        <v>0</v>
      </c>
      <c r="D49" s="791">
        <f>SUMIF('yardi_data (2)'!$A:$A,$A49,'yardi_data (2)'!$D:$D)</f>
        <v>0</v>
      </c>
      <c r="E49" s="791">
        <f>SUMIF('yardi_data (2)'!$A:$A,$A49,'yardi_data (2)'!$E:$E)</f>
        <v>0</v>
      </c>
      <c r="F49" s="791">
        <f>SUMIF('yardi_data (2)'!$A:$A,$A49,'yardi_data (2)'!$F:$F)</f>
        <v>0</v>
      </c>
      <c r="G49" s="791">
        <f>SUMIF('yardi_data (2)'!$A:$A,$A49,'yardi_data (2)'!$G:$G)</f>
        <v>0</v>
      </c>
      <c r="H49" s="792"/>
    </row>
    <row r="50" spans="1:8">
      <c r="A50" s="181" t="s">
        <v>97</v>
      </c>
      <c r="B50" s="181" t="s">
        <v>98</v>
      </c>
      <c r="C50" s="791">
        <f>SUMIF('yardi_data (2)'!$A:$A,$A50,'yardi_data (2)'!C:C)</f>
        <v>0</v>
      </c>
      <c r="D50" s="791">
        <f>SUMIF('yardi_data (2)'!$A:$A,$A50,'yardi_data (2)'!$D:$D)</f>
        <v>0</v>
      </c>
      <c r="E50" s="791">
        <f>SUMIF('yardi_data (2)'!$A:$A,$A50,'yardi_data (2)'!$E:$E)</f>
        <v>0</v>
      </c>
      <c r="F50" s="791">
        <f>SUMIF('yardi_data (2)'!$A:$A,$A50,'yardi_data (2)'!$F:$F)</f>
        <v>0</v>
      </c>
      <c r="G50" s="791">
        <f>SUMIF('yardi_data (2)'!$A:$A,$A50,'yardi_data (2)'!$G:$G)</f>
        <v>0</v>
      </c>
      <c r="H50" s="792"/>
    </row>
    <row r="51" spans="1:8">
      <c r="A51" s="182" t="s">
        <v>99</v>
      </c>
      <c r="B51" s="182" t="s">
        <v>100</v>
      </c>
      <c r="C51" s="791">
        <f>SUMIF('yardi_data (2)'!$A:$A,$A51,'yardi_data (2)'!C:C)</f>
        <v>0</v>
      </c>
      <c r="D51" s="791">
        <f>SUMIF('yardi_data (2)'!$A:$A,$A51,'yardi_data (2)'!$D:$D)</f>
        <v>0</v>
      </c>
      <c r="E51" s="791">
        <f>SUMIF('yardi_data (2)'!$A:$A,$A51,'yardi_data (2)'!$E:$E)</f>
        <v>0</v>
      </c>
      <c r="F51" s="791">
        <f>SUMIF('yardi_data (2)'!$A:$A,$A51,'yardi_data (2)'!$F:$F)</f>
        <v>0</v>
      </c>
      <c r="G51" s="791">
        <f>SUMIF('yardi_data (2)'!$A:$A,$A51,'yardi_data (2)'!$G:$G)</f>
        <v>0</v>
      </c>
      <c r="H51" s="792"/>
    </row>
    <row r="52" spans="1:8">
      <c r="A52" s="181" t="s">
        <v>101</v>
      </c>
      <c r="B52" s="181" t="s">
        <v>102</v>
      </c>
      <c r="C52" s="791">
        <f>SUMIF('yardi_data (2)'!$A:$A,$A52,'yardi_data (2)'!C:C)</f>
        <v>0</v>
      </c>
      <c r="D52" s="791">
        <f>SUMIF('yardi_data (2)'!$A:$A,$A52,'yardi_data (2)'!$D:$D)</f>
        <v>0</v>
      </c>
      <c r="E52" s="791">
        <f>SUMIF('yardi_data (2)'!$A:$A,$A52,'yardi_data (2)'!$E:$E)</f>
        <v>0</v>
      </c>
      <c r="F52" s="791">
        <f>SUMIF('yardi_data (2)'!$A:$A,$A52,'yardi_data (2)'!$F:$F)</f>
        <v>0</v>
      </c>
      <c r="G52" s="791">
        <f>SUMIF('yardi_data (2)'!$A:$A,$A52,'yardi_data (2)'!$G:$G)</f>
        <v>0</v>
      </c>
      <c r="H52" s="792"/>
    </row>
    <row r="53" spans="1:8">
      <c r="A53" s="182" t="s">
        <v>103</v>
      </c>
      <c r="B53" s="182" t="s">
        <v>104</v>
      </c>
      <c r="C53" s="791">
        <f>SUMIF('yardi_data (2)'!$A:$A,$A53,'yardi_data (2)'!C:C)</f>
        <v>0</v>
      </c>
      <c r="D53" s="791">
        <f>SUMIF('yardi_data (2)'!$A:$A,$A53,'yardi_data (2)'!$D:$D)</f>
        <v>0</v>
      </c>
      <c r="E53" s="791">
        <f>SUMIF('yardi_data (2)'!$A:$A,$A53,'yardi_data (2)'!$E:$E)</f>
        <v>0</v>
      </c>
      <c r="F53" s="791">
        <f>SUMIF('yardi_data (2)'!$A:$A,$A53,'yardi_data (2)'!$F:$F)</f>
        <v>0</v>
      </c>
      <c r="G53" s="791">
        <f>SUMIF('yardi_data (2)'!$A:$A,$A53,'yardi_data (2)'!$G:$G)</f>
        <v>0</v>
      </c>
      <c r="H53" s="792"/>
    </row>
    <row r="54" spans="1:8">
      <c r="A54" s="181" t="s">
        <v>105</v>
      </c>
      <c r="B54" s="181" t="s">
        <v>106</v>
      </c>
      <c r="C54" s="791">
        <f>SUMIF('yardi_data (2)'!$A:$A,$A54,'yardi_data (2)'!C:C)</f>
        <v>0</v>
      </c>
      <c r="D54" s="791">
        <f>SUMIF('yardi_data (2)'!$A:$A,$A54,'yardi_data (2)'!$D:$D)</f>
        <v>0</v>
      </c>
      <c r="E54" s="791">
        <f>SUMIF('yardi_data (2)'!$A:$A,$A54,'yardi_data (2)'!$E:$E)</f>
        <v>0</v>
      </c>
      <c r="F54" s="791">
        <f>SUMIF('yardi_data (2)'!$A:$A,$A54,'yardi_data (2)'!$F:$F)</f>
        <v>0</v>
      </c>
      <c r="G54" s="791">
        <f>SUMIF('yardi_data (2)'!$A:$A,$A54,'yardi_data (2)'!$G:$G)</f>
        <v>0</v>
      </c>
      <c r="H54" s="792"/>
    </row>
    <row r="55" spans="1:8">
      <c r="A55" s="182" t="s">
        <v>107</v>
      </c>
      <c r="B55" s="182" t="s">
        <v>108</v>
      </c>
      <c r="C55" s="791">
        <f>SUMIF('yardi_data (2)'!$A:$A,$A55,'yardi_data (2)'!C:C)</f>
        <v>0</v>
      </c>
      <c r="D55" s="791">
        <f>SUMIF('yardi_data (2)'!$A:$A,$A55,'yardi_data (2)'!$D:$D)</f>
        <v>0</v>
      </c>
      <c r="E55" s="791">
        <f>SUMIF('yardi_data (2)'!$A:$A,$A55,'yardi_data (2)'!$E:$E)</f>
        <v>0</v>
      </c>
      <c r="F55" s="791">
        <f>SUMIF('yardi_data (2)'!$A:$A,$A55,'yardi_data (2)'!$F:$F)</f>
        <v>0</v>
      </c>
      <c r="G55" s="791">
        <f>SUMIF('yardi_data (2)'!$A:$A,$A55,'yardi_data (2)'!$G:$G)</f>
        <v>0</v>
      </c>
      <c r="H55" s="792"/>
    </row>
    <row r="56" spans="1:8">
      <c r="A56" s="181" t="s">
        <v>109</v>
      </c>
      <c r="B56" s="181" t="s">
        <v>110</v>
      </c>
      <c r="C56" s="791">
        <f>SUMIF('yardi_data (2)'!$A:$A,$A56,'yardi_data (2)'!C:C)</f>
        <v>0</v>
      </c>
      <c r="D56" s="791">
        <f>SUMIF('yardi_data (2)'!$A:$A,$A56,'yardi_data (2)'!$D:$D)</f>
        <v>0</v>
      </c>
      <c r="E56" s="791">
        <f>SUMIF('yardi_data (2)'!$A:$A,$A56,'yardi_data (2)'!$E:$E)</f>
        <v>0</v>
      </c>
      <c r="F56" s="791">
        <f>SUMIF('yardi_data (2)'!$A:$A,$A56,'yardi_data (2)'!$F:$F)</f>
        <v>0</v>
      </c>
      <c r="G56" s="791">
        <f>SUMIF('yardi_data (2)'!$A:$A,$A56,'yardi_data (2)'!$G:$G)</f>
        <v>0</v>
      </c>
      <c r="H56" s="792"/>
    </row>
    <row r="57" spans="1:8">
      <c r="A57" s="182" t="s">
        <v>111</v>
      </c>
      <c r="B57" s="182" t="s">
        <v>112</v>
      </c>
      <c r="C57" s="791">
        <f>SUMIF('yardi_data (2)'!$A:$A,$A57,'yardi_data (2)'!C:C)</f>
        <v>0</v>
      </c>
      <c r="D57" s="791">
        <f>SUMIF('yardi_data (2)'!$A:$A,$A57,'yardi_data (2)'!$D:$D)</f>
        <v>0</v>
      </c>
      <c r="E57" s="791">
        <f>SUMIF('yardi_data (2)'!$A:$A,$A57,'yardi_data (2)'!$E:$E)</f>
        <v>0</v>
      </c>
      <c r="F57" s="791">
        <f>SUMIF('yardi_data (2)'!$A:$A,$A57,'yardi_data (2)'!$F:$F)</f>
        <v>0</v>
      </c>
      <c r="G57" s="791">
        <f>SUMIF('yardi_data (2)'!$A:$A,$A57,'yardi_data (2)'!$G:$G)</f>
        <v>0</v>
      </c>
      <c r="H57" s="792"/>
    </row>
    <row r="58" spans="1:8">
      <c r="A58" s="181" t="s">
        <v>113</v>
      </c>
      <c r="B58" s="181" t="s">
        <v>114</v>
      </c>
      <c r="C58" s="791">
        <f>SUMIF('yardi_data (2)'!$A:$A,$A58,'yardi_data (2)'!C:C)</f>
        <v>0</v>
      </c>
      <c r="D58" s="791">
        <f>SUMIF('yardi_data (2)'!$A:$A,$A58,'yardi_data (2)'!$D:$D)</f>
        <v>0</v>
      </c>
      <c r="E58" s="791">
        <f>SUMIF('yardi_data (2)'!$A:$A,$A58,'yardi_data (2)'!$E:$E)</f>
        <v>0</v>
      </c>
      <c r="F58" s="791">
        <f>SUMIF('yardi_data (2)'!$A:$A,$A58,'yardi_data (2)'!$F:$F)</f>
        <v>0</v>
      </c>
      <c r="G58" s="791">
        <f>SUMIF('yardi_data (2)'!$A:$A,$A58,'yardi_data (2)'!$G:$G)</f>
        <v>0</v>
      </c>
      <c r="H58" s="792"/>
    </row>
    <row r="59" spans="1:8">
      <c r="A59" s="182" t="s">
        <v>115</v>
      </c>
      <c r="B59" s="182" t="s">
        <v>116</v>
      </c>
      <c r="C59" s="791">
        <f>SUMIF('yardi_data (2)'!$A:$A,$A59,'yardi_data (2)'!C:C)</f>
        <v>0</v>
      </c>
      <c r="D59" s="791">
        <f>SUMIF('yardi_data (2)'!$A:$A,$A59,'yardi_data (2)'!$D:$D)</f>
        <v>0</v>
      </c>
      <c r="E59" s="791">
        <f>SUMIF('yardi_data (2)'!$A:$A,$A59,'yardi_data (2)'!$E:$E)</f>
        <v>0</v>
      </c>
      <c r="F59" s="791">
        <f>SUMIF('yardi_data (2)'!$A:$A,$A59,'yardi_data (2)'!$F:$F)</f>
        <v>0</v>
      </c>
      <c r="G59" s="791">
        <f>SUMIF('yardi_data (2)'!$A:$A,$A59,'yardi_data (2)'!$G:$G)</f>
        <v>0</v>
      </c>
      <c r="H59" s="792"/>
    </row>
    <row r="60" spans="1:8">
      <c r="A60" s="181" t="s">
        <v>117</v>
      </c>
      <c r="B60" s="181" t="s">
        <v>118</v>
      </c>
      <c r="C60" s="791">
        <f>SUMIF('yardi_data (2)'!$A:$A,$A60,'yardi_data (2)'!C:C)</f>
        <v>0</v>
      </c>
      <c r="D60" s="791">
        <f>SUMIF('yardi_data (2)'!$A:$A,$A60,'yardi_data (2)'!$D:$D)</f>
        <v>0</v>
      </c>
      <c r="E60" s="791">
        <f>SUMIF('yardi_data (2)'!$A:$A,$A60,'yardi_data (2)'!$E:$E)</f>
        <v>0</v>
      </c>
      <c r="F60" s="791">
        <f>SUMIF('yardi_data (2)'!$A:$A,$A60,'yardi_data (2)'!$F:$F)</f>
        <v>0</v>
      </c>
      <c r="G60" s="791">
        <f>SUMIF('yardi_data (2)'!$A:$A,$A60,'yardi_data (2)'!$G:$G)</f>
        <v>0</v>
      </c>
      <c r="H60" s="792"/>
    </row>
    <row r="61" spans="1:8">
      <c r="A61" s="182" t="s">
        <v>119</v>
      </c>
      <c r="B61" s="182" t="s">
        <v>120</v>
      </c>
      <c r="C61" s="791">
        <f>SUMIF('yardi_data (2)'!$A:$A,$A61,'yardi_data (2)'!C:C)</f>
        <v>0</v>
      </c>
      <c r="D61" s="791">
        <f>SUMIF('yardi_data (2)'!$A:$A,$A61,'yardi_data (2)'!$D:$D)</f>
        <v>0</v>
      </c>
      <c r="E61" s="791">
        <f>SUMIF('yardi_data (2)'!$A:$A,$A61,'yardi_data (2)'!$E:$E)</f>
        <v>0</v>
      </c>
      <c r="F61" s="791">
        <f>SUMIF('yardi_data (2)'!$A:$A,$A61,'yardi_data (2)'!$F:$F)</f>
        <v>0</v>
      </c>
      <c r="G61" s="791">
        <f>SUMIF('yardi_data (2)'!$A:$A,$A61,'yardi_data (2)'!$G:$G)</f>
        <v>0</v>
      </c>
      <c r="H61" s="792"/>
    </row>
    <row r="62" spans="1:8">
      <c r="A62" s="181" t="s">
        <v>121</v>
      </c>
      <c r="B62" s="181" t="s">
        <v>122</v>
      </c>
      <c r="C62" s="791">
        <f>SUMIF('yardi_data (2)'!$A:$A,$A62,'yardi_data (2)'!C:C)</f>
        <v>0</v>
      </c>
      <c r="D62" s="791">
        <f>SUMIF('yardi_data (2)'!$A:$A,$A62,'yardi_data (2)'!$D:$D)</f>
        <v>0</v>
      </c>
      <c r="E62" s="791">
        <f>SUMIF('yardi_data (2)'!$A:$A,$A62,'yardi_data (2)'!$E:$E)</f>
        <v>0</v>
      </c>
      <c r="F62" s="791">
        <f>SUMIF('yardi_data (2)'!$A:$A,$A62,'yardi_data (2)'!$F:$F)</f>
        <v>0</v>
      </c>
      <c r="G62" s="791">
        <f>SUMIF('yardi_data (2)'!$A:$A,$A62,'yardi_data (2)'!$G:$G)</f>
        <v>0</v>
      </c>
      <c r="H62" s="792"/>
    </row>
    <row r="63" spans="1:8">
      <c r="A63" s="182" t="s">
        <v>123</v>
      </c>
      <c r="B63" s="182" t="s">
        <v>124</v>
      </c>
      <c r="C63" s="791">
        <f>SUMIF('yardi_data (2)'!$A:$A,$A63,'yardi_data (2)'!C:C)</f>
        <v>0</v>
      </c>
      <c r="D63" s="791">
        <f>SUMIF('yardi_data (2)'!$A:$A,$A63,'yardi_data (2)'!$D:$D)</f>
        <v>0</v>
      </c>
      <c r="E63" s="791">
        <f>SUMIF('yardi_data (2)'!$A:$A,$A63,'yardi_data (2)'!$E:$E)</f>
        <v>0</v>
      </c>
      <c r="F63" s="791">
        <f>SUMIF('yardi_data (2)'!$A:$A,$A63,'yardi_data (2)'!$F:$F)</f>
        <v>0</v>
      </c>
      <c r="G63" s="791">
        <f>SUMIF('yardi_data (2)'!$A:$A,$A63,'yardi_data (2)'!$G:$G)</f>
        <v>0</v>
      </c>
      <c r="H63" s="792"/>
    </row>
    <row r="64" spans="1:8">
      <c r="A64" s="181" t="s">
        <v>125</v>
      </c>
      <c r="B64" s="181" t="s">
        <v>126</v>
      </c>
      <c r="C64" s="791">
        <f>SUMIF('yardi_data (2)'!$A:$A,$A64,'yardi_data (2)'!C:C)</f>
        <v>0</v>
      </c>
      <c r="D64" s="791">
        <f>SUMIF('yardi_data (2)'!$A:$A,$A64,'yardi_data (2)'!$D:$D)</f>
        <v>0</v>
      </c>
      <c r="E64" s="791">
        <f>SUMIF('yardi_data (2)'!$A:$A,$A64,'yardi_data (2)'!$E:$E)</f>
        <v>0</v>
      </c>
      <c r="F64" s="791">
        <f>SUMIF('yardi_data (2)'!$A:$A,$A64,'yardi_data (2)'!$F:$F)</f>
        <v>0</v>
      </c>
      <c r="G64" s="791">
        <f>SUMIF('yardi_data (2)'!$A:$A,$A64,'yardi_data (2)'!$G:$G)</f>
        <v>0</v>
      </c>
      <c r="H64" s="792"/>
    </row>
    <row r="65" spans="1:8">
      <c r="A65" s="182" t="s">
        <v>127</v>
      </c>
      <c r="B65" s="182" t="s">
        <v>128</v>
      </c>
      <c r="C65" s="791">
        <f>SUMIF('yardi_data (2)'!$A:$A,$A65,'yardi_data (2)'!C:C)</f>
        <v>0</v>
      </c>
      <c r="D65" s="791">
        <f>SUMIF('yardi_data (2)'!$A:$A,$A65,'yardi_data (2)'!$D:$D)</f>
        <v>0</v>
      </c>
      <c r="E65" s="791">
        <f>SUMIF('yardi_data (2)'!$A:$A,$A65,'yardi_data (2)'!$E:$E)</f>
        <v>0</v>
      </c>
      <c r="F65" s="791">
        <f>SUMIF('yardi_data (2)'!$A:$A,$A65,'yardi_data (2)'!$F:$F)</f>
        <v>0</v>
      </c>
      <c r="G65" s="791">
        <f>SUMIF('yardi_data (2)'!$A:$A,$A65,'yardi_data (2)'!$G:$G)</f>
        <v>0</v>
      </c>
      <c r="H65" s="792"/>
    </row>
    <row r="66" spans="1:8">
      <c r="A66" s="181" t="s">
        <v>129</v>
      </c>
      <c r="B66" s="181" t="s">
        <v>130</v>
      </c>
      <c r="C66" s="791">
        <f>SUMIF('yardi_data (2)'!$A:$A,$A66,'yardi_data (2)'!C:C)</f>
        <v>0</v>
      </c>
      <c r="D66" s="791">
        <f>SUMIF('yardi_data (2)'!$A:$A,$A66,'yardi_data (2)'!$D:$D)</f>
        <v>0</v>
      </c>
      <c r="E66" s="791">
        <f>SUMIF('yardi_data (2)'!$A:$A,$A66,'yardi_data (2)'!$E:$E)</f>
        <v>0</v>
      </c>
      <c r="F66" s="791">
        <f>SUMIF('yardi_data (2)'!$A:$A,$A66,'yardi_data (2)'!$F:$F)</f>
        <v>0</v>
      </c>
      <c r="G66" s="791">
        <f>SUMIF('yardi_data (2)'!$A:$A,$A66,'yardi_data (2)'!$G:$G)</f>
        <v>0</v>
      </c>
      <c r="H66" s="792"/>
    </row>
    <row r="67" spans="1:8">
      <c r="A67" s="182" t="s">
        <v>131</v>
      </c>
      <c r="B67" s="182" t="s">
        <v>132</v>
      </c>
      <c r="C67" s="791">
        <f>SUMIF('yardi_data (2)'!$A:$A,$A67,'yardi_data (2)'!C:C)</f>
        <v>0</v>
      </c>
      <c r="D67" s="791">
        <f>SUMIF('yardi_data (2)'!$A:$A,$A67,'yardi_data (2)'!$D:$D)</f>
        <v>0</v>
      </c>
      <c r="E67" s="791">
        <f>SUMIF('yardi_data (2)'!$A:$A,$A67,'yardi_data (2)'!$E:$E)</f>
        <v>0</v>
      </c>
      <c r="F67" s="791">
        <f>SUMIF('yardi_data (2)'!$A:$A,$A67,'yardi_data (2)'!$F:$F)</f>
        <v>0</v>
      </c>
      <c r="G67" s="791">
        <f>SUMIF('yardi_data (2)'!$A:$A,$A67,'yardi_data (2)'!$G:$G)</f>
        <v>0</v>
      </c>
      <c r="H67" s="792"/>
    </row>
    <row r="68" spans="1:8">
      <c r="A68" s="181" t="s">
        <v>133</v>
      </c>
      <c r="B68" s="181" t="s">
        <v>134</v>
      </c>
      <c r="C68" s="791">
        <f>SUMIF('yardi_data (2)'!$A:$A,$A68,'yardi_data (2)'!C:C)</f>
        <v>0</v>
      </c>
      <c r="D68" s="791">
        <f>SUMIF('yardi_data (2)'!$A:$A,$A68,'yardi_data (2)'!$D:$D)</f>
        <v>0</v>
      </c>
      <c r="E68" s="791">
        <f>SUMIF('yardi_data (2)'!$A:$A,$A68,'yardi_data (2)'!$E:$E)</f>
        <v>0</v>
      </c>
      <c r="F68" s="791">
        <f>SUMIF('yardi_data (2)'!$A:$A,$A68,'yardi_data (2)'!$F:$F)</f>
        <v>0</v>
      </c>
      <c r="G68" s="791">
        <f>SUMIF('yardi_data (2)'!$A:$A,$A68,'yardi_data (2)'!$G:$G)</f>
        <v>0</v>
      </c>
      <c r="H68" s="792"/>
    </row>
    <row r="69" spans="1:8">
      <c r="A69" s="182" t="s">
        <v>135</v>
      </c>
      <c r="B69" s="182" t="s">
        <v>136</v>
      </c>
      <c r="C69" s="791">
        <f>SUMIF('yardi_data (2)'!$A:$A,$A69,'yardi_data (2)'!C:C)</f>
        <v>0</v>
      </c>
      <c r="D69" s="791">
        <f>SUMIF('yardi_data (2)'!$A:$A,$A69,'yardi_data (2)'!$D:$D)</f>
        <v>0</v>
      </c>
      <c r="E69" s="791">
        <f>SUMIF('yardi_data (2)'!$A:$A,$A69,'yardi_data (2)'!$E:$E)</f>
        <v>0</v>
      </c>
      <c r="F69" s="791">
        <f>SUMIF('yardi_data (2)'!$A:$A,$A69,'yardi_data (2)'!$F:$F)</f>
        <v>0</v>
      </c>
      <c r="G69" s="791">
        <f>SUMIF('yardi_data (2)'!$A:$A,$A69,'yardi_data (2)'!$G:$G)</f>
        <v>0</v>
      </c>
      <c r="H69" s="792"/>
    </row>
    <row r="70" spans="1:8">
      <c r="A70" s="181" t="s">
        <v>137</v>
      </c>
      <c r="B70" s="181" t="s">
        <v>138</v>
      </c>
      <c r="C70" s="791">
        <f>SUMIF('yardi_data (2)'!$A:$A,$A70,'yardi_data (2)'!C:C)</f>
        <v>0</v>
      </c>
      <c r="D70" s="791">
        <f>SUMIF('yardi_data (2)'!$A:$A,$A70,'yardi_data (2)'!$D:$D)</f>
        <v>0</v>
      </c>
      <c r="E70" s="791">
        <f>SUMIF('yardi_data (2)'!$A:$A,$A70,'yardi_data (2)'!$E:$E)</f>
        <v>0</v>
      </c>
      <c r="F70" s="791">
        <f>SUMIF('yardi_data (2)'!$A:$A,$A70,'yardi_data (2)'!$F:$F)</f>
        <v>0</v>
      </c>
      <c r="G70" s="791">
        <f>SUMIF('yardi_data (2)'!$A:$A,$A70,'yardi_data (2)'!$G:$G)</f>
        <v>0</v>
      </c>
      <c r="H70" s="792"/>
    </row>
    <row r="71" spans="1:8">
      <c r="A71" s="182" t="s">
        <v>139</v>
      </c>
      <c r="B71" s="182" t="s">
        <v>140</v>
      </c>
      <c r="C71" s="791">
        <f>SUMIF('yardi_data (2)'!$A:$A,$A71,'yardi_data (2)'!C:C)</f>
        <v>0</v>
      </c>
      <c r="D71" s="791">
        <f>SUMIF('yardi_data (2)'!$A:$A,$A71,'yardi_data (2)'!$D:$D)</f>
        <v>0</v>
      </c>
      <c r="E71" s="791">
        <f>SUMIF('yardi_data (2)'!$A:$A,$A71,'yardi_data (2)'!$E:$E)</f>
        <v>0</v>
      </c>
      <c r="F71" s="791">
        <f>SUMIF('yardi_data (2)'!$A:$A,$A71,'yardi_data (2)'!$F:$F)</f>
        <v>0</v>
      </c>
      <c r="G71" s="791">
        <f>SUMIF('yardi_data (2)'!$A:$A,$A71,'yardi_data (2)'!$G:$G)</f>
        <v>0</v>
      </c>
      <c r="H71" s="792"/>
    </row>
    <row r="72" spans="1:8">
      <c r="A72" s="181" t="s">
        <v>141</v>
      </c>
      <c r="B72" s="181" t="s">
        <v>142</v>
      </c>
      <c r="C72" s="791">
        <f>SUMIF('yardi_data (2)'!$A:$A,$A72,'yardi_data (2)'!C:C)</f>
        <v>0</v>
      </c>
      <c r="D72" s="791">
        <f>SUMIF('yardi_data (2)'!$A:$A,$A72,'yardi_data (2)'!$D:$D)</f>
        <v>0</v>
      </c>
      <c r="E72" s="791">
        <f>SUMIF('yardi_data (2)'!$A:$A,$A72,'yardi_data (2)'!$E:$E)</f>
        <v>0</v>
      </c>
      <c r="F72" s="791">
        <f>SUMIF('yardi_data (2)'!$A:$A,$A72,'yardi_data (2)'!$F:$F)</f>
        <v>0</v>
      </c>
      <c r="G72" s="791">
        <f>SUMIF('yardi_data (2)'!$A:$A,$A72,'yardi_data (2)'!$G:$G)</f>
        <v>0</v>
      </c>
      <c r="H72" s="792"/>
    </row>
    <row r="73" spans="1:8">
      <c r="A73" s="182" t="s">
        <v>143</v>
      </c>
      <c r="B73" s="182" t="s">
        <v>144</v>
      </c>
      <c r="C73" s="791">
        <f>SUMIF('yardi_data (2)'!$A:$A,$A73,'yardi_data (2)'!C:C)</f>
        <v>0</v>
      </c>
      <c r="D73" s="791">
        <f>SUMIF('yardi_data (2)'!$A:$A,$A73,'yardi_data (2)'!$D:$D)</f>
        <v>0</v>
      </c>
      <c r="E73" s="791">
        <f>SUMIF('yardi_data (2)'!$A:$A,$A73,'yardi_data (2)'!$E:$E)</f>
        <v>0</v>
      </c>
      <c r="F73" s="791">
        <f>SUMIF('yardi_data (2)'!$A:$A,$A73,'yardi_data (2)'!$F:$F)</f>
        <v>0</v>
      </c>
      <c r="G73" s="791">
        <f>SUMIF('yardi_data (2)'!$A:$A,$A73,'yardi_data (2)'!$G:$G)</f>
        <v>0</v>
      </c>
      <c r="H73" s="792"/>
    </row>
    <row r="74" spans="1:8">
      <c r="A74" s="181" t="s">
        <v>145</v>
      </c>
      <c r="B74" s="181" t="s">
        <v>146</v>
      </c>
      <c r="C74" s="791">
        <f>SUMIF('yardi_data (2)'!$A:$A,$A74,'yardi_data (2)'!C:C)</f>
        <v>0</v>
      </c>
      <c r="D74" s="791">
        <f>SUMIF('yardi_data (2)'!$A:$A,$A74,'yardi_data (2)'!$D:$D)</f>
        <v>0</v>
      </c>
      <c r="E74" s="791">
        <f>SUMIF('yardi_data (2)'!$A:$A,$A74,'yardi_data (2)'!$E:$E)</f>
        <v>0</v>
      </c>
      <c r="F74" s="791">
        <f>SUMIF('yardi_data (2)'!$A:$A,$A74,'yardi_data (2)'!$F:$F)</f>
        <v>0</v>
      </c>
      <c r="G74" s="791">
        <f>SUMIF('yardi_data (2)'!$A:$A,$A74,'yardi_data (2)'!$G:$G)</f>
        <v>0</v>
      </c>
      <c r="H74" s="792"/>
    </row>
    <row r="75" spans="1:8">
      <c r="A75" s="182" t="s">
        <v>147</v>
      </c>
      <c r="B75" s="182" t="s">
        <v>148</v>
      </c>
      <c r="C75" s="791">
        <f>SUMIF('yardi_data (2)'!$A:$A,$A75,'yardi_data (2)'!C:C)</f>
        <v>0</v>
      </c>
      <c r="D75" s="791">
        <f>SUMIF('yardi_data (2)'!$A:$A,$A75,'yardi_data (2)'!$D:$D)</f>
        <v>0</v>
      </c>
      <c r="E75" s="791">
        <f>SUMIF('yardi_data (2)'!$A:$A,$A75,'yardi_data (2)'!$E:$E)</f>
        <v>0</v>
      </c>
      <c r="F75" s="791">
        <f>SUMIF('yardi_data (2)'!$A:$A,$A75,'yardi_data (2)'!$F:$F)</f>
        <v>0</v>
      </c>
      <c r="G75" s="791">
        <f>SUMIF('yardi_data (2)'!$A:$A,$A75,'yardi_data (2)'!$G:$G)</f>
        <v>0</v>
      </c>
      <c r="H75" s="792"/>
    </row>
    <row r="76" spans="1:8">
      <c r="A76" s="181" t="s">
        <v>149</v>
      </c>
      <c r="B76" s="181" t="s">
        <v>150</v>
      </c>
      <c r="C76" s="791">
        <f>SUMIF('yardi_data (2)'!$A:$A,$A76,'yardi_data (2)'!C:C)</f>
        <v>0</v>
      </c>
      <c r="D76" s="791">
        <f>SUMIF('yardi_data (2)'!$A:$A,$A76,'yardi_data (2)'!$D:$D)</f>
        <v>0</v>
      </c>
      <c r="E76" s="791">
        <f>SUMIF('yardi_data (2)'!$A:$A,$A76,'yardi_data (2)'!$E:$E)</f>
        <v>0</v>
      </c>
      <c r="F76" s="791">
        <f>SUMIF('yardi_data (2)'!$A:$A,$A76,'yardi_data (2)'!$F:$F)</f>
        <v>0</v>
      </c>
      <c r="G76" s="791">
        <f>SUMIF('yardi_data (2)'!$A:$A,$A76,'yardi_data (2)'!$G:$G)</f>
        <v>0</v>
      </c>
      <c r="H76" s="792"/>
    </row>
    <row r="77" spans="1:8">
      <c r="A77" s="182" t="s">
        <v>151</v>
      </c>
      <c r="B77" s="182" t="s">
        <v>152</v>
      </c>
      <c r="C77" s="791">
        <f>SUMIF('yardi_data (2)'!$A:$A,$A77,'yardi_data (2)'!C:C)</f>
        <v>0</v>
      </c>
      <c r="D77" s="791">
        <f>SUMIF('yardi_data (2)'!$A:$A,$A77,'yardi_data (2)'!$D:$D)</f>
        <v>0</v>
      </c>
      <c r="E77" s="791">
        <f>SUMIF('yardi_data (2)'!$A:$A,$A77,'yardi_data (2)'!$E:$E)</f>
        <v>0</v>
      </c>
      <c r="F77" s="791">
        <f>SUMIF('yardi_data (2)'!$A:$A,$A77,'yardi_data (2)'!$F:$F)</f>
        <v>0</v>
      </c>
      <c r="G77" s="791">
        <f>SUMIF('yardi_data (2)'!$A:$A,$A77,'yardi_data (2)'!$G:$G)</f>
        <v>0</v>
      </c>
      <c r="H77" s="792"/>
    </row>
    <row r="78" spans="1:8">
      <c r="A78" s="181" t="s">
        <v>153</v>
      </c>
      <c r="B78" s="181" t="s">
        <v>154</v>
      </c>
      <c r="C78" s="791">
        <f>SUMIF('yardi_data (2)'!$A:$A,$A78,'yardi_data (2)'!C:C)</f>
        <v>0</v>
      </c>
      <c r="D78" s="791">
        <f>SUMIF('yardi_data (2)'!$A:$A,$A78,'yardi_data (2)'!$D:$D)</f>
        <v>0</v>
      </c>
      <c r="E78" s="791">
        <f>SUMIF('yardi_data (2)'!$A:$A,$A78,'yardi_data (2)'!$E:$E)</f>
        <v>0</v>
      </c>
      <c r="F78" s="791">
        <f>SUMIF('yardi_data (2)'!$A:$A,$A78,'yardi_data (2)'!$F:$F)</f>
        <v>0</v>
      </c>
      <c r="G78" s="791">
        <f>SUMIF('yardi_data (2)'!$A:$A,$A78,'yardi_data (2)'!$G:$G)</f>
        <v>0</v>
      </c>
      <c r="H78" s="792"/>
    </row>
    <row r="79" spans="1:8">
      <c r="A79" s="182" t="s">
        <v>155</v>
      </c>
      <c r="B79" s="182" t="s">
        <v>156</v>
      </c>
      <c r="C79" s="791">
        <f>SUMIF('yardi_data (2)'!$A:$A,$A79,'yardi_data (2)'!C:C)</f>
        <v>0</v>
      </c>
      <c r="D79" s="791">
        <f>SUMIF('yardi_data (2)'!$A:$A,$A79,'yardi_data (2)'!$D:$D)</f>
        <v>0</v>
      </c>
      <c r="E79" s="791">
        <f>SUMIF('yardi_data (2)'!$A:$A,$A79,'yardi_data (2)'!$E:$E)</f>
        <v>0</v>
      </c>
      <c r="F79" s="791">
        <f>SUMIF('yardi_data (2)'!$A:$A,$A79,'yardi_data (2)'!$F:$F)</f>
        <v>0</v>
      </c>
      <c r="G79" s="791">
        <f>SUMIF('yardi_data (2)'!$A:$A,$A79,'yardi_data (2)'!$G:$G)</f>
        <v>0</v>
      </c>
      <c r="H79" s="792"/>
    </row>
    <row r="80" spans="1:8">
      <c r="A80" s="181" t="s">
        <v>157</v>
      </c>
      <c r="B80" s="181" t="s">
        <v>158</v>
      </c>
      <c r="C80" s="791">
        <f>SUMIF('yardi_data (2)'!$A:$A,$A80,'yardi_data (2)'!C:C)</f>
        <v>0</v>
      </c>
      <c r="D80" s="791">
        <f>SUMIF('yardi_data (2)'!$A:$A,$A80,'yardi_data (2)'!$D:$D)</f>
        <v>0</v>
      </c>
      <c r="E80" s="791">
        <f>SUMIF('yardi_data (2)'!$A:$A,$A80,'yardi_data (2)'!$E:$E)</f>
        <v>0</v>
      </c>
      <c r="F80" s="791">
        <f>SUMIF('yardi_data (2)'!$A:$A,$A80,'yardi_data (2)'!$F:$F)</f>
        <v>0</v>
      </c>
      <c r="G80" s="791">
        <f>SUMIF('yardi_data (2)'!$A:$A,$A80,'yardi_data (2)'!$G:$G)</f>
        <v>0</v>
      </c>
      <c r="H80" s="792"/>
    </row>
    <row r="81" spans="1:8">
      <c r="A81" s="182" t="s">
        <v>159</v>
      </c>
      <c r="B81" s="182" t="s">
        <v>160</v>
      </c>
      <c r="C81" s="791">
        <f>SUMIF('yardi_data (2)'!$A:$A,$A81,'yardi_data (2)'!C:C)</f>
        <v>0</v>
      </c>
      <c r="D81" s="791">
        <f>SUMIF('yardi_data (2)'!$A:$A,$A81,'yardi_data (2)'!$D:$D)</f>
        <v>0</v>
      </c>
      <c r="E81" s="791">
        <f>SUMIF('yardi_data (2)'!$A:$A,$A81,'yardi_data (2)'!$E:$E)</f>
        <v>0</v>
      </c>
      <c r="F81" s="791">
        <f>SUMIF('yardi_data (2)'!$A:$A,$A81,'yardi_data (2)'!$F:$F)</f>
        <v>0</v>
      </c>
      <c r="G81" s="791">
        <f>SUMIF('yardi_data (2)'!$A:$A,$A81,'yardi_data (2)'!$G:$G)</f>
        <v>0</v>
      </c>
      <c r="H81" s="792"/>
    </row>
    <row r="82" spans="1:8">
      <c r="A82" s="181" t="s">
        <v>161</v>
      </c>
      <c r="B82" s="181" t="s">
        <v>162</v>
      </c>
      <c r="C82" s="791">
        <f>SUMIF('yardi_data (2)'!$A:$A,$A82,'yardi_data (2)'!C:C)</f>
        <v>0</v>
      </c>
      <c r="D82" s="791">
        <f>SUMIF('yardi_data (2)'!$A:$A,$A82,'yardi_data (2)'!$D:$D)</f>
        <v>0</v>
      </c>
      <c r="E82" s="791">
        <f>SUMIF('yardi_data (2)'!$A:$A,$A82,'yardi_data (2)'!$E:$E)</f>
        <v>0</v>
      </c>
      <c r="F82" s="791">
        <f>SUMIF('yardi_data (2)'!$A:$A,$A82,'yardi_data (2)'!$F:$F)</f>
        <v>0</v>
      </c>
      <c r="G82" s="791">
        <f>SUMIF('yardi_data (2)'!$A:$A,$A82,'yardi_data (2)'!$G:$G)</f>
        <v>0</v>
      </c>
      <c r="H82" s="792"/>
    </row>
    <row r="83" spans="1:8">
      <c r="A83" s="182" t="s">
        <v>163</v>
      </c>
      <c r="B83" s="182" t="s">
        <v>164</v>
      </c>
      <c r="C83" s="791">
        <f>SUMIF('yardi_data (2)'!$A:$A,$A83,'yardi_data (2)'!C:C)</f>
        <v>0</v>
      </c>
      <c r="D83" s="791">
        <f>SUMIF('yardi_data (2)'!$A:$A,$A83,'yardi_data (2)'!$D:$D)</f>
        <v>0</v>
      </c>
      <c r="E83" s="791">
        <f>SUMIF('yardi_data (2)'!$A:$A,$A83,'yardi_data (2)'!$E:$E)</f>
        <v>0</v>
      </c>
      <c r="F83" s="791">
        <f>SUMIF('yardi_data (2)'!$A:$A,$A83,'yardi_data (2)'!$F:$F)</f>
        <v>0</v>
      </c>
      <c r="G83" s="791">
        <f>SUMIF('yardi_data (2)'!$A:$A,$A83,'yardi_data (2)'!$G:$G)</f>
        <v>0</v>
      </c>
      <c r="H83" s="792"/>
    </row>
    <row r="84" spans="1:8">
      <c r="A84" s="181" t="s">
        <v>165</v>
      </c>
      <c r="B84" s="181" t="s">
        <v>166</v>
      </c>
      <c r="C84" s="791">
        <f>SUMIF('yardi_data (2)'!$A:$A,$A84,'yardi_data (2)'!C:C)</f>
        <v>0</v>
      </c>
      <c r="D84" s="791">
        <f>SUMIF('yardi_data (2)'!$A:$A,$A84,'yardi_data (2)'!$D:$D)</f>
        <v>0</v>
      </c>
      <c r="E84" s="791">
        <f>SUMIF('yardi_data (2)'!$A:$A,$A84,'yardi_data (2)'!$E:$E)</f>
        <v>0</v>
      </c>
      <c r="F84" s="791">
        <f>SUMIF('yardi_data (2)'!$A:$A,$A84,'yardi_data (2)'!$F:$F)</f>
        <v>0</v>
      </c>
      <c r="G84" s="791">
        <f>SUMIF('yardi_data (2)'!$A:$A,$A84,'yardi_data (2)'!$G:$G)</f>
        <v>0</v>
      </c>
      <c r="H84" s="792"/>
    </row>
    <row r="85" spans="1:8">
      <c r="A85" s="182" t="s">
        <v>167</v>
      </c>
      <c r="B85" s="182" t="s">
        <v>168</v>
      </c>
      <c r="C85" s="791">
        <f>SUMIF('yardi_data (2)'!$A:$A,$A85,'yardi_data (2)'!C:C)</f>
        <v>0</v>
      </c>
      <c r="D85" s="791">
        <f>SUMIF('yardi_data (2)'!$A:$A,$A85,'yardi_data (2)'!$D:$D)</f>
        <v>0</v>
      </c>
      <c r="E85" s="791">
        <f>SUMIF('yardi_data (2)'!$A:$A,$A85,'yardi_data (2)'!$E:$E)</f>
        <v>0</v>
      </c>
      <c r="F85" s="791">
        <f>SUMIF('yardi_data (2)'!$A:$A,$A85,'yardi_data (2)'!$F:$F)</f>
        <v>0</v>
      </c>
      <c r="G85" s="791">
        <f>SUMIF('yardi_data (2)'!$A:$A,$A85,'yardi_data (2)'!$G:$G)</f>
        <v>0</v>
      </c>
      <c r="H85" s="792"/>
    </row>
    <row r="86" spans="1:8">
      <c r="A86" s="181" t="s">
        <v>169</v>
      </c>
      <c r="B86" s="181" t="s">
        <v>170</v>
      </c>
      <c r="C86" s="791">
        <f>SUMIF('yardi_data (2)'!$A:$A,$A86,'yardi_data (2)'!C:C)</f>
        <v>0</v>
      </c>
      <c r="D86" s="791">
        <f>SUMIF('yardi_data (2)'!$A:$A,$A86,'yardi_data (2)'!$D:$D)</f>
        <v>0</v>
      </c>
      <c r="E86" s="791">
        <f>SUMIF('yardi_data (2)'!$A:$A,$A86,'yardi_data (2)'!$E:$E)</f>
        <v>0</v>
      </c>
      <c r="F86" s="791">
        <f>SUMIF('yardi_data (2)'!$A:$A,$A86,'yardi_data (2)'!$F:$F)</f>
        <v>0</v>
      </c>
      <c r="G86" s="791">
        <f>SUMIF('yardi_data (2)'!$A:$A,$A86,'yardi_data (2)'!$G:$G)</f>
        <v>0</v>
      </c>
      <c r="H86" s="792"/>
    </row>
    <row r="87" spans="1:8">
      <c r="A87" s="182" t="s">
        <v>171</v>
      </c>
      <c r="B87" s="182" t="s">
        <v>172</v>
      </c>
      <c r="C87" s="791">
        <f>SUMIF('yardi_data (2)'!$A:$A,$A87,'yardi_data (2)'!C:C)</f>
        <v>0</v>
      </c>
      <c r="D87" s="791">
        <f>SUMIF('yardi_data (2)'!$A:$A,$A87,'yardi_data (2)'!$D:$D)</f>
        <v>0</v>
      </c>
      <c r="E87" s="791">
        <f>SUMIF('yardi_data (2)'!$A:$A,$A87,'yardi_data (2)'!$E:$E)</f>
        <v>0</v>
      </c>
      <c r="F87" s="791">
        <f>SUMIF('yardi_data (2)'!$A:$A,$A87,'yardi_data (2)'!$F:$F)</f>
        <v>0</v>
      </c>
      <c r="G87" s="791">
        <f>SUMIF('yardi_data (2)'!$A:$A,$A87,'yardi_data (2)'!$G:$G)</f>
        <v>0</v>
      </c>
      <c r="H87" s="792"/>
    </row>
    <row r="88" spans="1:8">
      <c r="A88" s="181" t="s">
        <v>173</v>
      </c>
      <c r="B88" s="181" t="s">
        <v>174</v>
      </c>
      <c r="C88" s="791">
        <f>SUMIF('yardi_data (2)'!$A:$A,$A88,'yardi_data (2)'!C:C)</f>
        <v>0</v>
      </c>
      <c r="D88" s="791">
        <f>SUMIF('yardi_data (2)'!$A:$A,$A88,'yardi_data (2)'!$D:$D)</f>
        <v>0</v>
      </c>
      <c r="E88" s="791">
        <f>SUMIF('yardi_data (2)'!$A:$A,$A88,'yardi_data (2)'!$E:$E)</f>
        <v>0</v>
      </c>
      <c r="F88" s="791">
        <f>SUMIF('yardi_data (2)'!$A:$A,$A88,'yardi_data (2)'!$F:$F)</f>
        <v>0</v>
      </c>
      <c r="G88" s="791">
        <f>SUMIF('yardi_data (2)'!$A:$A,$A88,'yardi_data (2)'!$G:$G)</f>
        <v>0</v>
      </c>
      <c r="H88" s="792"/>
    </row>
    <row r="89" spans="1:8">
      <c r="A89" s="182" t="s">
        <v>175</v>
      </c>
      <c r="B89" s="182" t="s">
        <v>176</v>
      </c>
      <c r="C89" s="791">
        <f>SUMIF('yardi_data (2)'!$A:$A,$A89,'yardi_data (2)'!C:C)</f>
        <v>0</v>
      </c>
      <c r="D89" s="791">
        <f>SUMIF('yardi_data (2)'!$A:$A,$A89,'yardi_data (2)'!$D:$D)</f>
        <v>0</v>
      </c>
      <c r="E89" s="791">
        <f>SUMIF('yardi_data (2)'!$A:$A,$A89,'yardi_data (2)'!$E:$E)</f>
        <v>0</v>
      </c>
      <c r="F89" s="791">
        <f>SUMIF('yardi_data (2)'!$A:$A,$A89,'yardi_data (2)'!$F:$F)</f>
        <v>0</v>
      </c>
      <c r="G89" s="791">
        <f>SUMIF('yardi_data (2)'!$A:$A,$A89,'yardi_data (2)'!$G:$G)</f>
        <v>0</v>
      </c>
      <c r="H89" s="792"/>
    </row>
    <row r="90" spans="1:8">
      <c r="A90" s="181" t="s">
        <v>177</v>
      </c>
      <c r="B90" s="181" t="s">
        <v>178</v>
      </c>
      <c r="C90" s="791">
        <f>SUMIF('yardi_data (2)'!$A:$A,$A90,'yardi_data (2)'!C:C)</f>
        <v>0</v>
      </c>
      <c r="D90" s="791">
        <f>SUMIF('yardi_data (2)'!$A:$A,$A90,'yardi_data (2)'!$D:$D)</f>
        <v>0</v>
      </c>
      <c r="E90" s="791">
        <f>SUMIF('yardi_data (2)'!$A:$A,$A90,'yardi_data (2)'!$E:$E)</f>
        <v>0</v>
      </c>
      <c r="F90" s="791">
        <f>SUMIF('yardi_data (2)'!$A:$A,$A90,'yardi_data (2)'!$F:$F)</f>
        <v>0</v>
      </c>
      <c r="G90" s="791">
        <f>SUMIF('yardi_data (2)'!$A:$A,$A90,'yardi_data (2)'!$G:$G)</f>
        <v>0</v>
      </c>
      <c r="H90" s="792"/>
    </row>
    <row r="91" spans="1:8">
      <c r="A91" s="182" t="s">
        <v>179</v>
      </c>
      <c r="B91" s="182" t="s">
        <v>180</v>
      </c>
      <c r="C91" s="791">
        <f>SUMIF('yardi_data (2)'!$A:$A,$A91,'yardi_data (2)'!C:C)</f>
        <v>0</v>
      </c>
      <c r="D91" s="791">
        <f>SUMIF('yardi_data (2)'!$A:$A,$A91,'yardi_data (2)'!$D:$D)</f>
        <v>0</v>
      </c>
      <c r="E91" s="791">
        <f>SUMIF('yardi_data (2)'!$A:$A,$A91,'yardi_data (2)'!$E:$E)</f>
        <v>0</v>
      </c>
      <c r="F91" s="791">
        <f>SUMIF('yardi_data (2)'!$A:$A,$A91,'yardi_data (2)'!$F:$F)</f>
        <v>0</v>
      </c>
      <c r="G91" s="791">
        <f>SUMIF('yardi_data (2)'!$A:$A,$A91,'yardi_data (2)'!$G:$G)</f>
        <v>0</v>
      </c>
      <c r="H91" s="792"/>
    </row>
    <row r="92" spans="1:8">
      <c r="A92" s="181" t="s">
        <v>181</v>
      </c>
      <c r="B92" s="181" t="s">
        <v>182</v>
      </c>
      <c r="C92" s="791">
        <f>SUMIF('yardi_data (2)'!$A:$A,$A92,'yardi_data (2)'!C:C)</f>
        <v>0</v>
      </c>
      <c r="D92" s="791">
        <f>SUMIF('yardi_data (2)'!$A:$A,$A92,'yardi_data (2)'!$D:$D)</f>
        <v>0</v>
      </c>
      <c r="E92" s="791">
        <f>SUMIF('yardi_data (2)'!$A:$A,$A92,'yardi_data (2)'!$E:$E)</f>
        <v>0</v>
      </c>
      <c r="F92" s="791">
        <f>SUMIF('yardi_data (2)'!$A:$A,$A92,'yardi_data (2)'!$F:$F)</f>
        <v>0</v>
      </c>
      <c r="G92" s="791">
        <f>SUMIF('yardi_data (2)'!$A:$A,$A92,'yardi_data (2)'!$G:$G)</f>
        <v>0</v>
      </c>
      <c r="H92" s="792"/>
    </row>
    <row r="93" spans="1:8">
      <c r="A93" s="182" t="s">
        <v>183</v>
      </c>
      <c r="B93" s="182" t="s">
        <v>184</v>
      </c>
      <c r="C93" s="791">
        <f>SUMIF('yardi_data (2)'!$A:$A,$A93,'yardi_data (2)'!C:C)</f>
        <v>0</v>
      </c>
      <c r="D93" s="791">
        <f>SUMIF('yardi_data (2)'!$A:$A,$A93,'yardi_data (2)'!$D:$D)</f>
        <v>0</v>
      </c>
      <c r="E93" s="791">
        <f>SUMIF('yardi_data (2)'!$A:$A,$A93,'yardi_data (2)'!$E:$E)</f>
        <v>0</v>
      </c>
      <c r="F93" s="791">
        <f>SUMIF('yardi_data (2)'!$A:$A,$A93,'yardi_data (2)'!$F:$F)</f>
        <v>0</v>
      </c>
      <c r="G93" s="791">
        <f>SUMIF('yardi_data (2)'!$A:$A,$A93,'yardi_data (2)'!$G:$G)</f>
        <v>0</v>
      </c>
      <c r="H93" s="792"/>
    </row>
    <row r="94" spans="1:8">
      <c r="A94" s="181" t="s">
        <v>185</v>
      </c>
      <c r="B94" s="181" t="s">
        <v>186</v>
      </c>
      <c r="C94" s="791">
        <f>SUMIF('yardi_data (2)'!$A:$A,$A94,'yardi_data (2)'!C:C)</f>
        <v>0</v>
      </c>
      <c r="D94" s="791">
        <f>SUMIF('yardi_data (2)'!$A:$A,$A94,'yardi_data (2)'!$D:$D)</f>
        <v>0</v>
      </c>
      <c r="E94" s="791">
        <f>SUMIF('yardi_data (2)'!$A:$A,$A94,'yardi_data (2)'!$E:$E)</f>
        <v>0</v>
      </c>
      <c r="F94" s="791">
        <f>SUMIF('yardi_data (2)'!$A:$A,$A94,'yardi_data (2)'!$F:$F)</f>
        <v>0</v>
      </c>
      <c r="G94" s="791">
        <f>SUMIF('yardi_data (2)'!$A:$A,$A94,'yardi_data (2)'!$G:$G)</f>
        <v>0</v>
      </c>
      <c r="H94" s="792"/>
    </row>
    <row r="95" spans="1:8">
      <c r="A95" s="182" t="s">
        <v>187</v>
      </c>
      <c r="B95" s="182" t="s">
        <v>188</v>
      </c>
      <c r="C95" s="791">
        <f>SUMIF('yardi_data (2)'!$A:$A,$A95,'yardi_data (2)'!C:C)</f>
        <v>0</v>
      </c>
      <c r="D95" s="791">
        <f>SUMIF('yardi_data (2)'!$A:$A,$A95,'yardi_data (2)'!$D:$D)</f>
        <v>0</v>
      </c>
      <c r="E95" s="791">
        <f>SUMIF('yardi_data (2)'!$A:$A,$A95,'yardi_data (2)'!$E:$E)</f>
        <v>0</v>
      </c>
      <c r="F95" s="791">
        <f>SUMIF('yardi_data (2)'!$A:$A,$A95,'yardi_data (2)'!$F:$F)</f>
        <v>0</v>
      </c>
      <c r="G95" s="791">
        <f>SUMIF('yardi_data (2)'!$A:$A,$A95,'yardi_data (2)'!$G:$G)</f>
        <v>0</v>
      </c>
      <c r="H95" s="792"/>
    </row>
    <row r="96" spans="1:8">
      <c r="A96" s="181" t="s">
        <v>189</v>
      </c>
      <c r="B96" s="181" t="s">
        <v>190</v>
      </c>
      <c r="C96" s="791">
        <f>SUMIF('yardi_data (2)'!$A:$A,$A96,'yardi_data (2)'!C:C)</f>
        <v>0</v>
      </c>
      <c r="D96" s="791">
        <f>SUMIF('yardi_data (2)'!$A:$A,$A96,'yardi_data (2)'!$D:$D)</f>
        <v>0</v>
      </c>
      <c r="E96" s="791">
        <f>SUMIF('yardi_data (2)'!$A:$A,$A96,'yardi_data (2)'!$E:$E)</f>
        <v>0</v>
      </c>
      <c r="F96" s="791">
        <f>SUMIF('yardi_data (2)'!$A:$A,$A96,'yardi_data (2)'!$F:$F)</f>
        <v>0</v>
      </c>
      <c r="G96" s="791">
        <f>SUMIF('yardi_data (2)'!$A:$A,$A96,'yardi_data (2)'!$G:$G)</f>
        <v>0</v>
      </c>
      <c r="H96" s="792"/>
    </row>
    <row r="97" spans="1:8">
      <c r="A97" s="182" t="s">
        <v>191</v>
      </c>
      <c r="B97" s="182" t="s">
        <v>192</v>
      </c>
      <c r="C97" s="791">
        <f>SUMIF('yardi_data (2)'!$A:$A,$A97,'yardi_data (2)'!C:C)</f>
        <v>0</v>
      </c>
      <c r="D97" s="791">
        <f>SUMIF('yardi_data (2)'!$A:$A,$A97,'yardi_data (2)'!$D:$D)</f>
        <v>0</v>
      </c>
      <c r="E97" s="791">
        <f>SUMIF('yardi_data (2)'!$A:$A,$A97,'yardi_data (2)'!$E:$E)</f>
        <v>0</v>
      </c>
      <c r="F97" s="791">
        <f>SUMIF('yardi_data (2)'!$A:$A,$A97,'yardi_data (2)'!$F:$F)</f>
        <v>0</v>
      </c>
      <c r="G97" s="791">
        <f>SUMIF('yardi_data (2)'!$A:$A,$A97,'yardi_data (2)'!$G:$G)</f>
        <v>0</v>
      </c>
      <c r="H97" s="792"/>
    </row>
    <row r="98" spans="1:8">
      <c r="A98" s="181" t="s">
        <v>193</v>
      </c>
      <c r="B98" s="181" t="s">
        <v>194</v>
      </c>
      <c r="C98" s="791">
        <f>SUMIF('yardi_data (2)'!$A:$A,$A98,'yardi_data (2)'!C:C)</f>
        <v>0</v>
      </c>
      <c r="D98" s="791">
        <f>SUMIF('yardi_data (2)'!$A:$A,$A98,'yardi_data (2)'!$D:$D)</f>
        <v>0</v>
      </c>
      <c r="E98" s="791">
        <f>SUMIF('yardi_data (2)'!$A:$A,$A98,'yardi_data (2)'!$E:$E)</f>
        <v>0</v>
      </c>
      <c r="F98" s="791">
        <f>SUMIF('yardi_data (2)'!$A:$A,$A98,'yardi_data (2)'!$F:$F)</f>
        <v>0</v>
      </c>
      <c r="G98" s="791">
        <f>SUMIF('yardi_data (2)'!$A:$A,$A98,'yardi_data (2)'!$G:$G)</f>
        <v>0</v>
      </c>
      <c r="H98" s="792"/>
    </row>
    <row r="99" spans="1:8">
      <c r="A99" s="182" t="s">
        <v>195</v>
      </c>
      <c r="B99" s="182" t="s">
        <v>196</v>
      </c>
      <c r="C99" s="791">
        <f>SUMIF('yardi_data (2)'!$A:$A,$A99,'yardi_data (2)'!C:C)</f>
        <v>0</v>
      </c>
      <c r="D99" s="791">
        <f>SUMIF('yardi_data (2)'!$A:$A,$A99,'yardi_data (2)'!$D:$D)</f>
        <v>0</v>
      </c>
      <c r="E99" s="791">
        <f>SUMIF('yardi_data (2)'!$A:$A,$A99,'yardi_data (2)'!$E:$E)</f>
        <v>0</v>
      </c>
      <c r="F99" s="791">
        <f>SUMIF('yardi_data (2)'!$A:$A,$A99,'yardi_data (2)'!$F:$F)</f>
        <v>0</v>
      </c>
      <c r="G99" s="791">
        <f>SUMIF('yardi_data (2)'!$A:$A,$A99,'yardi_data (2)'!$G:$G)</f>
        <v>0</v>
      </c>
      <c r="H99" s="792"/>
    </row>
    <row r="100" spans="1:8">
      <c r="A100" s="181" t="s">
        <v>197</v>
      </c>
      <c r="B100" s="181" t="s">
        <v>198</v>
      </c>
      <c r="C100" s="791">
        <f>SUMIF('yardi_data (2)'!$A:$A,$A100,'yardi_data (2)'!C:C)</f>
        <v>0</v>
      </c>
      <c r="D100" s="791">
        <f>SUMIF('yardi_data (2)'!$A:$A,$A100,'yardi_data (2)'!$D:$D)</f>
        <v>0</v>
      </c>
      <c r="E100" s="791">
        <f>SUMIF('yardi_data (2)'!$A:$A,$A100,'yardi_data (2)'!$E:$E)</f>
        <v>0</v>
      </c>
      <c r="F100" s="791">
        <f>SUMIF('yardi_data (2)'!$A:$A,$A100,'yardi_data (2)'!$F:$F)</f>
        <v>0</v>
      </c>
      <c r="G100" s="791">
        <f>SUMIF('yardi_data (2)'!$A:$A,$A100,'yardi_data (2)'!$G:$G)</f>
        <v>0</v>
      </c>
      <c r="H100" s="792"/>
    </row>
    <row r="101" spans="1:8">
      <c r="A101" s="182" t="s">
        <v>199</v>
      </c>
      <c r="B101" s="182" t="s">
        <v>200</v>
      </c>
      <c r="C101" s="791">
        <f>SUMIF('yardi_data (2)'!$A:$A,$A101,'yardi_data (2)'!C:C)</f>
        <v>0</v>
      </c>
      <c r="D101" s="791">
        <f>SUMIF('yardi_data (2)'!$A:$A,$A101,'yardi_data (2)'!$D:$D)</f>
        <v>0</v>
      </c>
      <c r="E101" s="791">
        <f>SUMIF('yardi_data (2)'!$A:$A,$A101,'yardi_data (2)'!$E:$E)</f>
        <v>0</v>
      </c>
      <c r="F101" s="791">
        <f>SUMIF('yardi_data (2)'!$A:$A,$A101,'yardi_data (2)'!$F:$F)</f>
        <v>0</v>
      </c>
      <c r="G101" s="791">
        <f>SUMIF('yardi_data (2)'!$A:$A,$A101,'yardi_data (2)'!$G:$G)</f>
        <v>0</v>
      </c>
      <c r="H101" s="792"/>
    </row>
    <row r="102" spans="1:8">
      <c r="A102" s="181" t="s">
        <v>201</v>
      </c>
      <c r="B102" s="181" t="s">
        <v>202</v>
      </c>
      <c r="C102" s="791">
        <f>SUMIF('yardi_data (2)'!$A:$A,$A102,'yardi_data (2)'!C:C)</f>
        <v>0</v>
      </c>
      <c r="D102" s="791">
        <f>SUMIF('yardi_data (2)'!$A:$A,$A102,'yardi_data (2)'!$D:$D)</f>
        <v>0</v>
      </c>
      <c r="E102" s="791">
        <f>SUMIF('yardi_data (2)'!$A:$A,$A102,'yardi_data (2)'!$E:$E)</f>
        <v>0</v>
      </c>
      <c r="F102" s="791">
        <f>SUMIF('yardi_data (2)'!$A:$A,$A102,'yardi_data (2)'!$F:$F)</f>
        <v>0</v>
      </c>
      <c r="G102" s="791">
        <f>SUMIF('yardi_data (2)'!$A:$A,$A102,'yardi_data (2)'!$G:$G)</f>
        <v>0</v>
      </c>
      <c r="H102" s="792"/>
    </row>
    <row r="103" spans="1:8">
      <c r="A103" s="182" t="s">
        <v>203</v>
      </c>
      <c r="B103" s="182" t="s">
        <v>204</v>
      </c>
      <c r="C103" s="791">
        <f>SUMIF('yardi_data (2)'!$A:$A,$A103,'yardi_data (2)'!C:C)</f>
        <v>0</v>
      </c>
      <c r="D103" s="791">
        <f>SUMIF('yardi_data (2)'!$A:$A,$A103,'yardi_data (2)'!$D:$D)</f>
        <v>0</v>
      </c>
      <c r="E103" s="791">
        <f>SUMIF('yardi_data (2)'!$A:$A,$A103,'yardi_data (2)'!$E:$E)</f>
        <v>0</v>
      </c>
      <c r="F103" s="791">
        <f>SUMIF('yardi_data (2)'!$A:$A,$A103,'yardi_data (2)'!$F:$F)</f>
        <v>0</v>
      </c>
      <c r="G103" s="791">
        <f>SUMIF('yardi_data (2)'!$A:$A,$A103,'yardi_data (2)'!$G:$G)</f>
        <v>0</v>
      </c>
      <c r="H103" s="792"/>
    </row>
    <row r="104" spans="1:8">
      <c r="A104" s="181" t="s">
        <v>205</v>
      </c>
      <c r="B104" s="181" t="s">
        <v>206</v>
      </c>
      <c r="C104" s="791">
        <f>SUMIF('yardi_data (2)'!$A:$A,$A104,'yardi_data (2)'!C:C)</f>
        <v>0</v>
      </c>
      <c r="D104" s="791">
        <f>SUMIF('yardi_data (2)'!$A:$A,$A104,'yardi_data (2)'!$D:$D)</f>
        <v>0</v>
      </c>
      <c r="E104" s="791">
        <f>SUMIF('yardi_data (2)'!$A:$A,$A104,'yardi_data (2)'!$E:$E)</f>
        <v>0</v>
      </c>
      <c r="F104" s="791">
        <f>SUMIF('yardi_data (2)'!$A:$A,$A104,'yardi_data (2)'!$F:$F)</f>
        <v>0</v>
      </c>
      <c r="G104" s="791">
        <f>SUMIF('yardi_data (2)'!$A:$A,$A104,'yardi_data (2)'!$G:$G)</f>
        <v>0</v>
      </c>
      <c r="H104" s="792"/>
    </row>
    <row r="105" spans="1:8">
      <c r="A105" s="182" t="s">
        <v>207</v>
      </c>
      <c r="B105" s="182" t="s">
        <v>208</v>
      </c>
      <c r="C105" s="791">
        <f>SUMIF('yardi_data (2)'!$A:$A,$A105,'yardi_data (2)'!C:C)</f>
        <v>0</v>
      </c>
      <c r="D105" s="791">
        <f>SUMIF('yardi_data (2)'!$A:$A,$A105,'yardi_data (2)'!$D:$D)</f>
        <v>0</v>
      </c>
      <c r="E105" s="791">
        <f>SUMIF('yardi_data (2)'!$A:$A,$A105,'yardi_data (2)'!$E:$E)</f>
        <v>0</v>
      </c>
      <c r="F105" s="791">
        <f>SUMIF('yardi_data (2)'!$A:$A,$A105,'yardi_data (2)'!$F:$F)</f>
        <v>0</v>
      </c>
      <c r="G105" s="791">
        <f>SUMIF('yardi_data (2)'!$A:$A,$A105,'yardi_data (2)'!$G:$G)</f>
        <v>0</v>
      </c>
      <c r="H105" s="792"/>
    </row>
    <row r="106" spans="1:8">
      <c r="A106" s="181" t="s">
        <v>209</v>
      </c>
      <c r="B106" s="181" t="s">
        <v>210</v>
      </c>
      <c r="C106" s="791">
        <f>SUMIF('yardi_data (2)'!$A:$A,$A106,'yardi_data (2)'!C:C)</f>
        <v>0</v>
      </c>
      <c r="D106" s="791">
        <f>SUMIF('yardi_data (2)'!$A:$A,$A106,'yardi_data (2)'!$D:$D)</f>
        <v>0</v>
      </c>
      <c r="E106" s="791">
        <f>SUMIF('yardi_data (2)'!$A:$A,$A106,'yardi_data (2)'!$E:$E)</f>
        <v>0</v>
      </c>
      <c r="F106" s="791">
        <f>SUMIF('yardi_data (2)'!$A:$A,$A106,'yardi_data (2)'!$F:$F)</f>
        <v>0</v>
      </c>
      <c r="G106" s="791">
        <f>SUMIF('yardi_data (2)'!$A:$A,$A106,'yardi_data (2)'!$G:$G)</f>
        <v>0</v>
      </c>
      <c r="H106" s="792"/>
    </row>
    <row r="107" spans="1:8">
      <c r="A107" s="182" t="s">
        <v>211</v>
      </c>
      <c r="B107" s="182" t="s">
        <v>212</v>
      </c>
      <c r="C107" s="791">
        <f>SUMIF('yardi_data (2)'!$A:$A,$A107,'yardi_data (2)'!C:C)</f>
        <v>0</v>
      </c>
      <c r="D107" s="791">
        <f>SUMIF('yardi_data (2)'!$A:$A,$A107,'yardi_data (2)'!$D:$D)</f>
        <v>0</v>
      </c>
      <c r="E107" s="791">
        <f>SUMIF('yardi_data (2)'!$A:$A,$A107,'yardi_data (2)'!$E:$E)</f>
        <v>0</v>
      </c>
      <c r="F107" s="791">
        <f>SUMIF('yardi_data (2)'!$A:$A,$A107,'yardi_data (2)'!$F:$F)</f>
        <v>0</v>
      </c>
      <c r="G107" s="791">
        <f>SUMIF('yardi_data (2)'!$A:$A,$A107,'yardi_data (2)'!$G:$G)</f>
        <v>0</v>
      </c>
      <c r="H107" s="792"/>
    </row>
    <row r="108" spans="1:8">
      <c r="A108" s="181" t="s">
        <v>213</v>
      </c>
      <c r="B108" s="181" t="s">
        <v>214</v>
      </c>
      <c r="C108" s="791">
        <f>SUMIF('yardi_data (2)'!$A:$A,$A108,'yardi_data (2)'!C:C)</f>
        <v>0</v>
      </c>
      <c r="D108" s="791">
        <f>SUMIF('yardi_data (2)'!$A:$A,$A108,'yardi_data (2)'!$D:$D)</f>
        <v>0</v>
      </c>
      <c r="E108" s="791">
        <f>SUMIF('yardi_data (2)'!$A:$A,$A108,'yardi_data (2)'!$E:$E)</f>
        <v>0</v>
      </c>
      <c r="F108" s="791">
        <f>SUMIF('yardi_data (2)'!$A:$A,$A108,'yardi_data (2)'!$F:$F)</f>
        <v>0</v>
      </c>
      <c r="G108" s="791">
        <f>SUMIF('yardi_data (2)'!$A:$A,$A108,'yardi_data (2)'!$G:$G)</f>
        <v>0</v>
      </c>
      <c r="H108" s="792"/>
    </row>
    <row r="109" spans="1:8">
      <c r="A109" s="182" t="s">
        <v>215</v>
      </c>
      <c r="B109" s="182" t="s">
        <v>216</v>
      </c>
      <c r="C109" s="791">
        <f>SUMIF('yardi_data (2)'!$A:$A,$A109,'yardi_data (2)'!C:C)</f>
        <v>0</v>
      </c>
      <c r="D109" s="791">
        <f>SUMIF('yardi_data (2)'!$A:$A,$A109,'yardi_data (2)'!$D:$D)</f>
        <v>0</v>
      </c>
      <c r="E109" s="791">
        <f>SUMIF('yardi_data (2)'!$A:$A,$A109,'yardi_data (2)'!$E:$E)</f>
        <v>0</v>
      </c>
      <c r="F109" s="791">
        <f>SUMIF('yardi_data (2)'!$A:$A,$A109,'yardi_data (2)'!$F:$F)</f>
        <v>0</v>
      </c>
      <c r="G109" s="791">
        <f>SUMIF('yardi_data (2)'!$A:$A,$A109,'yardi_data (2)'!$G:$G)</f>
        <v>0</v>
      </c>
      <c r="H109" s="792"/>
    </row>
    <row r="110" spans="1:8">
      <c r="A110" s="181" t="s">
        <v>217</v>
      </c>
      <c r="B110" s="181" t="s">
        <v>218</v>
      </c>
      <c r="C110" s="791">
        <f>SUMIF('yardi_data (2)'!$A:$A,$A110,'yardi_data (2)'!C:C)</f>
        <v>0</v>
      </c>
      <c r="D110" s="791">
        <f>SUMIF('yardi_data (2)'!$A:$A,$A110,'yardi_data (2)'!$D:$D)</f>
        <v>0</v>
      </c>
      <c r="E110" s="791">
        <f>SUMIF('yardi_data (2)'!$A:$A,$A110,'yardi_data (2)'!$E:$E)</f>
        <v>0</v>
      </c>
      <c r="F110" s="791">
        <f>SUMIF('yardi_data (2)'!$A:$A,$A110,'yardi_data (2)'!$F:$F)</f>
        <v>0</v>
      </c>
      <c r="G110" s="791">
        <f>SUMIF('yardi_data (2)'!$A:$A,$A110,'yardi_data (2)'!$G:$G)</f>
        <v>0</v>
      </c>
      <c r="H110" s="792"/>
    </row>
    <row r="111" spans="1:8">
      <c r="A111" s="182" t="s">
        <v>219</v>
      </c>
      <c r="B111" s="182" t="s">
        <v>220</v>
      </c>
      <c r="C111" s="791">
        <f>SUMIF('yardi_data (2)'!$A:$A,$A111,'yardi_data (2)'!C:C)</f>
        <v>0</v>
      </c>
      <c r="D111" s="791">
        <f>SUMIF('yardi_data (2)'!$A:$A,$A111,'yardi_data (2)'!$D:$D)</f>
        <v>0</v>
      </c>
      <c r="E111" s="791">
        <f>SUMIF('yardi_data (2)'!$A:$A,$A111,'yardi_data (2)'!$E:$E)</f>
        <v>0</v>
      </c>
      <c r="F111" s="791">
        <f>SUMIF('yardi_data (2)'!$A:$A,$A111,'yardi_data (2)'!$F:$F)</f>
        <v>0</v>
      </c>
      <c r="G111" s="791">
        <f>SUMIF('yardi_data (2)'!$A:$A,$A111,'yardi_data (2)'!$G:$G)</f>
        <v>0</v>
      </c>
      <c r="H111" s="792"/>
    </row>
    <row r="112" spans="1:8">
      <c r="A112" s="181" t="s">
        <v>221</v>
      </c>
      <c r="B112" s="181" t="s">
        <v>222</v>
      </c>
      <c r="C112" s="791">
        <f>SUMIF('yardi_data (2)'!$A:$A,$A112,'yardi_data (2)'!C:C)</f>
        <v>0</v>
      </c>
      <c r="D112" s="791">
        <f>SUMIF('yardi_data (2)'!$A:$A,$A112,'yardi_data (2)'!$D:$D)</f>
        <v>0</v>
      </c>
      <c r="E112" s="791">
        <f>SUMIF('yardi_data (2)'!$A:$A,$A112,'yardi_data (2)'!$E:$E)</f>
        <v>0</v>
      </c>
      <c r="F112" s="791">
        <f>SUMIF('yardi_data (2)'!$A:$A,$A112,'yardi_data (2)'!$F:$F)</f>
        <v>0</v>
      </c>
      <c r="G112" s="791">
        <f>SUMIF('yardi_data (2)'!$A:$A,$A112,'yardi_data (2)'!$G:$G)</f>
        <v>0</v>
      </c>
      <c r="H112" s="792"/>
    </row>
    <row r="113" spans="1:8">
      <c r="A113" s="182" t="s">
        <v>223</v>
      </c>
      <c r="B113" s="182" t="s">
        <v>224</v>
      </c>
      <c r="C113" s="791">
        <f>SUMIF('yardi_data (2)'!$A:$A,$A113,'yardi_data (2)'!C:C)</f>
        <v>0</v>
      </c>
      <c r="D113" s="791">
        <f>SUMIF('yardi_data (2)'!$A:$A,$A113,'yardi_data (2)'!$D:$D)</f>
        <v>0</v>
      </c>
      <c r="E113" s="791">
        <f>SUMIF('yardi_data (2)'!$A:$A,$A113,'yardi_data (2)'!$E:$E)</f>
        <v>0</v>
      </c>
      <c r="F113" s="791">
        <f>SUMIF('yardi_data (2)'!$A:$A,$A113,'yardi_data (2)'!$F:$F)</f>
        <v>0</v>
      </c>
      <c r="G113" s="791">
        <f>SUMIF('yardi_data (2)'!$A:$A,$A113,'yardi_data (2)'!$G:$G)</f>
        <v>0</v>
      </c>
      <c r="H113" s="792"/>
    </row>
    <row r="114" spans="1:8">
      <c r="A114" s="181" t="s">
        <v>225</v>
      </c>
      <c r="B114" s="181" t="s">
        <v>226</v>
      </c>
      <c r="C114" s="791">
        <f>SUMIF('yardi_data (2)'!$A:$A,$A114,'yardi_data (2)'!C:C)</f>
        <v>0</v>
      </c>
      <c r="D114" s="791">
        <f>SUMIF('yardi_data (2)'!$A:$A,$A114,'yardi_data (2)'!$D:$D)</f>
        <v>0</v>
      </c>
      <c r="E114" s="791">
        <f>SUMIF('yardi_data (2)'!$A:$A,$A114,'yardi_data (2)'!$E:$E)</f>
        <v>0</v>
      </c>
      <c r="F114" s="791">
        <f>SUMIF('yardi_data (2)'!$A:$A,$A114,'yardi_data (2)'!$F:$F)</f>
        <v>0</v>
      </c>
      <c r="G114" s="791">
        <f>SUMIF('yardi_data (2)'!$A:$A,$A114,'yardi_data (2)'!$G:$G)</f>
        <v>0</v>
      </c>
      <c r="H114" s="792"/>
    </row>
    <row r="115" spans="1:8">
      <c r="A115" s="182" t="s">
        <v>227</v>
      </c>
      <c r="B115" s="182" t="s">
        <v>228</v>
      </c>
      <c r="C115" s="791">
        <f>SUMIF('yardi_data (2)'!$A:$A,$A115,'yardi_data (2)'!C:C)</f>
        <v>0</v>
      </c>
      <c r="D115" s="791">
        <f>SUMIF('yardi_data (2)'!$A:$A,$A115,'yardi_data (2)'!$D:$D)</f>
        <v>0</v>
      </c>
      <c r="E115" s="791">
        <f>SUMIF('yardi_data (2)'!$A:$A,$A115,'yardi_data (2)'!$E:$E)</f>
        <v>0</v>
      </c>
      <c r="F115" s="791">
        <f>SUMIF('yardi_data (2)'!$A:$A,$A115,'yardi_data (2)'!$F:$F)</f>
        <v>0</v>
      </c>
      <c r="G115" s="791">
        <f>SUMIF('yardi_data (2)'!$A:$A,$A115,'yardi_data (2)'!$G:$G)</f>
        <v>0</v>
      </c>
      <c r="H115" s="792"/>
    </row>
    <row r="116" spans="1:8">
      <c r="A116" s="181" t="s">
        <v>229</v>
      </c>
      <c r="B116" s="181" t="s">
        <v>230</v>
      </c>
      <c r="C116" s="791">
        <f>SUMIF('yardi_data (2)'!$A:$A,$A116,'yardi_data (2)'!C:C)</f>
        <v>0</v>
      </c>
      <c r="D116" s="791">
        <f>SUMIF('yardi_data (2)'!$A:$A,$A116,'yardi_data (2)'!$D:$D)</f>
        <v>0</v>
      </c>
      <c r="E116" s="791">
        <f>SUMIF('yardi_data (2)'!$A:$A,$A116,'yardi_data (2)'!$E:$E)</f>
        <v>0</v>
      </c>
      <c r="F116" s="791">
        <f>SUMIF('yardi_data (2)'!$A:$A,$A116,'yardi_data (2)'!$F:$F)</f>
        <v>0</v>
      </c>
      <c r="G116" s="791">
        <f>SUMIF('yardi_data (2)'!$A:$A,$A116,'yardi_data (2)'!$G:$G)</f>
        <v>0</v>
      </c>
      <c r="H116" s="792"/>
    </row>
    <row r="117" spans="1:8">
      <c r="A117" s="182" t="s">
        <v>231</v>
      </c>
      <c r="B117" s="182" t="s">
        <v>232</v>
      </c>
      <c r="C117" s="791">
        <f>SUMIF('yardi_data (2)'!$A:$A,$A117,'yardi_data (2)'!C:C)</f>
        <v>0</v>
      </c>
      <c r="D117" s="791">
        <f>SUMIF('yardi_data (2)'!$A:$A,$A117,'yardi_data (2)'!$D:$D)</f>
        <v>0</v>
      </c>
      <c r="E117" s="791">
        <f>SUMIF('yardi_data (2)'!$A:$A,$A117,'yardi_data (2)'!$E:$E)</f>
        <v>0</v>
      </c>
      <c r="F117" s="791">
        <f>SUMIF('yardi_data (2)'!$A:$A,$A117,'yardi_data (2)'!$F:$F)</f>
        <v>0</v>
      </c>
      <c r="G117" s="791">
        <f>SUMIF('yardi_data (2)'!$A:$A,$A117,'yardi_data (2)'!$G:$G)</f>
        <v>0</v>
      </c>
      <c r="H117" s="792"/>
    </row>
    <row r="118" spans="1:8">
      <c r="A118" s="181" t="s">
        <v>233</v>
      </c>
      <c r="B118" s="181" t="s">
        <v>234</v>
      </c>
      <c r="C118" s="791">
        <f>SUMIF('yardi_data (2)'!$A:$A,$A118,'yardi_data (2)'!C:C)</f>
        <v>0</v>
      </c>
      <c r="D118" s="791">
        <f>SUMIF('yardi_data (2)'!$A:$A,$A118,'yardi_data (2)'!$D:$D)</f>
        <v>0</v>
      </c>
      <c r="E118" s="791">
        <f>SUMIF('yardi_data (2)'!$A:$A,$A118,'yardi_data (2)'!$E:$E)</f>
        <v>0</v>
      </c>
      <c r="F118" s="791">
        <f>SUMIF('yardi_data (2)'!$A:$A,$A118,'yardi_data (2)'!$F:$F)</f>
        <v>0</v>
      </c>
      <c r="G118" s="791">
        <f>SUMIF('yardi_data (2)'!$A:$A,$A118,'yardi_data (2)'!$G:$G)</f>
        <v>0</v>
      </c>
      <c r="H118" s="792"/>
    </row>
    <row r="119" spans="1:8">
      <c r="A119" s="182" t="s">
        <v>235</v>
      </c>
      <c r="B119" s="182" t="s">
        <v>236</v>
      </c>
      <c r="C119" s="791">
        <f>SUMIF('yardi_data (2)'!$A:$A,$A119,'yardi_data (2)'!C:C)</f>
        <v>0</v>
      </c>
      <c r="D119" s="791">
        <f>SUMIF('yardi_data (2)'!$A:$A,$A119,'yardi_data (2)'!$D:$D)</f>
        <v>0</v>
      </c>
      <c r="E119" s="791">
        <f>SUMIF('yardi_data (2)'!$A:$A,$A119,'yardi_data (2)'!$E:$E)</f>
        <v>0</v>
      </c>
      <c r="F119" s="791">
        <f>SUMIF('yardi_data (2)'!$A:$A,$A119,'yardi_data (2)'!$F:$F)</f>
        <v>0</v>
      </c>
      <c r="G119" s="791">
        <f>SUMIF('yardi_data (2)'!$A:$A,$A119,'yardi_data (2)'!$G:$G)</f>
        <v>0</v>
      </c>
      <c r="H119" s="792"/>
    </row>
    <row r="120" spans="1:8">
      <c r="A120" s="181" t="s">
        <v>237</v>
      </c>
      <c r="B120" s="181" t="s">
        <v>238</v>
      </c>
      <c r="C120" s="791">
        <f>SUMIF('yardi_data (2)'!$A:$A,$A120,'yardi_data (2)'!C:C)</f>
        <v>0</v>
      </c>
      <c r="D120" s="791">
        <f>SUMIF('yardi_data (2)'!$A:$A,$A120,'yardi_data (2)'!$D:$D)</f>
        <v>0</v>
      </c>
      <c r="E120" s="791">
        <f>SUMIF('yardi_data (2)'!$A:$A,$A120,'yardi_data (2)'!$E:$E)</f>
        <v>0</v>
      </c>
      <c r="F120" s="791">
        <f>SUMIF('yardi_data (2)'!$A:$A,$A120,'yardi_data (2)'!$F:$F)</f>
        <v>0</v>
      </c>
      <c r="G120" s="791">
        <f>SUMIF('yardi_data (2)'!$A:$A,$A120,'yardi_data (2)'!$G:$G)</f>
        <v>0</v>
      </c>
      <c r="H120" s="792"/>
    </row>
    <row r="121" spans="1:8">
      <c r="A121" s="182" t="s">
        <v>239</v>
      </c>
      <c r="B121" s="182" t="s">
        <v>240</v>
      </c>
      <c r="C121" s="791">
        <f>SUMIF('yardi_data (2)'!$A:$A,$A121,'yardi_data (2)'!C:C)</f>
        <v>0</v>
      </c>
      <c r="D121" s="791">
        <f>SUMIF('yardi_data (2)'!$A:$A,$A121,'yardi_data (2)'!$D:$D)</f>
        <v>0</v>
      </c>
      <c r="E121" s="791">
        <f>SUMIF('yardi_data (2)'!$A:$A,$A121,'yardi_data (2)'!$E:$E)</f>
        <v>0</v>
      </c>
      <c r="F121" s="791">
        <f>SUMIF('yardi_data (2)'!$A:$A,$A121,'yardi_data (2)'!$F:$F)</f>
        <v>0</v>
      </c>
      <c r="G121" s="791">
        <f>SUMIF('yardi_data (2)'!$A:$A,$A121,'yardi_data (2)'!$G:$G)</f>
        <v>0</v>
      </c>
      <c r="H121" s="792"/>
    </row>
    <row r="122" spans="1:8">
      <c r="A122" s="181" t="s">
        <v>241</v>
      </c>
      <c r="B122" s="181" t="s">
        <v>242</v>
      </c>
      <c r="C122" s="791">
        <f>SUMIF('yardi_data (2)'!$A:$A,$A122,'yardi_data (2)'!C:C)</f>
        <v>0</v>
      </c>
      <c r="D122" s="791">
        <f>SUMIF('yardi_data (2)'!$A:$A,$A122,'yardi_data (2)'!$D:$D)</f>
        <v>0</v>
      </c>
      <c r="E122" s="791">
        <f>SUMIF('yardi_data (2)'!$A:$A,$A122,'yardi_data (2)'!$E:$E)</f>
        <v>0</v>
      </c>
      <c r="F122" s="791">
        <f>SUMIF('yardi_data (2)'!$A:$A,$A122,'yardi_data (2)'!$F:$F)</f>
        <v>0</v>
      </c>
      <c r="G122" s="791">
        <f>SUMIF('yardi_data (2)'!$A:$A,$A122,'yardi_data (2)'!$G:$G)</f>
        <v>0</v>
      </c>
      <c r="H122" s="792"/>
    </row>
    <row r="123" spans="1:8">
      <c r="A123" s="182" t="s">
        <v>243</v>
      </c>
      <c r="B123" s="182" t="s">
        <v>244</v>
      </c>
      <c r="C123" s="791">
        <f>SUMIF('yardi_data (2)'!$A:$A,$A123,'yardi_data (2)'!C:C)</f>
        <v>0</v>
      </c>
      <c r="D123" s="791">
        <f>SUMIF('yardi_data (2)'!$A:$A,$A123,'yardi_data (2)'!$D:$D)</f>
        <v>0</v>
      </c>
      <c r="E123" s="791">
        <f>SUMIF('yardi_data (2)'!$A:$A,$A123,'yardi_data (2)'!$E:$E)</f>
        <v>0</v>
      </c>
      <c r="F123" s="791">
        <f>SUMIF('yardi_data (2)'!$A:$A,$A123,'yardi_data (2)'!$F:$F)</f>
        <v>0</v>
      </c>
      <c r="G123" s="791">
        <f>SUMIF('yardi_data (2)'!$A:$A,$A123,'yardi_data (2)'!$G:$G)</f>
        <v>0</v>
      </c>
      <c r="H123" s="792"/>
    </row>
    <row r="124" spans="1:8">
      <c r="A124" s="181" t="s">
        <v>245</v>
      </c>
      <c r="B124" s="181" t="s">
        <v>246</v>
      </c>
      <c r="C124" s="791">
        <f>SUMIF('yardi_data (2)'!$A:$A,$A124,'yardi_data (2)'!C:C)</f>
        <v>0</v>
      </c>
      <c r="D124" s="791">
        <f>SUMIF('yardi_data (2)'!$A:$A,$A124,'yardi_data (2)'!$D:$D)</f>
        <v>0</v>
      </c>
      <c r="E124" s="791">
        <f>SUMIF('yardi_data (2)'!$A:$A,$A124,'yardi_data (2)'!$E:$E)</f>
        <v>0</v>
      </c>
      <c r="F124" s="791">
        <f>SUMIF('yardi_data (2)'!$A:$A,$A124,'yardi_data (2)'!$F:$F)</f>
        <v>0</v>
      </c>
      <c r="G124" s="791">
        <f>SUMIF('yardi_data (2)'!$A:$A,$A124,'yardi_data (2)'!$G:$G)</f>
        <v>0</v>
      </c>
      <c r="H124" s="792"/>
    </row>
    <row r="125" spans="1:8">
      <c r="A125" s="182" t="s">
        <v>247</v>
      </c>
      <c r="B125" s="182" t="s">
        <v>248</v>
      </c>
      <c r="C125" s="791">
        <f>SUMIF('yardi_data (2)'!$A:$A,$A125,'yardi_data (2)'!C:C)</f>
        <v>0</v>
      </c>
      <c r="D125" s="791">
        <f>SUMIF('yardi_data (2)'!$A:$A,$A125,'yardi_data (2)'!$D:$D)</f>
        <v>0</v>
      </c>
      <c r="E125" s="791">
        <f>SUMIF('yardi_data (2)'!$A:$A,$A125,'yardi_data (2)'!$E:$E)</f>
        <v>0</v>
      </c>
      <c r="F125" s="791">
        <f>SUMIF('yardi_data (2)'!$A:$A,$A125,'yardi_data (2)'!$F:$F)</f>
        <v>0</v>
      </c>
      <c r="G125" s="791">
        <f>SUMIF('yardi_data (2)'!$A:$A,$A125,'yardi_data (2)'!$G:$G)</f>
        <v>0</v>
      </c>
      <c r="H125" s="792"/>
    </row>
    <row r="126" spans="1:8">
      <c r="A126" s="183" t="s">
        <v>249</v>
      </c>
      <c r="B126" s="183" t="s">
        <v>250</v>
      </c>
      <c r="C126" s="791">
        <f>SUMIF('yardi_data (2)'!$A:$A,$A126,'yardi_data (2)'!C:C)</f>
        <v>0</v>
      </c>
      <c r="D126" s="791">
        <f>SUMIF('yardi_data (2)'!$A:$A,$A126,'yardi_data (2)'!$D:$D)</f>
        <v>0</v>
      </c>
      <c r="E126" s="791">
        <f>SUMIF('yardi_data (2)'!$A:$A,$A126,'yardi_data (2)'!$E:$E)</f>
        <v>0</v>
      </c>
      <c r="F126" s="791">
        <f>SUMIF('yardi_data (2)'!$A:$A,$A126,'yardi_data (2)'!$F:$F)</f>
        <v>0</v>
      </c>
      <c r="G126" s="791">
        <f>SUMIF('yardi_data (2)'!$A:$A,$A126,'yardi_data (2)'!$G:$G)</f>
        <v>0</v>
      </c>
      <c r="H126" s="792"/>
    </row>
    <row r="127" spans="1:8">
      <c r="A127" s="183" t="s">
        <v>251</v>
      </c>
      <c r="B127" s="183" t="s">
        <v>252</v>
      </c>
      <c r="C127" s="791">
        <f>SUMIF('yardi_data (2)'!$A:$A,$A127,'yardi_data (2)'!C:C)</f>
        <v>0</v>
      </c>
      <c r="D127" s="791">
        <f>SUMIF('yardi_data (2)'!$A:$A,$A127,'yardi_data (2)'!$D:$D)</f>
        <v>0</v>
      </c>
      <c r="E127" s="791">
        <f>SUMIF('yardi_data (2)'!$A:$A,$A127,'yardi_data (2)'!$E:$E)</f>
        <v>0</v>
      </c>
      <c r="F127" s="791">
        <f>SUMIF('yardi_data (2)'!$A:$A,$A127,'yardi_data (2)'!$F:$F)</f>
        <v>0</v>
      </c>
      <c r="G127" s="791">
        <f>SUMIF('yardi_data (2)'!$A:$A,$A127,'yardi_data (2)'!$G:$G)</f>
        <v>0</v>
      </c>
      <c r="H127" s="792"/>
    </row>
    <row r="128" spans="1:8">
      <c r="A128" s="183" t="s">
        <v>253</v>
      </c>
      <c r="B128" s="183" t="s">
        <v>254</v>
      </c>
      <c r="C128" s="791">
        <f>SUMIF('yardi_data (2)'!$A:$A,$A128,'yardi_data (2)'!C:C)</f>
        <v>0</v>
      </c>
      <c r="D128" s="791">
        <f>SUMIF('yardi_data (2)'!$A:$A,$A128,'yardi_data (2)'!$D:$D)</f>
        <v>0</v>
      </c>
      <c r="E128" s="791">
        <f>SUMIF('yardi_data (2)'!$A:$A,$A128,'yardi_data (2)'!$E:$E)</f>
        <v>0</v>
      </c>
      <c r="F128" s="791">
        <f>SUMIF('yardi_data (2)'!$A:$A,$A128,'yardi_data (2)'!$F:$F)</f>
        <v>0</v>
      </c>
      <c r="G128" s="791">
        <f>SUMIF('yardi_data (2)'!$A:$A,$A128,'yardi_data (2)'!$G:$G)</f>
        <v>0</v>
      </c>
      <c r="H128" s="792"/>
    </row>
    <row r="129" spans="1:8">
      <c r="A129" s="183" t="s">
        <v>255</v>
      </c>
      <c r="B129" s="183" t="s">
        <v>256</v>
      </c>
      <c r="C129" s="791">
        <f>SUMIF('yardi_data (2)'!$A:$A,$A129,'yardi_data (2)'!C:C)</f>
        <v>0</v>
      </c>
      <c r="D129" s="791">
        <f>SUMIF('yardi_data (2)'!$A:$A,$A129,'yardi_data (2)'!$D:$D)</f>
        <v>0</v>
      </c>
      <c r="E129" s="791">
        <f>SUMIF('yardi_data (2)'!$A:$A,$A129,'yardi_data (2)'!$E:$E)</f>
        <v>0</v>
      </c>
      <c r="F129" s="791">
        <f>SUMIF('yardi_data (2)'!$A:$A,$A129,'yardi_data (2)'!$F:$F)</f>
        <v>0</v>
      </c>
      <c r="G129" s="791">
        <f>SUMIF('yardi_data (2)'!$A:$A,$A129,'yardi_data (2)'!$G:$G)</f>
        <v>0</v>
      </c>
      <c r="H129" s="792"/>
    </row>
    <row r="130" spans="1:8">
      <c r="A130" s="183" t="s">
        <v>257</v>
      </c>
      <c r="B130" s="183" t="s">
        <v>258</v>
      </c>
      <c r="C130" s="791">
        <f>SUMIF('yardi_data (2)'!$A:$A,$A130,'yardi_data (2)'!C:C)</f>
        <v>0</v>
      </c>
      <c r="D130" s="791">
        <f>SUMIF('yardi_data (2)'!$A:$A,$A130,'yardi_data (2)'!$D:$D)</f>
        <v>0</v>
      </c>
      <c r="E130" s="791">
        <f>SUMIF('yardi_data (2)'!$A:$A,$A130,'yardi_data (2)'!$E:$E)</f>
        <v>0</v>
      </c>
      <c r="F130" s="791">
        <f>SUMIF('yardi_data (2)'!$A:$A,$A130,'yardi_data (2)'!$F:$F)</f>
        <v>0</v>
      </c>
      <c r="G130" s="791">
        <f>SUMIF('yardi_data (2)'!$A:$A,$A130,'yardi_data (2)'!$G:$G)</f>
        <v>0</v>
      </c>
      <c r="H130" s="792"/>
    </row>
    <row r="131" spans="1:8">
      <c r="A131" s="181" t="s">
        <v>259</v>
      </c>
      <c r="B131" s="181" t="s">
        <v>260</v>
      </c>
      <c r="C131" s="791">
        <f>SUMIF('yardi_data (2)'!$A:$A,$A131,'yardi_data (2)'!C:C)</f>
        <v>0</v>
      </c>
      <c r="D131" s="791">
        <f>SUMIF('yardi_data (2)'!$A:$A,$A131,'yardi_data (2)'!$D:$D)</f>
        <v>0</v>
      </c>
      <c r="E131" s="791">
        <f>SUMIF('yardi_data (2)'!$A:$A,$A131,'yardi_data (2)'!$E:$E)</f>
        <v>0</v>
      </c>
      <c r="F131" s="791">
        <f>SUMIF('yardi_data (2)'!$A:$A,$A131,'yardi_data (2)'!$F:$F)</f>
        <v>0</v>
      </c>
      <c r="G131" s="791">
        <f>SUMIF('yardi_data (2)'!$A:$A,$A131,'yardi_data (2)'!$G:$G)</f>
        <v>0</v>
      </c>
      <c r="H131" s="792"/>
    </row>
    <row r="132" spans="1:8">
      <c r="A132" s="182" t="s">
        <v>261</v>
      </c>
      <c r="B132" s="182" t="s">
        <v>262</v>
      </c>
      <c r="C132" s="791">
        <f>SUMIF('yardi_data (2)'!$A:$A,$A132,'yardi_data (2)'!C:C)</f>
        <v>0</v>
      </c>
      <c r="D132" s="791">
        <f>SUMIF('yardi_data (2)'!$A:$A,$A132,'yardi_data (2)'!$D:$D)</f>
        <v>0</v>
      </c>
      <c r="E132" s="791">
        <f>SUMIF('yardi_data (2)'!$A:$A,$A132,'yardi_data (2)'!$E:$E)</f>
        <v>0</v>
      </c>
      <c r="F132" s="791">
        <f>SUMIF('yardi_data (2)'!$A:$A,$A132,'yardi_data (2)'!$F:$F)</f>
        <v>0</v>
      </c>
      <c r="G132" s="791">
        <f>SUMIF('yardi_data (2)'!$A:$A,$A132,'yardi_data (2)'!$G:$G)</f>
        <v>0</v>
      </c>
      <c r="H132" s="792"/>
    </row>
    <row r="133" spans="1:8">
      <c r="A133" s="181" t="s">
        <v>263</v>
      </c>
      <c r="B133" s="181" t="s">
        <v>264</v>
      </c>
      <c r="C133" s="791">
        <f>SUMIF('yardi_data (2)'!$A:$A,$A133,'yardi_data (2)'!C:C)</f>
        <v>0</v>
      </c>
      <c r="D133" s="791">
        <f>SUMIF('yardi_data (2)'!$A:$A,$A133,'yardi_data (2)'!$D:$D)</f>
        <v>0</v>
      </c>
      <c r="E133" s="791">
        <f>SUMIF('yardi_data (2)'!$A:$A,$A133,'yardi_data (2)'!$E:$E)</f>
        <v>0</v>
      </c>
      <c r="F133" s="791">
        <f>SUMIF('yardi_data (2)'!$A:$A,$A133,'yardi_data (2)'!$F:$F)</f>
        <v>0</v>
      </c>
      <c r="G133" s="791">
        <f>SUMIF('yardi_data (2)'!$A:$A,$A133,'yardi_data (2)'!$G:$G)</f>
        <v>0</v>
      </c>
      <c r="H133" s="792"/>
    </row>
    <row r="134" spans="1:8">
      <c r="A134" s="182" t="s">
        <v>265</v>
      </c>
      <c r="B134" s="182" t="s">
        <v>266</v>
      </c>
      <c r="C134" s="791">
        <f>SUMIF('yardi_data (2)'!$A:$A,$A134,'yardi_data (2)'!C:C)</f>
        <v>0</v>
      </c>
      <c r="D134" s="791">
        <f>SUMIF('yardi_data (2)'!$A:$A,$A134,'yardi_data (2)'!$D:$D)</f>
        <v>0</v>
      </c>
      <c r="E134" s="791">
        <f>SUMIF('yardi_data (2)'!$A:$A,$A134,'yardi_data (2)'!$E:$E)</f>
        <v>0</v>
      </c>
      <c r="F134" s="791">
        <f>SUMIF('yardi_data (2)'!$A:$A,$A134,'yardi_data (2)'!$F:$F)</f>
        <v>0</v>
      </c>
      <c r="G134" s="791">
        <f>SUMIF('yardi_data (2)'!$A:$A,$A134,'yardi_data (2)'!$G:$G)</f>
        <v>0</v>
      </c>
      <c r="H134" s="792"/>
    </row>
    <row r="135" spans="1:8">
      <c r="A135" s="181" t="s">
        <v>267</v>
      </c>
      <c r="B135" s="181" t="s">
        <v>268</v>
      </c>
      <c r="C135" s="791">
        <f>SUMIF('yardi_data (2)'!$A:$A,$A135,'yardi_data (2)'!C:C)</f>
        <v>0</v>
      </c>
      <c r="D135" s="791">
        <f>SUMIF('yardi_data (2)'!$A:$A,$A135,'yardi_data (2)'!$D:$D)</f>
        <v>0</v>
      </c>
      <c r="E135" s="791">
        <f>SUMIF('yardi_data (2)'!$A:$A,$A135,'yardi_data (2)'!$E:$E)</f>
        <v>0</v>
      </c>
      <c r="F135" s="791">
        <f>SUMIF('yardi_data (2)'!$A:$A,$A135,'yardi_data (2)'!$F:$F)</f>
        <v>0</v>
      </c>
      <c r="G135" s="791">
        <f>SUMIF('yardi_data (2)'!$A:$A,$A135,'yardi_data (2)'!$G:$G)</f>
        <v>0</v>
      </c>
      <c r="H135" s="792"/>
    </row>
    <row r="136" spans="1:8">
      <c r="A136" s="182" t="s">
        <v>269</v>
      </c>
      <c r="B136" s="182" t="s">
        <v>270</v>
      </c>
      <c r="C136" s="791">
        <f>SUMIF('yardi_data (2)'!$A:$A,$A136,'yardi_data (2)'!C:C)</f>
        <v>0</v>
      </c>
      <c r="D136" s="791">
        <f>SUMIF('yardi_data (2)'!$A:$A,$A136,'yardi_data (2)'!$D:$D)</f>
        <v>0</v>
      </c>
      <c r="E136" s="791">
        <f>SUMIF('yardi_data (2)'!$A:$A,$A136,'yardi_data (2)'!$E:$E)</f>
        <v>0</v>
      </c>
      <c r="F136" s="791">
        <f>SUMIF('yardi_data (2)'!$A:$A,$A136,'yardi_data (2)'!$F:$F)</f>
        <v>0</v>
      </c>
      <c r="G136" s="791">
        <f>SUMIF('yardi_data (2)'!$A:$A,$A136,'yardi_data (2)'!$G:$G)</f>
        <v>0</v>
      </c>
      <c r="H136" s="792"/>
    </row>
    <row r="137" spans="1:8">
      <c r="A137" s="181" t="s">
        <v>271</v>
      </c>
      <c r="B137" s="181" t="s">
        <v>272</v>
      </c>
      <c r="C137" s="791">
        <f>SUMIF('yardi_data (2)'!$A:$A,$A137,'yardi_data (2)'!C:C)</f>
        <v>0</v>
      </c>
      <c r="D137" s="791">
        <f>SUMIF('yardi_data (2)'!$A:$A,$A137,'yardi_data (2)'!$D:$D)</f>
        <v>0</v>
      </c>
      <c r="E137" s="791">
        <f>SUMIF('yardi_data (2)'!$A:$A,$A137,'yardi_data (2)'!$E:$E)</f>
        <v>0</v>
      </c>
      <c r="F137" s="791">
        <f>SUMIF('yardi_data (2)'!$A:$A,$A137,'yardi_data (2)'!$F:$F)</f>
        <v>0</v>
      </c>
      <c r="G137" s="791">
        <f>SUMIF('yardi_data (2)'!$A:$A,$A137,'yardi_data (2)'!$G:$G)</f>
        <v>0</v>
      </c>
      <c r="H137" s="792"/>
    </row>
    <row r="138" spans="1:8">
      <c r="A138" s="183" t="s">
        <v>273</v>
      </c>
      <c r="B138" s="183" t="s">
        <v>274</v>
      </c>
      <c r="C138" s="791">
        <f>SUMIF('yardi_data (2)'!$A:$A,$A138,'yardi_data (2)'!C:C)</f>
        <v>0</v>
      </c>
      <c r="D138" s="791">
        <f>SUMIF('yardi_data (2)'!$A:$A,$A138,'yardi_data (2)'!$D:$D)</f>
        <v>0</v>
      </c>
      <c r="E138" s="791">
        <f>SUMIF('yardi_data (2)'!$A:$A,$A138,'yardi_data (2)'!$E:$E)</f>
        <v>0</v>
      </c>
      <c r="F138" s="791">
        <f>SUMIF('yardi_data (2)'!$A:$A,$A138,'yardi_data (2)'!$F:$F)</f>
        <v>0</v>
      </c>
      <c r="G138" s="791">
        <f>SUMIF('yardi_data (2)'!$A:$A,$A138,'yardi_data (2)'!$G:$G)</f>
        <v>0</v>
      </c>
      <c r="H138" s="792"/>
    </row>
    <row r="139" spans="1:8">
      <c r="A139" s="182" t="s">
        <v>275</v>
      </c>
      <c r="B139" s="182" t="s">
        <v>276</v>
      </c>
      <c r="C139" s="791">
        <f>SUMIF('yardi_data (2)'!$A:$A,$A139,'yardi_data (2)'!C:C)</f>
        <v>0</v>
      </c>
      <c r="D139" s="791">
        <f>SUMIF('yardi_data (2)'!$A:$A,$A139,'yardi_data (2)'!$D:$D)</f>
        <v>0</v>
      </c>
      <c r="E139" s="791">
        <f>SUMIF('yardi_data (2)'!$A:$A,$A139,'yardi_data (2)'!$E:$E)</f>
        <v>0</v>
      </c>
      <c r="F139" s="791">
        <f>SUMIF('yardi_data (2)'!$A:$A,$A139,'yardi_data (2)'!$F:$F)</f>
        <v>0</v>
      </c>
      <c r="G139" s="791">
        <f>SUMIF('yardi_data (2)'!$A:$A,$A139,'yardi_data (2)'!$G:$G)</f>
        <v>0</v>
      </c>
      <c r="H139" s="792"/>
    </row>
    <row r="140" spans="1:8">
      <c r="A140" s="181" t="s">
        <v>277</v>
      </c>
      <c r="B140" s="181" t="s">
        <v>278</v>
      </c>
      <c r="C140" s="791">
        <f>SUMIF('yardi_data (2)'!$A:$A,$A140,'yardi_data (2)'!C:C)</f>
        <v>0</v>
      </c>
      <c r="D140" s="791">
        <f>SUMIF('yardi_data (2)'!$A:$A,$A140,'yardi_data (2)'!$D:$D)</f>
        <v>0</v>
      </c>
      <c r="E140" s="791">
        <f>SUMIF('yardi_data (2)'!$A:$A,$A140,'yardi_data (2)'!$E:$E)</f>
        <v>0</v>
      </c>
      <c r="F140" s="791">
        <f>SUMIF('yardi_data (2)'!$A:$A,$A140,'yardi_data (2)'!$F:$F)</f>
        <v>0</v>
      </c>
      <c r="G140" s="791">
        <f>SUMIF('yardi_data (2)'!$A:$A,$A140,'yardi_data (2)'!$G:$G)</f>
        <v>0</v>
      </c>
      <c r="H140" s="792"/>
    </row>
    <row r="141" spans="1:8">
      <c r="A141" s="182" t="s">
        <v>279</v>
      </c>
      <c r="B141" s="182" t="s">
        <v>280</v>
      </c>
      <c r="C141" s="791">
        <f>SUMIF('yardi_data (2)'!$A:$A,$A141,'yardi_data (2)'!C:C)</f>
        <v>0</v>
      </c>
      <c r="D141" s="791">
        <f>SUMIF('yardi_data (2)'!$A:$A,$A141,'yardi_data (2)'!$D:$D)</f>
        <v>0</v>
      </c>
      <c r="E141" s="791">
        <f>SUMIF('yardi_data (2)'!$A:$A,$A141,'yardi_data (2)'!$E:$E)</f>
        <v>0</v>
      </c>
      <c r="F141" s="791">
        <f>SUMIF('yardi_data (2)'!$A:$A,$A141,'yardi_data (2)'!$F:$F)</f>
        <v>0</v>
      </c>
      <c r="G141" s="791">
        <f>SUMIF('yardi_data (2)'!$A:$A,$A141,'yardi_data (2)'!$G:$G)</f>
        <v>0</v>
      </c>
      <c r="H141" s="792"/>
    </row>
    <row r="142" spans="1:8">
      <c r="A142" s="181" t="s">
        <v>281</v>
      </c>
      <c r="B142" s="181" t="s">
        <v>282</v>
      </c>
      <c r="C142" s="791">
        <f>SUMIF('yardi_data (2)'!$A:$A,$A142,'yardi_data (2)'!C:C)</f>
        <v>0</v>
      </c>
      <c r="D142" s="791">
        <f>SUMIF('yardi_data (2)'!$A:$A,$A142,'yardi_data (2)'!$D:$D)</f>
        <v>0</v>
      </c>
      <c r="E142" s="791">
        <f>SUMIF('yardi_data (2)'!$A:$A,$A142,'yardi_data (2)'!$E:$E)</f>
        <v>0</v>
      </c>
      <c r="F142" s="791">
        <f>SUMIF('yardi_data (2)'!$A:$A,$A142,'yardi_data (2)'!$F:$F)</f>
        <v>0</v>
      </c>
      <c r="G142" s="791">
        <f>SUMIF('yardi_data (2)'!$A:$A,$A142,'yardi_data (2)'!$G:$G)</f>
        <v>0</v>
      </c>
      <c r="H142" s="792"/>
    </row>
    <row r="143" spans="1:8">
      <c r="A143" s="182" t="s">
        <v>283</v>
      </c>
      <c r="B143" s="182" t="s">
        <v>284</v>
      </c>
      <c r="C143" s="791">
        <f>SUMIF('yardi_data (2)'!$A:$A,$A143,'yardi_data (2)'!C:C)</f>
        <v>0</v>
      </c>
      <c r="D143" s="791">
        <f>SUMIF('yardi_data (2)'!$A:$A,$A143,'yardi_data (2)'!$D:$D)</f>
        <v>0</v>
      </c>
      <c r="E143" s="791">
        <f>SUMIF('yardi_data (2)'!$A:$A,$A143,'yardi_data (2)'!$E:$E)</f>
        <v>0</v>
      </c>
      <c r="F143" s="791">
        <f>SUMIF('yardi_data (2)'!$A:$A,$A143,'yardi_data (2)'!$F:$F)</f>
        <v>0</v>
      </c>
      <c r="G143" s="791">
        <f>SUMIF('yardi_data (2)'!$A:$A,$A143,'yardi_data (2)'!$G:$G)</f>
        <v>0</v>
      </c>
      <c r="H143" s="792"/>
    </row>
    <row r="144" spans="1:8">
      <c r="A144" s="181" t="s">
        <v>285</v>
      </c>
      <c r="B144" s="181" t="s">
        <v>286</v>
      </c>
      <c r="C144" s="791">
        <f>SUMIF('yardi_data (2)'!$A:$A,$A144,'yardi_data (2)'!C:C)</f>
        <v>0</v>
      </c>
      <c r="D144" s="791">
        <f>SUMIF('yardi_data (2)'!$A:$A,$A144,'yardi_data (2)'!$D:$D)</f>
        <v>0</v>
      </c>
      <c r="E144" s="791">
        <f>SUMIF('yardi_data (2)'!$A:$A,$A144,'yardi_data (2)'!$E:$E)</f>
        <v>0</v>
      </c>
      <c r="F144" s="791">
        <f>SUMIF('yardi_data (2)'!$A:$A,$A144,'yardi_data (2)'!$F:$F)</f>
        <v>0</v>
      </c>
      <c r="G144" s="791">
        <f>SUMIF('yardi_data (2)'!$A:$A,$A144,'yardi_data (2)'!$G:$G)</f>
        <v>0</v>
      </c>
      <c r="H144" s="792"/>
    </row>
    <row r="145" spans="1:8">
      <c r="A145" s="182" t="s">
        <v>287</v>
      </c>
      <c r="B145" s="182" t="s">
        <v>288</v>
      </c>
      <c r="C145" s="791">
        <f>SUMIF('yardi_data (2)'!$A:$A,$A145,'yardi_data (2)'!C:C)</f>
        <v>0</v>
      </c>
      <c r="D145" s="791">
        <f>SUMIF('yardi_data (2)'!$A:$A,$A145,'yardi_data (2)'!$D:$D)</f>
        <v>0</v>
      </c>
      <c r="E145" s="791">
        <f>SUMIF('yardi_data (2)'!$A:$A,$A145,'yardi_data (2)'!$E:$E)</f>
        <v>0</v>
      </c>
      <c r="F145" s="791">
        <f>SUMIF('yardi_data (2)'!$A:$A,$A145,'yardi_data (2)'!$F:$F)</f>
        <v>0</v>
      </c>
      <c r="G145" s="791">
        <f>SUMIF('yardi_data (2)'!$A:$A,$A145,'yardi_data (2)'!$G:$G)</f>
        <v>0</v>
      </c>
      <c r="H145" s="792"/>
    </row>
    <row r="146" spans="1:8">
      <c r="A146" s="181" t="s">
        <v>289</v>
      </c>
      <c r="B146" s="181" t="s">
        <v>290</v>
      </c>
      <c r="C146" s="791">
        <f>SUMIF('yardi_data (2)'!$A:$A,$A146,'yardi_data (2)'!C:C)</f>
        <v>0</v>
      </c>
      <c r="D146" s="791">
        <f>SUMIF('yardi_data (2)'!$A:$A,$A146,'yardi_data (2)'!$D:$D)</f>
        <v>0</v>
      </c>
      <c r="E146" s="791">
        <f>SUMIF('yardi_data (2)'!$A:$A,$A146,'yardi_data (2)'!$E:$E)</f>
        <v>0</v>
      </c>
      <c r="F146" s="791">
        <f>SUMIF('yardi_data (2)'!$A:$A,$A146,'yardi_data (2)'!$F:$F)</f>
        <v>0</v>
      </c>
      <c r="G146" s="791">
        <f>SUMIF('yardi_data (2)'!$A:$A,$A146,'yardi_data (2)'!$G:$G)</f>
        <v>0</v>
      </c>
      <c r="H146" s="792"/>
    </row>
    <row r="147" spans="1:8">
      <c r="A147" s="182" t="s">
        <v>291</v>
      </c>
      <c r="B147" s="182" t="s">
        <v>292</v>
      </c>
      <c r="C147" s="791">
        <f>SUMIF('yardi_data (2)'!$A:$A,$A147,'yardi_data (2)'!C:C)</f>
        <v>0</v>
      </c>
      <c r="D147" s="791">
        <f>SUMIF('yardi_data (2)'!$A:$A,$A147,'yardi_data (2)'!$D:$D)</f>
        <v>0</v>
      </c>
      <c r="E147" s="791">
        <f>SUMIF('yardi_data (2)'!$A:$A,$A147,'yardi_data (2)'!$E:$E)</f>
        <v>0</v>
      </c>
      <c r="F147" s="791">
        <f>SUMIF('yardi_data (2)'!$A:$A,$A147,'yardi_data (2)'!$F:$F)</f>
        <v>0</v>
      </c>
      <c r="G147" s="791">
        <f>SUMIF('yardi_data (2)'!$A:$A,$A147,'yardi_data (2)'!$G:$G)</f>
        <v>0</v>
      </c>
      <c r="H147" s="792"/>
    </row>
    <row r="148" spans="1:8">
      <c r="A148" s="181" t="s">
        <v>293</v>
      </c>
      <c r="B148" s="181" t="s">
        <v>294</v>
      </c>
      <c r="C148" s="791">
        <f>SUMIF('yardi_data (2)'!$A:$A,$A148,'yardi_data (2)'!C:C)</f>
        <v>0</v>
      </c>
      <c r="D148" s="791">
        <f>SUMIF('yardi_data (2)'!$A:$A,$A148,'yardi_data (2)'!$D:$D)</f>
        <v>0</v>
      </c>
      <c r="E148" s="791">
        <f>SUMIF('yardi_data (2)'!$A:$A,$A148,'yardi_data (2)'!$E:$E)</f>
        <v>0</v>
      </c>
      <c r="F148" s="791">
        <f>SUMIF('yardi_data (2)'!$A:$A,$A148,'yardi_data (2)'!$F:$F)</f>
        <v>0</v>
      </c>
      <c r="G148" s="791">
        <f>SUMIF('yardi_data (2)'!$A:$A,$A148,'yardi_data (2)'!$G:$G)</f>
        <v>0</v>
      </c>
      <c r="H148" s="792"/>
    </row>
    <row r="149" spans="1:8">
      <c r="A149" s="182" t="s">
        <v>295</v>
      </c>
      <c r="B149" s="182" t="s">
        <v>296</v>
      </c>
      <c r="C149" s="791">
        <f>SUMIF('yardi_data (2)'!$A:$A,$A149,'yardi_data (2)'!C:C)</f>
        <v>0</v>
      </c>
      <c r="D149" s="791">
        <f>SUMIF('yardi_data (2)'!$A:$A,$A149,'yardi_data (2)'!$D:$D)</f>
        <v>0</v>
      </c>
      <c r="E149" s="791">
        <f>SUMIF('yardi_data (2)'!$A:$A,$A149,'yardi_data (2)'!$E:$E)</f>
        <v>0</v>
      </c>
      <c r="F149" s="791">
        <f>SUMIF('yardi_data (2)'!$A:$A,$A149,'yardi_data (2)'!$F:$F)</f>
        <v>0</v>
      </c>
      <c r="G149" s="791">
        <f>SUMIF('yardi_data (2)'!$A:$A,$A149,'yardi_data (2)'!$G:$G)</f>
        <v>0</v>
      </c>
      <c r="H149" s="792"/>
    </row>
    <row r="150" spans="1:8">
      <c r="A150" s="181" t="s">
        <v>297</v>
      </c>
      <c r="B150" s="181" t="s">
        <v>298</v>
      </c>
      <c r="C150" s="791">
        <f>SUMIF('yardi_data (2)'!$A:$A,$A150,'yardi_data (2)'!C:C)</f>
        <v>0</v>
      </c>
      <c r="D150" s="791">
        <f>SUMIF('yardi_data (2)'!$A:$A,$A150,'yardi_data (2)'!$D:$D)</f>
        <v>0</v>
      </c>
      <c r="E150" s="791">
        <f>SUMIF('yardi_data (2)'!$A:$A,$A150,'yardi_data (2)'!$E:$E)</f>
        <v>0</v>
      </c>
      <c r="F150" s="791">
        <f>SUMIF('yardi_data (2)'!$A:$A,$A150,'yardi_data (2)'!$F:$F)</f>
        <v>0</v>
      </c>
      <c r="G150" s="791">
        <f>SUMIF('yardi_data (2)'!$A:$A,$A150,'yardi_data (2)'!$G:$G)</f>
        <v>0</v>
      </c>
      <c r="H150" s="792"/>
    </row>
    <row r="151" spans="1:8">
      <c r="A151" s="182" t="s">
        <v>299</v>
      </c>
      <c r="B151" s="182" t="s">
        <v>300</v>
      </c>
      <c r="C151" s="791">
        <f>SUMIF('yardi_data (2)'!$A:$A,$A151,'yardi_data (2)'!C:C)</f>
        <v>0</v>
      </c>
      <c r="D151" s="791">
        <f>SUMIF('yardi_data (2)'!$A:$A,$A151,'yardi_data (2)'!$D:$D)</f>
        <v>0</v>
      </c>
      <c r="E151" s="791">
        <f>SUMIF('yardi_data (2)'!$A:$A,$A151,'yardi_data (2)'!$E:$E)</f>
        <v>0</v>
      </c>
      <c r="F151" s="791">
        <f>SUMIF('yardi_data (2)'!$A:$A,$A151,'yardi_data (2)'!$F:$F)</f>
        <v>0</v>
      </c>
      <c r="G151" s="791">
        <f>SUMIF('yardi_data (2)'!$A:$A,$A151,'yardi_data (2)'!$G:$G)</f>
        <v>0</v>
      </c>
      <c r="H151" s="792"/>
    </row>
    <row r="152" spans="1:8">
      <c r="A152" s="181" t="s">
        <v>301</v>
      </c>
      <c r="B152" s="181" t="s">
        <v>302</v>
      </c>
      <c r="C152" s="791">
        <f>SUMIF('yardi_data (2)'!$A:$A,$A152,'yardi_data (2)'!C:C)</f>
        <v>0</v>
      </c>
      <c r="D152" s="791">
        <f>SUMIF('yardi_data (2)'!$A:$A,$A152,'yardi_data (2)'!$D:$D)</f>
        <v>0</v>
      </c>
      <c r="E152" s="791">
        <f>SUMIF('yardi_data (2)'!$A:$A,$A152,'yardi_data (2)'!$E:$E)</f>
        <v>0</v>
      </c>
      <c r="F152" s="791">
        <f>SUMIF('yardi_data (2)'!$A:$A,$A152,'yardi_data (2)'!$F:$F)</f>
        <v>0</v>
      </c>
      <c r="G152" s="791">
        <f>SUMIF('yardi_data (2)'!$A:$A,$A152,'yardi_data (2)'!$G:$G)</f>
        <v>0</v>
      </c>
      <c r="H152" s="792"/>
    </row>
    <row r="153" spans="1:8">
      <c r="A153" s="182" t="s">
        <v>303</v>
      </c>
      <c r="B153" s="182" t="s">
        <v>304</v>
      </c>
      <c r="C153" s="791">
        <f>SUMIF('yardi_data (2)'!$A:$A,$A153,'yardi_data (2)'!C:C)</f>
        <v>0</v>
      </c>
      <c r="D153" s="791">
        <f>SUMIF('yardi_data (2)'!$A:$A,$A153,'yardi_data (2)'!$D:$D)</f>
        <v>0</v>
      </c>
      <c r="E153" s="791">
        <f>SUMIF('yardi_data (2)'!$A:$A,$A153,'yardi_data (2)'!$E:$E)</f>
        <v>0</v>
      </c>
      <c r="F153" s="791">
        <f>SUMIF('yardi_data (2)'!$A:$A,$A153,'yardi_data (2)'!$F:$F)</f>
        <v>0</v>
      </c>
      <c r="G153" s="791">
        <f>SUMIF('yardi_data (2)'!$A:$A,$A153,'yardi_data (2)'!$G:$G)</f>
        <v>0</v>
      </c>
      <c r="H153" s="792"/>
    </row>
    <row r="154" spans="1:8">
      <c r="A154" s="181" t="s">
        <v>305</v>
      </c>
      <c r="B154" s="181" t="s">
        <v>306</v>
      </c>
      <c r="C154" s="791">
        <f>SUMIF('yardi_data (2)'!$A:$A,$A154,'yardi_data (2)'!C:C)</f>
        <v>0</v>
      </c>
      <c r="D154" s="791">
        <f>SUMIF('yardi_data (2)'!$A:$A,$A154,'yardi_data (2)'!$D:$D)</f>
        <v>0</v>
      </c>
      <c r="E154" s="791">
        <f>SUMIF('yardi_data (2)'!$A:$A,$A154,'yardi_data (2)'!$E:$E)</f>
        <v>0</v>
      </c>
      <c r="F154" s="791">
        <f>SUMIF('yardi_data (2)'!$A:$A,$A154,'yardi_data (2)'!$F:$F)</f>
        <v>0</v>
      </c>
      <c r="G154" s="791">
        <f>SUMIF('yardi_data (2)'!$A:$A,$A154,'yardi_data (2)'!$G:$G)</f>
        <v>0</v>
      </c>
      <c r="H154" s="792"/>
    </row>
    <row r="155" spans="1:8">
      <c r="A155" s="182" t="s">
        <v>307</v>
      </c>
      <c r="B155" s="182" t="s">
        <v>308</v>
      </c>
      <c r="C155" s="791">
        <f>SUMIF('yardi_data (2)'!$A:$A,$A155,'yardi_data (2)'!C:C)</f>
        <v>0</v>
      </c>
      <c r="D155" s="791">
        <f>SUMIF('yardi_data (2)'!$A:$A,$A155,'yardi_data (2)'!$D:$D)</f>
        <v>0</v>
      </c>
      <c r="E155" s="791">
        <f>SUMIF('yardi_data (2)'!$A:$A,$A155,'yardi_data (2)'!$E:$E)</f>
        <v>0</v>
      </c>
      <c r="F155" s="791">
        <f>SUMIF('yardi_data (2)'!$A:$A,$A155,'yardi_data (2)'!$F:$F)</f>
        <v>0</v>
      </c>
      <c r="G155" s="791">
        <f>SUMIF('yardi_data (2)'!$A:$A,$A155,'yardi_data (2)'!$G:$G)</f>
        <v>0</v>
      </c>
      <c r="H155" s="792"/>
    </row>
    <row r="156" spans="1:8">
      <c r="A156" s="181" t="s">
        <v>309</v>
      </c>
      <c r="B156" s="181" t="s">
        <v>310</v>
      </c>
      <c r="C156" s="791">
        <f>SUMIF('yardi_data (2)'!$A:$A,$A156,'yardi_data (2)'!C:C)</f>
        <v>0</v>
      </c>
      <c r="D156" s="791">
        <f>SUMIF('yardi_data (2)'!$A:$A,$A156,'yardi_data (2)'!$D:$D)</f>
        <v>0</v>
      </c>
      <c r="E156" s="791">
        <f>SUMIF('yardi_data (2)'!$A:$A,$A156,'yardi_data (2)'!$E:$E)</f>
        <v>0</v>
      </c>
      <c r="F156" s="791">
        <f>SUMIF('yardi_data (2)'!$A:$A,$A156,'yardi_data (2)'!$F:$F)</f>
        <v>0</v>
      </c>
      <c r="G156" s="791">
        <f>SUMIF('yardi_data (2)'!$A:$A,$A156,'yardi_data (2)'!$G:$G)</f>
        <v>0</v>
      </c>
      <c r="H156" s="792"/>
    </row>
    <row r="157" spans="1:8">
      <c r="A157" s="182" t="s">
        <v>311</v>
      </c>
      <c r="B157" s="182" t="s">
        <v>312</v>
      </c>
      <c r="C157" s="791">
        <f>SUMIF('yardi_data (2)'!$A:$A,$A157,'yardi_data (2)'!C:C)</f>
        <v>4500</v>
      </c>
      <c r="D157" s="791">
        <f>SUMIF('yardi_data (2)'!$A:$A,$A157,'yardi_data (2)'!$D:$D)</f>
        <v>1000</v>
      </c>
      <c r="E157" s="791">
        <f>SUMIF('yardi_data (2)'!$A:$A,$A157,'yardi_data (2)'!$E:$E)</f>
        <v>0</v>
      </c>
      <c r="F157" s="791">
        <f>SUMIF('yardi_data (2)'!$A:$A,$A157,'yardi_data (2)'!$F:$F)</f>
        <v>0</v>
      </c>
      <c r="G157" s="791">
        <f>SUMIF('yardi_data (2)'!$A:$A,$A157,'yardi_data (2)'!$G:$G)</f>
        <v>0</v>
      </c>
      <c r="H157" s="792"/>
    </row>
    <row r="158" spans="1:8">
      <c r="A158" s="181" t="s">
        <v>313</v>
      </c>
      <c r="B158" s="181" t="s">
        <v>314</v>
      </c>
      <c r="C158" s="791">
        <f>SUMIF('yardi_data (2)'!$A:$A,$A158,'yardi_data (2)'!C:C)</f>
        <v>9000</v>
      </c>
      <c r="D158" s="791">
        <f>SUMIF('yardi_data (2)'!$A:$A,$A158,'yardi_data (2)'!$D:$D)</f>
        <v>4000</v>
      </c>
      <c r="E158" s="791">
        <f>SUMIF('yardi_data (2)'!$A:$A,$A158,'yardi_data (2)'!$E:$E)</f>
        <v>4000</v>
      </c>
      <c r="F158" s="791">
        <f>SUMIF('yardi_data (2)'!$A:$A,$A158,'yardi_data (2)'!$F:$F)</f>
        <v>0</v>
      </c>
      <c r="G158" s="791">
        <f>SUMIF('yardi_data (2)'!$A:$A,$A158,'yardi_data (2)'!$G:$G)</f>
        <v>0</v>
      </c>
      <c r="H158" s="792"/>
    </row>
    <row r="159" spans="1:8">
      <c r="A159" s="182" t="s">
        <v>315</v>
      </c>
      <c r="B159" s="182" t="s">
        <v>316</v>
      </c>
      <c r="C159" s="791">
        <f>SUMIF('yardi_data (2)'!$A:$A,$A159,'yardi_data (2)'!C:C)</f>
        <v>8500</v>
      </c>
      <c r="D159" s="791">
        <f>SUMIF('yardi_data (2)'!$A:$A,$A159,'yardi_data (2)'!$D:$D)</f>
        <v>1000</v>
      </c>
      <c r="E159" s="791">
        <f>SUMIF('yardi_data (2)'!$A:$A,$A159,'yardi_data (2)'!$E:$E)</f>
        <v>7000</v>
      </c>
      <c r="F159" s="791">
        <f>SUMIF('yardi_data (2)'!$A:$A,$A159,'yardi_data (2)'!$F:$F)</f>
        <v>0</v>
      </c>
      <c r="G159" s="791">
        <f>SUMIF('yardi_data (2)'!$A:$A,$A159,'yardi_data (2)'!$G:$G)</f>
        <v>0</v>
      </c>
      <c r="H159" s="792"/>
    </row>
    <row r="160" spans="1:8">
      <c r="A160" s="181" t="s">
        <v>317</v>
      </c>
      <c r="B160" s="181" t="s">
        <v>318</v>
      </c>
      <c r="C160" s="791">
        <f>SUMIF('yardi_data (2)'!$A:$A,$A160,'yardi_data (2)'!C:C)</f>
        <v>0</v>
      </c>
      <c r="D160" s="791">
        <f>SUMIF('yardi_data (2)'!$A:$A,$A160,'yardi_data (2)'!$D:$D)</f>
        <v>0</v>
      </c>
      <c r="E160" s="791">
        <f>SUMIF('yardi_data (2)'!$A:$A,$A160,'yardi_data (2)'!$E:$E)</f>
        <v>0</v>
      </c>
      <c r="F160" s="791">
        <f>SUMIF('yardi_data (2)'!$A:$A,$A160,'yardi_data (2)'!$F:$F)</f>
        <v>0</v>
      </c>
      <c r="G160" s="791">
        <f>SUMIF('yardi_data (2)'!$A:$A,$A160,'yardi_data (2)'!$G:$G)</f>
        <v>0</v>
      </c>
      <c r="H160" s="792"/>
    </row>
    <row r="161" spans="1:8">
      <c r="A161" s="182" t="s">
        <v>319</v>
      </c>
      <c r="B161" s="182" t="s">
        <v>320</v>
      </c>
      <c r="C161" s="791">
        <f>SUMIF('yardi_data (2)'!$A:$A,$A161,'yardi_data (2)'!C:C)</f>
        <v>0</v>
      </c>
      <c r="D161" s="791">
        <f>SUMIF('yardi_data (2)'!$A:$A,$A161,'yardi_data (2)'!$D:$D)</f>
        <v>0</v>
      </c>
      <c r="E161" s="791">
        <f>SUMIF('yardi_data (2)'!$A:$A,$A161,'yardi_data (2)'!$E:$E)</f>
        <v>0</v>
      </c>
      <c r="F161" s="791">
        <f>SUMIF('yardi_data (2)'!$A:$A,$A161,'yardi_data (2)'!$F:$F)</f>
        <v>0</v>
      </c>
      <c r="G161" s="791">
        <f>SUMIF('yardi_data (2)'!$A:$A,$A161,'yardi_data (2)'!$G:$G)</f>
        <v>0</v>
      </c>
      <c r="H161" s="792"/>
    </row>
    <row r="162" spans="1:8">
      <c r="A162" s="181" t="s">
        <v>321</v>
      </c>
      <c r="B162" s="181" t="s">
        <v>322</v>
      </c>
      <c r="C162" s="791">
        <f>SUMIF('yardi_data (2)'!$A:$A,$A162,'yardi_data (2)'!C:C)</f>
        <v>0</v>
      </c>
      <c r="D162" s="791">
        <f>SUMIF('yardi_data (2)'!$A:$A,$A162,'yardi_data (2)'!$D:$D)</f>
        <v>0</v>
      </c>
      <c r="E162" s="791">
        <f>SUMIF('yardi_data (2)'!$A:$A,$A162,'yardi_data (2)'!$E:$E)</f>
        <v>0</v>
      </c>
      <c r="F162" s="791">
        <f>SUMIF('yardi_data (2)'!$A:$A,$A162,'yardi_data (2)'!$F:$F)</f>
        <v>0</v>
      </c>
      <c r="G162" s="791">
        <f>SUMIF('yardi_data (2)'!$A:$A,$A162,'yardi_data (2)'!$G:$G)</f>
        <v>0</v>
      </c>
      <c r="H162" s="792"/>
    </row>
    <row r="163" spans="1:8">
      <c r="A163" s="182" t="s">
        <v>323</v>
      </c>
      <c r="B163" s="182" t="s">
        <v>324</v>
      </c>
      <c r="C163" s="791">
        <f>SUMIF('yardi_data (2)'!$A:$A,$A163,'yardi_data (2)'!C:C)</f>
        <v>188474.23</v>
      </c>
      <c r="D163" s="791">
        <f>SUMIF('yardi_data (2)'!$A:$A,$A163,'yardi_data (2)'!$D:$D)</f>
        <v>194437.11</v>
      </c>
      <c r="E163" s="791">
        <f>SUMIF('yardi_data (2)'!$A:$A,$A163,'yardi_data (2)'!$E:$E)</f>
        <v>135585.94</v>
      </c>
      <c r="F163" s="791">
        <f>SUMIF('yardi_data (2)'!$A:$A,$A163,'yardi_data (2)'!$F:$F)</f>
        <v>135585.94</v>
      </c>
      <c r="G163" s="791">
        <f>SUMIF('yardi_data (2)'!$A:$A,$A163,'yardi_data (2)'!$G:$G)</f>
        <v>203932.86</v>
      </c>
      <c r="H163" s="792"/>
    </row>
    <row r="164" spans="1:8">
      <c r="A164" s="181" t="s">
        <v>325</v>
      </c>
      <c r="B164" s="181" t="s">
        <v>326</v>
      </c>
      <c r="C164" s="791">
        <f>SUMIF('yardi_data (2)'!$A:$A,$A164,'yardi_data (2)'!C:C)</f>
        <v>1250</v>
      </c>
      <c r="D164" s="791">
        <f>SUMIF('yardi_data (2)'!$A:$A,$A164,'yardi_data (2)'!$D:$D)</f>
        <v>1250</v>
      </c>
      <c r="E164" s="791">
        <f>SUMIF('yardi_data (2)'!$A:$A,$A164,'yardi_data (2)'!$E:$E)</f>
        <v>0</v>
      </c>
      <c r="F164" s="791">
        <f>SUMIF('yardi_data (2)'!$A:$A,$A164,'yardi_data (2)'!$F:$F)</f>
        <v>1250</v>
      </c>
      <c r="G164" s="791">
        <f>SUMIF('yardi_data (2)'!$A:$A,$A164,'yardi_data (2)'!$G:$G)</f>
        <v>1250</v>
      </c>
      <c r="H164" s="792"/>
    </row>
    <row r="165" spans="1:8">
      <c r="A165" s="182" t="s">
        <v>327</v>
      </c>
      <c r="B165" s="182" t="s">
        <v>328</v>
      </c>
      <c r="C165" s="791">
        <f>SUMIF('yardi_data (2)'!$A:$A,$A165,'yardi_data (2)'!C:C)</f>
        <v>0</v>
      </c>
      <c r="D165" s="791">
        <f>SUMIF('yardi_data (2)'!$A:$A,$A165,'yardi_data (2)'!$D:$D)</f>
        <v>0</v>
      </c>
      <c r="E165" s="791">
        <f>SUMIF('yardi_data (2)'!$A:$A,$A165,'yardi_data (2)'!$E:$E)</f>
        <v>0</v>
      </c>
      <c r="F165" s="791">
        <f>SUMIF('yardi_data (2)'!$A:$A,$A165,'yardi_data (2)'!$F:$F)</f>
        <v>0</v>
      </c>
      <c r="G165" s="791">
        <f>SUMIF('yardi_data (2)'!$A:$A,$A165,'yardi_data (2)'!$G:$G)</f>
        <v>0</v>
      </c>
      <c r="H165" s="792"/>
    </row>
    <row r="166" spans="1:8">
      <c r="A166" s="181" t="s">
        <v>329</v>
      </c>
      <c r="B166" s="181" t="s">
        <v>330</v>
      </c>
      <c r="C166" s="791">
        <f>SUMIF('yardi_data (2)'!$A:$A,$A166,'yardi_data (2)'!C:C)</f>
        <v>0</v>
      </c>
      <c r="D166" s="791">
        <f>SUMIF('yardi_data (2)'!$A:$A,$A166,'yardi_data (2)'!$D:$D)</f>
        <v>0</v>
      </c>
      <c r="E166" s="791">
        <f>SUMIF('yardi_data (2)'!$A:$A,$A166,'yardi_data (2)'!$E:$E)</f>
        <v>0</v>
      </c>
      <c r="F166" s="791">
        <f>SUMIF('yardi_data (2)'!$A:$A,$A166,'yardi_data (2)'!$F:$F)</f>
        <v>0</v>
      </c>
      <c r="G166" s="791">
        <f>SUMIF('yardi_data (2)'!$A:$A,$A166,'yardi_data (2)'!$G:$G)</f>
        <v>0</v>
      </c>
      <c r="H166" s="792"/>
    </row>
    <row r="167" spans="1:8">
      <c r="A167" s="182" t="s">
        <v>331</v>
      </c>
      <c r="B167" s="182" t="s">
        <v>332</v>
      </c>
      <c r="C167" s="791">
        <f>SUMIF('yardi_data (2)'!$A:$A,$A167,'yardi_data (2)'!C:C)</f>
        <v>0</v>
      </c>
      <c r="D167" s="791">
        <f>SUMIF('yardi_data (2)'!$A:$A,$A167,'yardi_data (2)'!$D:$D)</f>
        <v>0</v>
      </c>
      <c r="E167" s="791">
        <f>SUMIF('yardi_data (2)'!$A:$A,$A167,'yardi_data (2)'!$E:$E)</f>
        <v>0</v>
      </c>
      <c r="F167" s="791">
        <f>SUMIF('yardi_data (2)'!$A:$A,$A167,'yardi_data (2)'!$F:$F)</f>
        <v>0</v>
      </c>
      <c r="G167" s="791">
        <f>SUMIF('yardi_data (2)'!$A:$A,$A167,'yardi_data (2)'!$G:$G)</f>
        <v>0</v>
      </c>
      <c r="H167" s="792"/>
    </row>
    <row r="168" spans="1:8">
      <c r="A168" s="181" t="s">
        <v>333</v>
      </c>
      <c r="B168" s="181" t="s">
        <v>334</v>
      </c>
      <c r="C168" s="791">
        <f>SUMIF('yardi_data (2)'!$A:$A,$A168,'yardi_data (2)'!C:C)</f>
        <v>0</v>
      </c>
      <c r="D168" s="791">
        <f>SUMIF('yardi_data (2)'!$A:$A,$A168,'yardi_data (2)'!$D:$D)</f>
        <v>0</v>
      </c>
      <c r="E168" s="791">
        <f>SUMIF('yardi_data (2)'!$A:$A,$A168,'yardi_data (2)'!$E:$E)</f>
        <v>0</v>
      </c>
      <c r="F168" s="791">
        <f>SUMIF('yardi_data (2)'!$A:$A,$A168,'yardi_data (2)'!$F:$F)</f>
        <v>0</v>
      </c>
      <c r="G168" s="791">
        <f>SUMIF('yardi_data (2)'!$A:$A,$A168,'yardi_data (2)'!$G:$G)</f>
        <v>0</v>
      </c>
      <c r="H168" s="792"/>
    </row>
    <row r="169" spans="1:8">
      <c r="A169" s="182" t="s">
        <v>335</v>
      </c>
      <c r="B169" s="182" t="s">
        <v>336</v>
      </c>
      <c r="C169" s="791">
        <f>SUMIF('yardi_data (2)'!$A:$A,$A169,'yardi_data (2)'!C:C)</f>
        <v>0</v>
      </c>
      <c r="D169" s="791">
        <f>SUMIF('yardi_data (2)'!$A:$A,$A169,'yardi_data (2)'!$D:$D)</f>
        <v>0</v>
      </c>
      <c r="E169" s="791">
        <f>SUMIF('yardi_data (2)'!$A:$A,$A169,'yardi_data (2)'!$E:$E)</f>
        <v>0</v>
      </c>
      <c r="F169" s="791">
        <f>SUMIF('yardi_data (2)'!$A:$A,$A169,'yardi_data (2)'!$F:$F)</f>
        <v>0</v>
      </c>
      <c r="G169" s="791">
        <f>SUMIF('yardi_data (2)'!$A:$A,$A169,'yardi_data (2)'!$G:$G)</f>
        <v>0</v>
      </c>
      <c r="H169" s="792"/>
    </row>
    <row r="170" spans="1:8">
      <c r="A170" s="181" t="s">
        <v>337</v>
      </c>
      <c r="B170" s="181" t="s">
        <v>338</v>
      </c>
      <c r="C170" s="791">
        <f>SUMIF('yardi_data (2)'!$A:$A,$A170,'yardi_data (2)'!C:C)</f>
        <v>0</v>
      </c>
      <c r="D170" s="791">
        <f>SUMIF('yardi_data (2)'!$A:$A,$A170,'yardi_data (2)'!$D:$D)</f>
        <v>0</v>
      </c>
      <c r="E170" s="791">
        <f>SUMIF('yardi_data (2)'!$A:$A,$A170,'yardi_data (2)'!$E:$E)</f>
        <v>0</v>
      </c>
      <c r="F170" s="791">
        <f>SUMIF('yardi_data (2)'!$A:$A,$A170,'yardi_data (2)'!$F:$F)</f>
        <v>0</v>
      </c>
      <c r="G170" s="791">
        <f>SUMIF('yardi_data (2)'!$A:$A,$A170,'yardi_data (2)'!$G:$G)</f>
        <v>0</v>
      </c>
      <c r="H170" s="792"/>
    </row>
    <row r="171" spans="1:8">
      <c r="A171" s="182" t="s">
        <v>339</v>
      </c>
      <c r="B171" s="182" t="s">
        <v>340</v>
      </c>
      <c r="C171" s="791">
        <f>SUMIF('yardi_data (2)'!$A:$A,$A171,'yardi_data (2)'!C:C)</f>
        <v>0</v>
      </c>
      <c r="D171" s="791">
        <f>SUMIF('yardi_data (2)'!$A:$A,$A171,'yardi_data (2)'!$D:$D)</f>
        <v>0</v>
      </c>
      <c r="E171" s="791">
        <f>SUMIF('yardi_data (2)'!$A:$A,$A171,'yardi_data (2)'!$E:$E)</f>
        <v>0</v>
      </c>
      <c r="F171" s="791">
        <f>SUMIF('yardi_data (2)'!$A:$A,$A171,'yardi_data (2)'!$F:$F)</f>
        <v>0</v>
      </c>
      <c r="G171" s="791">
        <f>SUMIF('yardi_data (2)'!$A:$A,$A171,'yardi_data (2)'!$G:$G)</f>
        <v>0</v>
      </c>
      <c r="H171" s="792"/>
    </row>
    <row r="172" spans="1:8">
      <c r="A172" s="181" t="s">
        <v>341</v>
      </c>
      <c r="B172" s="181" t="s">
        <v>342</v>
      </c>
      <c r="C172" s="791">
        <f>SUMIF('yardi_data (2)'!$A:$A,$A172,'yardi_data (2)'!C:C)</f>
        <v>0</v>
      </c>
      <c r="D172" s="791">
        <f>SUMIF('yardi_data (2)'!$A:$A,$A172,'yardi_data (2)'!$D:$D)</f>
        <v>0</v>
      </c>
      <c r="E172" s="791">
        <f>SUMIF('yardi_data (2)'!$A:$A,$A172,'yardi_data (2)'!$E:$E)</f>
        <v>0</v>
      </c>
      <c r="F172" s="791">
        <f>SUMIF('yardi_data (2)'!$A:$A,$A172,'yardi_data (2)'!$F:$F)</f>
        <v>0</v>
      </c>
      <c r="G172" s="791">
        <f>SUMIF('yardi_data (2)'!$A:$A,$A172,'yardi_data (2)'!$G:$G)</f>
        <v>0</v>
      </c>
      <c r="H172" s="792"/>
    </row>
    <row r="173" spans="1:8">
      <c r="A173" s="182" t="s">
        <v>343</v>
      </c>
      <c r="B173" s="182" t="s">
        <v>344</v>
      </c>
      <c r="C173" s="791">
        <f>SUMIF('yardi_data (2)'!$A:$A,$A173,'yardi_data (2)'!C:C)</f>
        <v>0</v>
      </c>
      <c r="D173" s="791">
        <f>SUMIF('yardi_data (2)'!$A:$A,$A173,'yardi_data (2)'!$D:$D)</f>
        <v>0</v>
      </c>
      <c r="E173" s="791">
        <f>SUMIF('yardi_data (2)'!$A:$A,$A173,'yardi_data (2)'!$E:$E)</f>
        <v>0</v>
      </c>
      <c r="F173" s="791">
        <f>SUMIF('yardi_data (2)'!$A:$A,$A173,'yardi_data (2)'!$F:$F)</f>
        <v>0</v>
      </c>
      <c r="G173" s="791">
        <f>SUMIF('yardi_data (2)'!$A:$A,$A173,'yardi_data (2)'!$G:$G)</f>
        <v>0</v>
      </c>
      <c r="H173" s="792"/>
    </row>
    <row r="174" spans="1:8">
      <c r="A174" s="181" t="s">
        <v>345</v>
      </c>
      <c r="B174" s="181" t="s">
        <v>346</v>
      </c>
      <c r="C174" s="791">
        <f>SUMIF('yardi_data (2)'!$A:$A,$A174,'yardi_data (2)'!C:C)</f>
        <v>0</v>
      </c>
      <c r="D174" s="791">
        <f>SUMIF('yardi_data (2)'!$A:$A,$A174,'yardi_data (2)'!$D:$D)</f>
        <v>0</v>
      </c>
      <c r="E174" s="791">
        <f>SUMIF('yardi_data (2)'!$A:$A,$A174,'yardi_data (2)'!$E:$E)</f>
        <v>0</v>
      </c>
      <c r="F174" s="791">
        <f>SUMIF('yardi_data (2)'!$A:$A,$A174,'yardi_data (2)'!$F:$F)</f>
        <v>0</v>
      </c>
      <c r="G174" s="791">
        <f>SUMIF('yardi_data (2)'!$A:$A,$A174,'yardi_data (2)'!$G:$G)</f>
        <v>0</v>
      </c>
      <c r="H174" s="792"/>
    </row>
    <row r="175" spans="1:8">
      <c r="A175" s="182" t="s">
        <v>347</v>
      </c>
      <c r="B175" s="182" t="s">
        <v>348</v>
      </c>
      <c r="C175" s="791">
        <f>SUMIF('yardi_data (2)'!$A:$A,$A175,'yardi_data (2)'!C:C)</f>
        <v>0</v>
      </c>
      <c r="D175" s="791">
        <f>SUMIF('yardi_data (2)'!$A:$A,$A175,'yardi_data (2)'!$D:$D)</f>
        <v>0</v>
      </c>
      <c r="E175" s="791">
        <f>SUMIF('yardi_data (2)'!$A:$A,$A175,'yardi_data (2)'!$E:$E)</f>
        <v>0</v>
      </c>
      <c r="F175" s="791">
        <f>SUMIF('yardi_data (2)'!$A:$A,$A175,'yardi_data (2)'!$F:$F)</f>
        <v>0</v>
      </c>
      <c r="G175" s="791">
        <f>SUMIF('yardi_data (2)'!$A:$A,$A175,'yardi_data (2)'!$G:$G)</f>
        <v>0</v>
      </c>
      <c r="H175" s="792"/>
    </row>
    <row r="176" spans="1:8">
      <c r="A176" s="181" t="s">
        <v>349</v>
      </c>
      <c r="B176" s="181" t="s">
        <v>350</v>
      </c>
      <c r="C176" s="791">
        <f>SUMIF('yardi_data (2)'!$A:$A,$A176,'yardi_data (2)'!C:C)</f>
        <v>0</v>
      </c>
      <c r="D176" s="791">
        <f>SUMIF('yardi_data (2)'!$A:$A,$A176,'yardi_data (2)'!$D:$D)</f>
        <v>0</v>
      </c>
      <c r="E176" s="791">
        <f>SUMIF('yardi_data (2)'!$A:$A,$A176,'yardi_data (2)'!$E:$E)</f>
        <v>0</v>
      </c>
      <c r="F176" s="791">
        <f>SUMIF('yardi_data (2)'!$A:$A,$A176,'yardi_data (2)'!$F:$F)</f>
        <v>0</v>
      </c>
      <c r="G176" s="791">
        <f>SUMIF('yardi_data (2)'!$A:$A,$A176,'yardi_data (2)'!$G:$G)</f>
        <v>0</v>
      </c>
      <c r="H176" s="792"/>
    </row>
    <row r="177" spans="1:8">
      <c r="A177" s="182" t="s">
        <v>351</v>
      </c>
      <c r="B177" s="182" t="s">
        <v>352</v>
      </c>
      <c r="C177" s="791">
        <f>SUMIF('yardi_data (2)'!$A:$A,$A177,'yardi_data (2)'!C:C)</f>
        <v>0</v>
      </c>
      <c r="D177" s="791">
        <f>SUMIF('yardi_data (2)'!$A:$A,$A177,'yardi_data (2)'!$D:$D)</f>
        <v>0</v>
      </c>
      <c r="E177" s="791">
        <f>SUMIF('yardi_data (2)'!$A:$A,$A177,'yardi_data (2)'!$E:$E)</f>
        <v>0</v>
      </c>
      <c r="F177" s="791">
        <f>SUMIF('yardi_data (2)'!$A:$A,$A177,'yardi_data (2)'!$F:$F)</f>
        <v>0</v>
      </c>
      <c r="G177" s="791">
        <f>SUMIF('yardi_data (2)'!$A:$A,$A177,'yardi_data (2)'!$G:$G)</f>
        <v>0</v>
      </c>
      <c r="H177" s="792"/>
    </row>
    <row r="178" spans="1:8">
      <c r="A178" s="181" t="s">
        <v>353</v>
      </c>
      <c r="B178" s="181" t="s">
        <v>354</v>
      </c>
      <c r="C178" s="791">
        <f>SUMIF('yardi_data (2)'!$A:$A,$A178,'yardi_data (2)'!C:C)</f>
        <v>0</v>
      </c>
      <c r="D178" s="791">
        <f>SUMIF('yardi_data (2)'!$A:$A,$A178,'yardi_data (2)'!$D:$D)</f>
        <v>0</v>
      </c>
      <c r="E178" s="791">
        <f>SUMIF('yardi_data (2)'!$A:$A,$A178,'yardi_data (2)'!$E:$E)</f>
        <v>0</v>
      </c>
      <c r="F178" s="791">
        <f>SUMIF('yardi_data (2)'!$A:$A,$A178,'yardi_data (2)'!$F:$F)</f>
        <v>0</v>
      </c>
      <c r="G178" s="791">
        <f>SUMIF('yardi_data (2)'!$A:$A,$A178,'yardi_data (2)'!$G:$G)</f>
        <v>0</v>
      </c>
      <c r="H178" s="792"/>
    </row>
    <row r="179" spans="1:8">
      <c r="A179" s="182" t="s">
        <v>355</v>
      </c>
      <c r="B179" s="182" t="s">
        <v>356</v>
      </c>
      <c r="C179" s="791">
        <f>SUMIF('yardi_data (2)'!$A:$A,$A179,'yardi_data (2)'!C:C)</f>
        <v>0</v>
      </c>
      <c r="D179" s="791">
        <f>SUMIF('yardi_data (2)'!$A:$A,$A179,'yardi_data (2)'!$D:$D)</f>
        <v>0</v>
      </c>
      <c r="E179" s="791">
        <f>SUMIF('yardi_data (2)'!$A:$A,$A179,'yardi_data (2)'!$E:$E)</f>
        <v>0</v>
      </c>
      <c r="F179" s="791">
        <f>SUMIF('yardi_data (2)'!$A:$A,$A179,'yardi_data (2)'!$F:$F)</f>
        <v>0</v>
      </c>
      <c r="G179" s="791">
        <f>SUMIF('yardi_data (2)'!$A:$A,$A179,'yardi_data (2)'!$G:$G)</f>
        <v>0</v>
      </c>
      <c r="H179" s="792"/>
    </row>
    <row r="180" spans="1:8">
      <c r="A180" s="181" t="s">
        <v>357</v>
      </c>
      <c r="B180" s="181" t="s">
        <v>358</v>
      </c>
      <c r="C180" s="791">
        <f>SUMIF('yardi_data (2)'!$A:$A,$A180,'yardi_data (2)'!C:C)</f>
        <v>0</v>
      </c>
      <c r="D180" s="791">
        <f>SUMIF('yardi_data (2)'!$A:$A,$A180,'yardi_data (2)'!$D:$D)</f>
        <v>0</v>
      </c>
      <c r="E180" s="791">
        <f>SUMIF('yardi_data (2)'!$A:$A,$A180,'yardi_data (2)'!$E:$E)</f>
        <v>0</v>
      </c>
      <c r="F180" s="791">
        <f>SUMIF('yardi_data (2)'!$A:$A,$A180,'yardi_data (2)'!$F:$F)</f>
        <v>0</v>
      </c>
      <c r="G180" s="791">
        <f>SUMIF('yardi_data (2)'!$A:$A,$A180,'yardi_data (2)'!$G:$G)</f>
        <v>0</v>
      </c>
      <c r="H180" s="792"/>
    </row>
    <row r="181" spans="1:8">
      <c r="A181" s="182" t="s">
        <v>359</v>
      </c>
      <c r="B181" s="182" t="s">
        <v>360</v>
      </c>
      <c r="C181" s="791">
        <f>SUMIF('yardi_data (2)'!$A:$A,$A181,'yardi_data (2)'!C:C)</f>
        <v>0</v>
      </c>
      <c r="D181" s="791">
        <f>SUMIF('yardi_data (2)'!$A:$A,$A181,'yardi_data (2)'!$D:$D)</f>
        <v>0</v>
      </c>
      <c r="E181" s="791">
        <f>SUMIF('yardi_data (2)'!$A:$A,$A181,'yardi_data (2)'!$E:$E)</f>
        <v>0</v>
      </c>
      <c r="F181" s="791">
        <f>SUMIF('yardi_data (2)'!$A:$A,$A181,'yardi_data (2)'!$F:$F)</f>
        <v>0</v>
      </c>
      <c r="G181" s="791">
        <f>SUMIF('yardi_data (2)'!$A:$A,$A181,'yardi_data (2)'!$G:$G)</f>
        <v>0</v>
      </c>
      <c r="H181" s="792"/>
    </row>
    <row r="182" spans="1:8">
      <c r="A182" s="181" t="s">
        <v>361</v>
      </c>
      <c r="B182" s="181" t="s">
        <v>362</v>
      </c>
      <c r="C182" s="791">
        <f>SUMIF('yardi_data (2)'!$A:$A,$A182,'yardi_data (2)'!C:C)</f>
        <v>0</v>
      </c>
      <c r="D182" s="791">
        <f>SUMIF('yardi_data (2)'!$A:$A,$A182,'yardi_data (2)'!$D:$D)</f>
        <v>0</v>
      </c>
      <c r="E182" s="791">
        <f>SUMIF('yardi_data (2)'!$A:$A,$A182,'yardi_data (2)'!$E:$E)</f>
        <v>0</v>
      </c>
      <c r="F182" s="791">
        <f>SUMIF('yardi_data (2)'!$A:$A,$A182,'yardi_data (2)'!$F:$F)</f>
        <v>0</v>
      </c>
      <c r="G182" s="791">
        <f>SUMIF('yardi_data (2)'!$A:$A,$A182,'yardi_data (2)'!$G:$G)</f>
        <v>0</v>
      </c>
      <c r="H182" s="792"/>
    </row>
    <row r="183" spans="1:8">
      <c r="A183" s="182" t="s">
        <v>363</v>
      </c>
      <c r="B183" s="182" t="s">
        <v>364</v>
      </c>
      <c r="C183" s="791">
        <f>SUMIF('yardi_data (2)'!$A:$A,$A183,'yardi_data (2)'!C:C)</f>
        <v>0</v>
      </c>
      <c r="D183" s="791">
        <f>SUMIF('yardi_data (2)'!$A:$A,$A183,'yardi_data (2)'!$D:$D)</f>
        <v>0</v>
      </c>
      <c r="E183" s="791">
        <f>SUMIF('yardi_data (2)'!$A:$A,$A183,'yardi_data (2)'!$E:$E)</f>
        <v>0</v>
      </c>
      <c r="F183" s="791">
        <f>SUMIF('yardi_data (2)'!$A:$A,$A183,'yardi_data (2)'!$F:$F)</f>
        <v>0</v>
      </c>
      <c r="G183" s="791">
        <f>SUMIF('yardi_data (2)'!$A:$A,$A183,'yardi_data (2)'!$G:$G)</f>
        <v>0</v>
      </c>
      <c r="H183" s="792"/>
    </row>
    <row r="184" spans="1:8">
      <c r="A184" s="181" t="s">
        <v>365</v>
      </c>
      <c r="B184" s="181" t="s">
        <v>366</v>
      </c>
      <c r="C184" s="791">
        <f>SUMIF('yardi_data (2)'!$A:$A,$A184,'yardi_data (2)'!C:C)</f>
        <v>0</v>
      </c>
      <c r="D184" s="791">
        <f>SUMIF('yardi_data (2)'!$A:$A,$A184,'yardi_data (2)'!$D:$D)</f>
        <v>0</v>
      </c>
      <c r="E184" s="791">
        <f>SUMIF('yardi_data (2)'!$A:$A,$A184,'yardi_data (2)'!$E:$E)</f>
        <v>0</v>
      </c>
      <c r="F184" s="791">
        <f>SUMIF('yardi_data (2)'!$A:$A,$A184,'yardi_data (2)'!$F:$F)</f>
        <v>0</v>
      </c>
      <c r="G184" s="791">
        <f>SUMIF('yardi_data (2)'!$A:$A,$A184,'yardi_data (2)'!$G:$G)</f>
        <v>0</v>
      </c>
      <c r="H184" s="792"/>
    </row>
    <row r="185" spans="1:8">
      <c r="A185" s="182" t="s">
        <v>367</v>
      </c>
      <c r="B185" s="182" t="s">
        <v>368</v>
      </c>
      <c r="C185" s="791">
        <f>SUMIF('yardi_data (2)'!$A:$A,$A185,'yardi_data (2)'!C:C)</f>
        <v>0</v>
      </c>
      <c r="D185" s="791">
        <f>SUMIF('yardi_data (2)'!$A:$A,$A185,'yardi_data (2)'!$D:$D)</f>
        <v>0</v>
      </c>
      <c r="E185" s="791">
        <f>SUMIF('yardi_data (2)'!$A:$A,$A185,'yardi_data (2)'!$E:$E)</f>
        <v>0</v>
      </c>
      <c r="F185" s="791">
        <f>SUMIF('yardi_data (2)'!$A:$A,$A185,'yardi_data (2)'!$F:$F)</f>
        <v>0</v>
      </c>
      <c r="G185" s="791">
        <f>SUMIF('yardi_data (2)'!$A:$A,$A185,'yardi_data (2)'!$G:$G)</f>
        <v>0</v>
      </c>
      <c r="H185" s="792"/>
    </row>
    <row r="186" spans="1:8">
      <c r="A186" s="181" t="s">
        <v>369</v>
      </c>
      <c r="B186" s="181" t="s">
        <v>370</v>
      </c>
      <c r="C186" s="791">
        <f>SUMIF('yardi_data (2)'!$A:$A,$A186,'yardi_data (2)'!C:C)</f>
        <v>0</v>
      </c>
      <c r="D186" s="791">
        <f>SUMIF('yardi_data (2)'!$A:$A,$A186,'yardi_data (2)'!$D:$D)</f>
        <v>0</v>
      </c>
      <c r="E186" s="791">
        <f>SUMIF('yardi_data (2)'!$A:$A,$A186,'yardi_data (2)'!$E:$E)</f>
        <v>0</v>
      </c>
      <c r="F186" s="791">
        <f>SUMIF('yardi_data (2)'!$A:$A,$A186,'yardi_data (2)'!$F:$F)</f>
        <v>0</v>
      </c>
      <c r="G186" s="791">
        <f>SUMIF('yardi_data (2)'!$A:$A,$A186,'yardi_data (2)'!$G:$G)</f>
        <v>0</v>
      </c>
      <c r="H186" s="792"/>
    </row>
    <row r="187" spans="1:8">
      <c r="A187" s="182" t="s">
        <v>371</v>
      </c>
      <c r="B187" s="182" t="s">
        <v>372</v>
      </c>
      <c r="C187" s="791">
        <f>SUMIF('yardi_data (2)'!$A:$A,$A187,'yardi_data (2)'!C:C)</f>
        <v>0</v>
      </c>
      <c r="D187" s="791">
        <f>SUMIF('yardi_data (2)'!$A:$A,$A187,'yardi_data (2)'!$D:$D)</f>
        <v>0</v>
      </c>
      <c r="E187" s="791">
        <f>SUMIF('yardi_data (2)'!$A:$A,$A187,'yardi_data (2)'!$E:$E)</f>
        <v>0</v>
      </c>
      <c r="F187" s="791">
        <f>SUMIF('yardi_data (2)'!$A:$A,$A187,'yardi_data (2)'!$F:$F)</f>
        <v>0</v>
      </c>
      <c r="G187" s="791">
        <f>SUMIF('yardi_data (2)'!$A:$A,$A187,'yardi_data (2)'!$G:$G)</f>
        <v>0</v>
      </c>
      <c r="H187" s="792"/>
    </row>
    <row r="188" spans="1:8">
      <c r="A188" s="181" t="s">
        <v>373</v>
      </c>
      <c r="B188" s="181" t="s">
        <v>374</v>
      </c>
      <c r="C188" s="791">
        <f>SUMIF('yardi_data (2)'!$A:$A,$A188,'yardi_data (2)'!C:C)</f>
        <v>0</v>
      </c>
      <c r="D188" s="791">
        <f>SUMIF('yardi_data (2)'!$A:$A,$A188,'yardi_data (2)'!$D:$D)</f>
        <v>0</v>
      </c>
      <c r="E188" s="791">
        <f>SUMIF('yardi_data (2)'!$A:$A,$A188,'yardi_data (2)'!$E:$E)</f>
        <v>0</v>
      </c>
      <c r="F188" s="791">
        <f>SUMIF('yardi_data (2)'!$A:$A,$A188,'yardi_data (2)'!$F:$F)</f>
        <v>0</v>
      </c>
      <c r="G188" s="791">
        <f>SUMIF('yardi_data (2)'!$A:$A,$A188,'yardi_data (2)'!$G:$G)</f>
        <v>0</v>
      </c>
      <c r="H188" s="792"/>
    </row>
    <row r="189" spans="1:8">
      <c r="A189" s="182" t="s">
        <v>375</v>
      </c>
      <c r="B189" s="182" t="s">
        <v>376</v>
      </c>
      <c r="C189" s="791">
        <f>SUMIF('yardi_data (2)'!$A:$A,$A189,'yardi_data (2)'!C:C)</f>
        <v>0</v>
      </c>
      <c r="D189" s="791">
        <f>SUMIF('yardi_data (2)'!$A:$A,$A189,'yardi_data (2)'!$D:$D)</f>
        <v>0</v>
      </c>
      <c r="E189" s="791">
        <f>SUMIF('yardi_data (2)'!$A:$A,$A189,'yardi_data (2)'!$E:$E)</f>
        <v>0</v>
      </c>
      <c r="F189" s="791">
        <f>SUMIF('yardi_data (2)'!$A:$A,$A189,'yardi_data (2)'!$F:$F)</f>
        <v>0</v>
      </c>
      <c r="G189" s="791">
        <f>SUMIF('yardi_data (2)'!$A:$A,$A189,'yardi_data (2)'!$G:$G)</f>
        <v>0</v>
      </c>
      <c r="H189" s="792"/>
    </row>
    <row r="190" spans="1:8">
      <c r="A190" s="181" t="s">
        <v>377</v>
      </c>
      <c r="B190" s="181" t="s">
        <v>378</v>
      </c>
      <c r="C190" s="791">
        <f>SUMIF('yardi_data (2)'!$A:$A,$A190,'yardi_data (2)'!C:C)</f>
        <v>0</v>
      </c>
      <c r="D190" s="791">
        <f>SUMIF('yardi_data (2)'!$A:$A,$A190,'yardi_data (2)'!$D:$D)</f>
        <v>0</v>
      </c>
      <c r="E190" s="791">
        <f>SUMIF('yardi_data (2)'!$A:$A,$A190,'yardi_data (2)'!$E:$E)</f>
        <v>0</v>
      </c>
      <c r="F190" s="791">
        <f>SUMIF('yardi_data (2)'!$A:$A,$A190,'yardi_data (2)'!$F:$F)</f>
        <v>0</v>
      </c>
      <c r="G190" s="791">
        <f>SUMIF('yardi_data (2)'!$A:$A,$A190,'yardi_data (2)'!$G:$G)</f>
        <v>0</v>
      </c>
      <c r="H190" s="792"/>
    </row>
    <row r="191" spans="1:8">
      <c r="A191" s="182" t="s">
        <v>379</v>
      </c>
      <c r="B191" s="182" t="s">
        <v>380</v>
      </c>
      <c r="C191" s="791">
        <f>SUMIF('yardi_data (2)'!$A:$A,$A191,'yardi_data (2)'!C:C)</f>
        <v>0</v>
      </c>
      <c r="D191" s="791">
        <f>SUMIF('yardi_data (2)'!$A:$A,$A191,'yardi_data (2)'!$D:$D)</f>
        <v>0</v>
      </c>
      <c r="E191" s="791">
        <f>SUMIF('yardi_data (2)'!$A:$A,$A191,'yardi_data (2)'!$E:$E)</f>
        <v>0</v>
      </c>
      <c r="F191" s="791">
        <f>SUMIF('yardi_data (2)'!$A:$A,$A191,'yardi_data (2)'!$F:$F)</f>
        <v>0</v>
      </c>
      <c r="G191" s="791">
        <f>SUMIF('yardi_data (2)'!$A:$A,$A191,'yardi_data (2)'!$G:$G)</f>
        <v>0</v>
      </c>
      <c r="H191" s="792"/>
    </row>
    <row r="192" spans="1:8">
      <c r="A192" s="181" t="s">
        <v>381</v>
      </c>
      <c r="B192" s="181" t="s">
        <v>382</v>
      </c>
      <c r="C192" s="791">
        <f>SUMIF('yardi_data (2)'!$A:$A,$A192,'yardi_data (2)'!C:C)</f>
        <v>0</v>
      </c>
      <c r="D192" s="791">
        <f>SUMIF('yardi_data (2)'!$A:$A,$A192,'yardi_data (2)'!$D:$D)</f>
        <v>0</v>
      </c>
      <c r="E192" s="791">
        <f>SUMIF('yardi_data (2)'!$A:$A,$A192,'yardi_data (2)'!$E:$E)</f>
        <v>0</v>
      </c>
      <c r="F192" s="791">
        <f>SUMIF('yardi_data (2)'!$A:$A,$A192,'yardi_data (2)'!$F:$F)</f>
        <v>0</v>
      </c>
      <c r="G192" s="791">
        <f>SUMIF('yardi_data (2)'!$A:$A,$A192,'yardi_data (2)'!$G:$G)</f>
        <v>0</v>
      </c>
      <c r="H192" s="792"/>
    </row>
    <row r="193" spans="1:8">
      <c r="A193" s="182" t="s">
        <v>383</v>
      </c>
      <c r="B193" s="182" t="s">
        <v>384</v>
      </c>
      <c r="C193" s="791">
        <f>SUMIF('yardi_data (2)'!$A:$A,$A193,'yardi_data (2)'!C:C)</f>
        <v>0</v>
      </c>
      <c r="D193" s="791">
        <f>SUMIF('yardi_data (2)'!$A:$A,$A193,'yardi_data (2)'!$D:$D)</f>
        <v>0</v>
      </c>
      <c r="E193" s="791">
        <f>SUMIF('yardi_data (2)'!$A:$A,$A193,'yardi_data (2)'!$E:$E)</f>
        <v>0</v>
      </c>
      <c r="F193" s="791">
        <f>SUMIF('yardi_data (2)'!$A:$A,$A193,'yardi_data (2)'!$F:$F)</f>
        <v>0</v>
      </c>
      <c r="G193" s="791">
        <f>SUMIF('yardi_data (2)'!$A:$A,$A193,'yardi_data (2)'!$G:$G)</f>
        <v>0</v>
      </c>
      <c r="H193" s="792"/>
    </row>
    <row r="194" spans="1:8">
      <c r="A194" s="181" t="s">
        <v>385</v>
      </c>
      <c r="B194" s="181" t="s">
        <v>386</v>
      </c>
      <c r="C194" s="791">
        <f>SUMIF('yardi_data (2)'!$A:$A,$A194,'yardi_data (2)'!C:C)</f>
        <v>0</v>
      </c>
      <c r="D194" s="791">
        <f>SUMIF('yardi_data (2)'!$A:$A,$A194,'yardi_data (2)'!$D:$D)</f>
        <v>0</v>
      </c>
      <c r="E194" s="791">
        <f>SUMIF('yardi_data (2)'!$A:$A,$A194,'yardi_data (2)'!$E:$E)</f>
        <v>0</v>
      </c>
      <c r="F194" s="791">
        <f>SUMIF('yardi_data (2)'!$A:$A,$A194,'yardi_data (2)'!$F:$F)</f>
        <v>0</v>
      </c>
      <c r="G194" s="791">
        <f>SUMIF('yardi_data (2)'!$A:$A,$A194,'yardi_data (2)'!$G:$G)</f>
        <v>0</v>
      </c>
      <c r="H194" s="792"/>
    </row>
    <row r="195" spans="1:8">
      <c r="A195" s="182" t="s">
        <v>387</v>
      </c>
      <c r="B195" s="182" t="s">
        <v>388</v>
      </c>
      <c r="C195" s="791">
        <f>SUMIF('yardi_data (2)'!$A:$A,$A195,'yardi_data (2)'!C:C)</f>
        <v>0</v>
      </c>
      <c r="D195" s="791">
        <f>SUMIF('yardi_data (2)'!$A:$A,$A195,'yardi_data (2)'!$D:$D)</f>
        <v>0</v>
      </c>
      <c r="E195" s="791">
        <f>SUMIF('yardi_data (2)'!$A:$A,$A195,'yardi_data (2)'!$E:$E)</f>
        <v>0</v>
      </c>
      <c r="F195" s="791">
        <f>SUMIF('yardi_data (2)'!$A:$A,$A195,'yardi_data (2)'!$F:$F)</f>
        <v>0</v>
      </c>
      <c r="G195" s="791">
        <f>SUMIF('yardi_data (2)'!$A:$A,$A195,'yardi_data (2)'!$G:$G)</f>
        <v>0</v>
      </c>
      <c r="H195" s="792"/>
    </row>
    <row r="196" spans="1:8">
      <c r="A196" s="181" t="s">
        <v>389</v>
      </c>
      <c r="B196" s="181" t="s">
        <v>390</v>
      </c>
      <c r="C196" s="791">
        <f>SUMIF('yardi_data (2)'!$A:$A,$A196,'yardi_data (2)'!C:C)</f>
        <v>0</v>
      </c>
      <c r="D196" s="791">
        <f>SUMIF('yardi_data (2)'!$A:$A,$A196,'yardi_data (2)'!$D:$D)</f>
        <v>0</v>
      </c>
      <c r="E196" s="791">
        <f>SUMIF('yardi_data (2)'!$A:$A,$A196,'yardi_data (2)'!$E:$E)</f>
        <v>0</v>
      </c>
      <c r="F196" s="791">
        <f>SUMIF('yardi_data (2)'!$A:$A,$A196,'yardi_data (2)'!$F:$F)</f>
        <v>0</v>
      </c>
      <c r="G196" s="791">
        <f>SUMIF('yardi_data (2)'!$A:$A,$A196,'yardi_data (2)'!$G:$G)</f>
        <v>0</v>
      </c>
      <c r="H196" s="792"/>
    </row>
    <row r="197" spans="1:8">
      <c r="A197" s="182" t="s">
        <v>391</v>
      </c>
      <c r="B197" s="182" t="s">
        <v>392</v>
      </c>
      <c r="C197" s="791">
        <f>SUMIF('yardi_data (2)'!$A:$A,$A197,'yardi_data (2)'!C:C)</f>
        <v>0</v>
      </c>
      <c r="D197" s="791">
        <f>SUMIF('yardi_data (2)'!$A:$A,$A197,'yardi_data (2)'!$D:$D)</f>
        <v>0</v>
      </c>
      <c r="E197" s="791">
        <f>SUMIF('yardi_data (2)'!$A:$A,$A197,'yardi_data (2)'!$E:$E)</f>
        <v>0</v>
      </c>
      <c r="F197" s="791">
        <f>SUMIF('yardi_data (2)'!$A:$A,$A197,'yardi_data (2)'!$F:$F)</f>
        <v>0</v>
      </c>
      <c r="G197" s="791">
        <f>SUMIF('yardi_data (2)'!$A:$A,$A197,'yardi_data (2)'!$G:$G)</f>
        <v>0</v>
      </c>
      <c r="H197" s="792"/>
    </row>
    <row r="198" spans="1:8">
      <c r="A198" s="181" t="s">
        <v>393</v>
      </c>
      <c r="B198" s="181" t="s">
        <v>394</v>
      </c>
      <c r="C198" s="791">
        <f>SUMIF('yardi_data (2)'!$A:$A,$A198,'yardi_data (2)'!C:C)</f>
        <v>0</v>
      </c>
      <c r="D198" s="791">
        <f>SUMIF('yardi_data (2)'!$A:$A,$A198,'yardi_data (2)'!$D:$D)</f>
        <v>0</v>
      </c>
      <c r="E198" s="791">
        <f>SUMIF('yardi_data (2)'!$A:$A,$A198,'yardi_data (2)'!$E:$E)</f>
        <v>0</v>
      </c>
      <c r="F198" s="791">
        <f>SUMIF('yardi_data (2)'!$A:$A,$A198,'yardi_data (2)'!$F:$F)</f>
        <v>0</v>
      </c>
      <c r="G198" s="791">
        <f>SUMIF('yardi_data (2)'!$A:$A,$A198,'yardi_data (2)'!$G:$G)</f>
        <v>0</v>
      </c>
      <c r="H198" s="792"/>
    </row>
    <row r="199" spans="1:8">
      <c r="A199" s="182" t="s">
        <v>395</v>
      </c>
      <c r="B199" s="182" t="s">
        <v>396</v>
      </c>
      <c r="C199" s="791">
        <f>SUMIF('yardi_data (2)'!$A:$A,$A199,'yardi_data (2)'!C:C)</f>
        <v>0</v>
      </c>
      <c r="D199" s="791">
        <f>SUMIF('yardi_data (2)'!$A:$A,$A199,'yardi_data (2)'!$D:$D)</f>
        <v>0</v>
      </c>
      <c r="E199" s="791">
        <f>SUMIF('yardi_data (2)'!$A:$A,$A199,'yardi_data (2)'!$E:$E)</f>
        <v>0</v>
      </c>
      <c r="F199" s="791">
        <f>SUMIF('yardi_data (2)'!$A:$A,$A199,'yardi_data (2)'!$F:$F)</f>
        <v>0</v>
      </c>
      <c r="G199" s="791">
        <f>SUMIF('yardi_data (2)'!$A:$A,$A199,'yardi_data (2)'!$G:$G)</f>
        <v>0</v>
      </c>
      <c r="H199" s="792"/>
    </row>
    <row r="200" spans="1:8">
      <c r="A200" s="181" t="s">
        <v>397</v>
      </c>
      <c r="B200" s="181" t="s">
        <v>398</v>
      </c>
      <c r="C200" s="791">
        <f>SUMIF('yardi_data (2)'!$A:$A,$A200,'yardi_data (2)'!C:C)</f>
        <v>0</v>
      </c>
      <c r="D200" s="791">
        <f>SUMIF('yardi_data (2)'!$A:$A,$A200,'yardi_data (2)'!$D:$D)</f>
        <v>0</v>
      </c>
      <c r="E200" s="791">
        <f>SUMIF('yardi_data (2)'!$A:$A,$A200,'yardi_data (2)'!$E:$E)</f>
        <v>0</v>
      </c>
      <c r="F200" s="791">
        <f>SUMIF('yardi_data (2)'!$A:$A,$A200,'yardi_data (2)'!$F:$F)</f>
        <v>0</v>
      </c>
      <c r="G200" s="791">
        <f>SUMIF('yardi_data (2)'!$A:$A,$A200,'yardi_data (2)'!$G:$G)</f>
        <v>0</v>
      </c>
      <c r="H200" s="792"/>
    </row>
    <row r="201" spans="1:8">
      <c r="A201" s="182" t="s">
        <v>399</v>
      </c>
      <c r="B201" s="182" t="s">
        <v>400</v>
      </c>
      <c r="C201" s="791">
        <f>SUMIF('yardi_data (2)'!$A:$A,$A201,'yardi_data (2)'!C:C)</f>
        <v>0</v>
      </c>
      <c r="D201" s="791">
        <f>SUMIF('yardi_data (2)'!$A:$A,$A201,'yardi_data (2)'!$D:$D)</f>
        <v>0</v>
      </c>
      <c r="E201" s="791">
        <f>SUMIF('yardi_data (2)'!$A:$A,$A201,'yardi_data (2)'!$E:$E)</f>
        <v>0</v>
      </c>
      <c r="F201" s="791">
        <f>SUMIF('yardi_data (2)'!$A:$A,$A201,'yardi_data (2)'!$F:$F)</f>
        <v>0</v>
      </c>
      <c r="G201" s="791">
        <f>SUMIF('yardi_data (2)'!$A:$A,$A201,'yardi_data (2)'!$G:$G)</f>
        <v>0</v>
      </c>
      <c r="H201" s="792"/>
    </row>
    <row r="202" spans="1:8">
      <c r="A202" s="181" t="s">
        <v>401</v>
      </c>
      <c r="B202" s="181" t="s">
        <v>402</v>
      </c>
      <c r="C202" s="791">
        <f>SUMIF('yardi_data (2)'!$A:$A,$A202,'yardi_data (2)'!C:C)</f>
        <v>0</v>
      </c>
      <c r="D202" s="791">
        <f>SUMIF('yardi_data (2)'!$A:$A,$A202,'yardi_data (2)'!$D:$D)</f>
        <v>0</v>
      </c>
      <c r="E202" s="791">
        <f>SUMIF('yardi_data (2)'!$A:$A,$A202,'yardi_data (2)'!$E:$E)</f>
        <v>0</v>
      </c>
      <c r="F202" s="791">
        <f>SUMIF('yardi_data (2)'!$A:$A,$A202,'yardi_data (2)'!$F:$F)</f>
        <v>0</v>
      </c>
      <c r="G202" s="791">
        <f>SUMIF('yardi_data (2)'!$A:$A,$A202,'yardi_data (2)'!$G:$G)</f>
        <v>0</v>
      </c>
      <c r="H202" s="792"/>
    </row>
    <row r="203" spans="1:8">
      <c r="A203" s="182" t="s">
        <v>403</v>
      </c>
      <c r="B203" s="182" t="s">
        <v>404</v>
      </c>
      <c r="C203" s="791">
        <f>SUMIF('yardi_data (2)'!$A:$A,$A203,'yardi_data (2)'!C:C)</f>
        <v>0</v>
      </c>
      <c r="D203" s="791">
        <f>SUMIF('yardi_data (2)'!$A:$A,$A203,'yardi_data (2)'!$D:$D)</f>
        <v>0</v>
      </c>
      <c r="E203" s="791">
        <f>SUMIF('yardi_data (2)'!$A:$A,$A203,'yardi_data (2)'!$E:$E)</f>
        <v>0</v>
      </c>
      <c r="F203" s="791">
        <f>SUMIF('yardi_data (2)'!$A:$A,$A203,'yardi_data (2)'!$F:$F)</f>
        <v>0</v>
      </c>
      <c r="G203" s="791">
        <f>SUMIF('yardi_data (2)'!$A:$A,$A203,'yardi_data (2)'!$G:$G)</f>
        <v>0</v>
      </c>
      <c r="H203" s="792"/>
    </row>
    <row r="204" spans="1:8">
      <c r="A204" s="181" t="s">
        <v>405</v>
      </c>
      <c r="B204" s="181" t="s">
        <v>406</v>
      </c>
      <c r="C204" s="791">
        <f>SUMIF('yardi_data (2)'!$A:$A,$A204,'yardi_data (2)'!C:C)</f>
        <v>0</v>
      </c>
      <c r="D204" s="791">
        <f>SUMIF('yardi_data (2)'!$A:$A,$A204,'yardi_data (2)'!$D:$D)</f>
        <v>0</v>
      </c>
      <c r="E204" s="791">
        <f>SUMIF('yardi_data (2)'!$A:$A,$A204,'yardi_data (2)'!$E:$E)</f>
        <v>0</v>
      </c>
      <c r="F204" s="791">
        <f>SUMIF('yardi_data (2)'!$A:$A,$A204,'yardi_data (2)'!$F:$F)</f>
        <v>0</v>
      </c>
      <c r="G204" s="791">
        <f>SUMIF('yardi_data (2)'!$A:$A,$A204,'yardi_data (2)'!$G:$G)</f>
        <v>0</v>
      </c>
      <c r="H204" s="792"/>
    </row>
    <row r="205" spans="1:8">
      <c r="A205" s="182" t="s">
        <v>407</v>
      </c>
      <c r="B205" s="182" t="s">
        <v>408</v>
      </c>
      <c r="C205" s="791">
        <f>SUMIF('yardi_data (2)'!$A:$A,$A205,'yardi_data (2)'!C:C)</f>
        <v>0</v>
      </c>
      <c r="D205" s="791">
        <f>SUMIF('yardi_data (2)'!$A:$A,$A205,'yardi_data (2)'!$D:$D)</f>
        <v>0</v>
      </c>
      <c r="E205" s="791">
        <f>SUMIF('yardi_data (2)'!$A:$A,$A205,'yardi_data (2)'!$E:$E)</f>
        <v>0</v>
      </c>
      <c r="F205" s="791">
        <f>SUMIF('yardi_data (2)'!$A:$A,$A205,'yardi_data (2)'!$F:$F)</f>
        <v>0</v>
      </c>
      <c r="G205" s="791">
        <f>SUMIF('yardi_data (2)'!$A:$A,$A205,'yardi_data (2)'!$G:$G)</f>
        <v>0</v>
      </c>
      <c r="H205" s="792"/>
    </row>
    <row r="206" spans="1:8">
      <c r="A206" s="181" t="s">
        <v>409</v>
      </c>
      <c r="B206" s="181" t="s">
        <v>410</v>
      </c>
      <c r="C206" s="791">
        <f>SUMIF('yardi_data (2)'!$A:$A,$A206,'yardi_data (2)'!C:C)</f>
        <v>0</v>
      </c>
      <c r="D206" s="791">
        <f>SUMIF('yardi_data (2)'!$A:$A,$A206,'yardi_data (2)'!$D:$D)</f>
        <v>0</v>
      </c>
      <c r="E206" s="791">
        <f>SUMIF('yardi_data (2)'!$A:$A,$A206,'yardi_data (2)'!$E:$E)</f>
        <v>0</v>
      </c>
      <c r="F206" s="791">
        <f>SUMIF('yardi_data (2)'!$A:$A,$A206,'yardi_data (2)'!$F:$F)</f>
        <v>0</v>
      </c>
      <c r="G206" s="791">
        <f>SUMIF('yardi_data (2)'!$A:$A,$A206,'yardi_data (2)'!$G:$G)</f>
        <v>0</v>
      </c>
      <c r="H206" s="792"/>
    </row>
    <row r="207" spans="1:8">
      <c r="A207" s="182" t="s">
        <v>411</v>
      </c>
      <c r="B207" s="182" t="s">
        <v>412</v>
      </c>
      <c r="C207" s="791">
        <f>SUMIF('yardi_data (2)'!$A:$A,$A207,'yardi_data (2)'!C:C)</f>
        <v>0</v>
      </c>
      <c r="D207" s="791">
        <f>SUMIF('yardi_data (2)'!$A:$A,$A207,'yardi_data (2)'!$D:$D)</f>
        <v>0</v>
      </c>
      <c r="E207" s="791">
        <f>SUMIF('yardi_data (2)'!$A:$A,$A207,'yardi_data (2)'!$E:$E)</f>
        <v>0</v>
      </c>
      <c r="F207" s="791">
        <f>SUMIF('yardi_data (2)'!$A:$A,$A207,'yardi_data (2)'!$F:$F)</f>
        <v>0</v>
      </c>
      <c r="G207" s="791">
        <f>SUMIF('yardi_data (2)'!$A:$A,$A207,'yardi_data (2)'!$G:$G)</f>
        <v>0</v>
      </c>
      <c r="H207" s="792"/>
    </row>
    <row r="208" spans="1:8">
      <c r="A208" s="181" t="s">
        <v>413</v>
      </c>
      <c r="B208" s="181" t="s">
        <v>414</v>
      </c>
      <c r="C208" s="791">
        <f>SUMIF('yardi_data (2)'!$A:$A,$A208,'yardi_data (2)'!C:C)</f>
        <v>0</v>
      </c>
      <c r="D208" s="791">
        <f>SUMIF('yardi_data (2)'!$A:$A,$A208,'yardi_data (2)'!$D:$D)</f>
        <v>0</v>
      </c>
      <c r="E208" s="791">
        <f>SUMIF('yardi_data (2)'!$A:$A,$A208,'yardi_data (2)'!$E:$E)</f>
        <v>0</v>
      </c>
      <c r="F208" s="791">
        <f>SUMIF('yardi_data (2)'!$A:$A,$A208,'yardi_data (2)'!$F:$F)</f>
        <v>0</v>
      </c>
      <c r="G208" s="791">
        <f>SUMIF('yardi_data (2)'!$A:$A,$A208,'yardi_data (2)'!$G:$G)</f>
        <v>0</v>
      </c>
      <c r="H208" s="792"/>
    </row>
    <row r="209" spans="1:8">
      <c r="A209" s="182" t="s">
        <v>415</v>
      </c>
      <c r="B209" s="182" t="s">
        <v>416</v>
      </c>
      <c r="C209" s="791">
        <f>SUMIF('yardi_data (2)'!$A:$A,$A209,'yardi_data (2)'!C:C)</f>
        <v>0</v>
      </c>
      <c r="D209" s="791">
        <f>SUMIF('yardi_data (2)'!$A:$A,$A209,'yardi_data (2)'!$D:$D)</f>
        <v>0</v>
      </c>
      <c r="E209" s="791">
        <f>SUMIF('yardi_data (2)'!$A:$A,$A209,'yardi_data (2)'!$E:$E)</f>
        <v>0</v>
      </c>
      <c r="F209" s="791">
        <f>SUMIF('yardi_data (2)'!$A:$A,$A209,'yardi_data (2)'!$F:$F)</f>
        <v>0</v>
      </c>
      <c r="G209" s="791">
        <f>SUMIF('yardi_data (2)'!$A:$A,$A209,'yardi_data (2)'!$G:$G)</f>
        <v>0</v>
      </c>
      <c r="H209" s="792"/>
    </row>
    <row r="210" spans="1:8">
      <c r="A210" s="181" t="s">
        <v>417</v>
      </c>
      <c r="B210" s="181" t="s">
        <v>418</v>
      </c>
      <c r="C210" s="791">
        <f>SUMIF('yardi_data (2)'!$A:$A,$A210,'yardi_data (2)'!C:C)</f>
        <v>0</v>
      </c>
      <c r="D210" s="791">
        <f>SUMIF('yardi_data (2)'!$A:$A,$A210,'yardi_data (2)'!$D:$D)</f>
        <v>0</v>
      </c>
      <c r="E210" s="791">
        <f>SUMIF('yardi_data (2)'!$A:$A,$A210,'yardi_data (2)'!$E:$E)</f>
        <v>0</v>
      </c>
      <c r="F210" s="791">
        <f>SUMIF('yardi_data (2)'!$A:$A,$A210,'yardi_data (2)'!$F:$F)</f>
        <v>0</v>
      </c>
      <c r="G210" s="791">
        <f>SUMIF('yardi_data (2)'!$A:$A,$A210,'yardi_data (2)'!$G:$G)</f>
        <v>0</v>
      </c>
      <c r="H210" s="792"/>
    </row>
    <row r="211" spans="1:8">
      <c r="A211" s="182" t="s">
        <v>419</v>
      </c>
      <c r="B211" s="182" t="s">
        <v>420</v>
      </c>
      <c r="C211" s="791">
        <f>SUMIF('yardi_data (2)'!$A:$A,$A211,'yardi_data (2)'!C:C)</f>
        <v>0</v>
      </c>
      <c r="D211" s="791">
        <f>SUMIF('yardi_data (2)'!$A:$A,$A211,'yardi_data (2)'!$D:$D)</f>
        <v>0</v>
      </c>
      <c r="E211" s="791">
        <f>SUMIF('yardi_data (2)'!$A:$A,$A211,'yardi_data (2)'!$E:$E)</f>
        <v>0</v>
      </c>
      <c r="F211" s="791">
        <f>SUMIF('yardi_data (2)'!$A:$A,$A211,'yardi_data (2)'!$F:$F)</f>
        <v>0</v>
      </c>
      <c r="G211" s="791">
        <f>SUMIF('yardi_data (2)'!$A:$A,$A211,'yardi_data (2)'!$G:$G)</f>
        <v>0</v>
      </c>
      <c r="H211" s="792"/>
    </row>
    <row r="212" spans="1:8">
      <c r="A212" s="181" t="s">
        <v>421</v>
      </c>
      <c r="B212" s="181" t="s">
        <v>422</v>
      </c>
      <c r="C212" s="791">
        <f>SUMIF('yardi_data (2)'!$A:$A,$A212,'yardi_data (2)'!C:C)</f>
        <v>0</v>
      </c>
      <c r="D212" s="791">
        <f>SUMIF('yardi_data (2)'!$A:$A,$A212,'yardi_data (2)'!$D:$D)</f>
        <v>0</v>
      </c>
      <c r="E212" s="791">
        <f>SUMIF('yardi_data (2)'!$A:$A,$A212,'yardi_data (2)'!$E:$E)</f>
        <v>0</v>
      </c>
      <c r="F212" s="791">
        <f>SUMIF('yardi_data (2)'!$A:$A,$A212,'yardi_data (2)'!$F:$F)</f>
        <v>0</v>
      </c>
      <c r="G212" s="791">
        <f>SUMIF('yardi_data (2)'!$A:$A,$A212,'yardi_data (2)'!$G:$G)</f>
        <v>0</v>
      </c>
      <c r="H212" s="792"/>
    </row>
    <row r="213" spans="1:8">
      <c r="A213" s="182" t="s">
        <v>423</v>
      </c>
      <c r="B213" s="182" t="s">
        <v>424</v>
      </c>
      <c r="C213" s="791">
        <f>SUMIF('yardi_data (2)'!$A:$A,$A213,'yardi_data (2)'!C:C)</f>
        <v>0</v>
      </c>
      <c r="D213" s="791">
        <f>SUMIF('yardi_data (2)'!$A:$A,$A213,'yardi_data (2)'!$D:$D)</f>
        <v>0</v>
      </c>
      <c r="E213" s="791">
        <f>SUMIF('yardi_data (2)'!$A:$A,$A213,'yardi_data (2)'!$E:$E)</f>
        <v>0</v>
      </c>
      <c r="F213" s="791">
        <f>SUMIF('yardi_data (2)'!$A:$A,$A213,'yardi_data (2)'!$F:$F)</f>
        <v>0</v>
      </c>
      <c r="G213" s="791">
        <f>SUMIF('yardi_data (2)'!$A:$A,$A213,'yardi_data (2)'!$G:$G)</f>
        <v>0</v>
      </c>
      <c r="H213" s="792"/>
    </row>
    <row r="214" spans="1:8">
      <c r="A214" s="181" t="s">
        <v>425</v>
      </c>
      <c r="B214" s="181" t="s">
        <v>426</v>
      </c>
      <c r="C214" s="791">
        <f>SUMIF('yardi_data (2)'!$A:$A,$A214,'yardi_data (2)'!C:C)</f>
        <v>0</v>
      </c>
      <c r="D214" s="791">
        <f>SUMIF('yardi_data (2)'!$A:$A,$A214,'yardi_data (2)'!$D:$D)</f>
        <v>0</v>
      </c>
      <c r="E214" s="791">
        <f>SUMIF('yardi_data (2)'!$A:$A,$A214,'yardi_data (2)'!$E:$E)</f>
        <v>0</v>
      </c>
      <c r="F214" s="791">
        <f>SUMIF('yardi_data (2)'!$A:$A,$A214,'yardi_data (2)'!$F:$F)</f>
        <v>0</v>
      </c>
      <c r="G214" s="791">
        <f>SUMIF('yardi_data (2)'!$A:$A,$A214,'yardi_data (2)'!$G:$G)</f>
        <v>0</v>
      </c>
      <c r="H214" s="792"/>
    </row>
    <row r="215" spans="1:8">
      <c r="A215" s="182" t="s">
        <v>427</v>
      </c>
      <c r="B215" s="182" t="s">
        <v>428</v>
      </c>
      <c r="C215" s="791">
        <f>SUMIF('yardi_data (2)'!$A:$A,$A215,'yardi_data (2)'!C:C)</f>
        <v>0</v>
      </c>
      <c r="D215" s="791">
        <f>SUMIF('yardi_data (2)'!$A:$A,$A215,'yardi_data (2)'!$D:$D)</f>
        <v>0</v>
      </c>
      <c r="E215" s="791">
        <f>SUMIF('yardi_data (2)'!$A:$A,$A215,'yardi_data (2)'!$E:$E)</f>
        <v>0</v>
      </c>
      <c r="F215" s="791">
        <f>SUMIF('yardi_data (2)'!$A:$A,$A215,'yardi_data (2)'!$F:$F)</f>
        <v>0</v>
      </c>
      <c r="G215" s="791">
        <f>SUMIF('yardi_data (2)'!$A:$A,$A215,'yardi_data (2)'!$G:$G)</f>
        <v>0</v>
      </c>
      <c r="H215" s="792"/>
    </row>
    <row r="216" spans="1:8">
      <c r="A216" s="181" t="s">
        <v>429</v>
      </c>
      <c r="B216" s="181" t="s">
        <v>430</v>
      </c>
      <c r="C216" s="791">
        <f>SUMIF('yardi_data (2)'!$A:$A,$A216,'yardi_data (2)'!C:C)</f>
        <v>0</v>
      </c>
      <c r="D216" s="791">
        <f>SUMIF('yardi_data (2)'!$A:$A,$A216,'yardi_data (2)'!$D:$D)</f>
        <v>0</v>
      </c>
      <c r="E216" s="791">
        <f>SUMIF('yardi_data (2)'!$A:$A,$A216,'yardi_data (2)'!$E:$E)</f>
        <v>0</v>
      </c>
      <c r="F216" s="791">
        <f>SUMIF('yardi_data (2)'!$A:$A,$A216,'yardi_data (2)'!$F:$F)</f>
        <v>0</v>
      </c>
      <c r="G216" s="791">
        <f>SUMIF('yardi_data (2)'!$A:$A,$A216,'yardi_data (2)'!$G:$G)</f>
        <v>0</v>
      </c>
      <c r="H216" s="792"/>
    </row>
    <row r="217" spans="1:8">
      <c r="A217" s="182" t="s">
        <v>431</v>
      </c>
      <c r="B217" s="182" t="s">
        <v>432</v>
      </c>
      <c r="C217" s="791">
        <f>SUMIF('yardi_data (2)'!$A:$A,$A217,'yardi_data (2)'!C:C)</f>
        <v>0</v>
      </c>
      <c r="D217" s="791">
        <f>SUMIF('yardi_data (2)'!$A:$A,$A217,'yardi_data (2)'!$D:$D)</f>
        <v>0</v>
      </c>
      <c r="E217" s="791">
        <f>SUMIF('yardi_data (2)'!$A:$A,$A217,'yardi_data (2)'!$E:$E)</f>
        <v>0</v>
      </c>
      <c r="F217" s="791">
        <f>SUMIF('yardi_data (2)'!$A:$A,$A217,'yardi_data (2)'!$F:$F)</f>
        <v>0</v>
      </c>
      <c r="G217" s="791">
        <f>SUMIF('yardi_data (2)'!$A:$A,$A217,'yardi_data (2)'!$G:$G)</f>
        <v>0</v>
      </c>
      <c r="H217" s="792"/>
    </row>
    <row r="218" spans="1:8">
      <c r="A218" s="181" t="s">
        <v>433</v>
      </c>
      <c r="B218" s="181" t="s">
        <v>434</v>
      </c>
      <c r="C218" s="791">
        <f>SUMIF('yardi_data (2)'!$A:$A,$A218,'yardi_data (2)'!C:C)</f>
        <v>15008.65</v>
      </c>
      <c r="D218" s="791">
        <f>SUMIF('yardi_data (2)'!$A:$A,$A218,'yardi_data (2)'!$D:$D)</f>
        <v>0</v>
      </c>
      <c r="E218" s="791">
        <f>SUMIF('yardi_data (2)'!$A:$A,$A218,'yardi_data (2)'!$E:$E)</f>
        <v>659559.49</v>
      </c>
      <c r="F218" s="791">
        <f>SUMIF('yardi_data (2)'!$A:$A,$A218,'yardi_data (2)'!$F:$F)</f>
        <v>0</v>
      </c>
      <c r="G218" s="791">
        <f>SUMIF('yardi_data (2)'!$A:$A,$A218,'yardi_data (2)'!$G:$G)</f>
        <v>0</v>
      </c>
      <c r="H218" s="792"/>
    </row>
    <row r="219" spans="1:8">
      <c r="A219" s="182" t="s">
        <v>435</v>
      </c>
      <c r="B219" s="182" t="s">
        <v>436</v>
      </c>
      <c r="C219" s="791">
        <f>SUMIF('yardi_data (2)'!$A:$A,$A219,'yardi_data (2)'!C:C)</f>
        <v>0</v>
      </c>
      <c r="D219" s="791">
        <f>SUMIF('yardi_data (2)'!$A:$A,$A219,'yardi_data (2)'!$D:$D)</f>
        <v>0</v>
      </c>
      <c r="E219" s="791">
        <f>SUMIF('yardi_data (2)'!$A:$A,$A219,'yardi_data (2)'!$E:$E)</f>
        <v>0</v>
      </c>
      <c r="F219" s="791">
        <f>SUMIF('yardi_data (2)'!$A:$A,$A219,'yardi_data (2)'!$F:$F)</f>
        <v>0</v>
      </c>
      <c r="G219" s="791">
        <f>SUMIF('yardi_data (2)'!$A:$A,$A219,'yardi_data (2)'!$G:$G)</f>
        <v>0</v>
      </c>
      <c r="H219" s="792"/>
    </row>
    <row r="220" spans="1:8">
      <c r="A220" s="181" t="s">
        <v>437</v>
      </c>
      <c r="B220" s="181" t="s">
        <v>438</v>
      </c>
      <c r="C220" s="791">
        <f>SUMIF('yardi_data (2)'!$A:$A,$A220,'yardi_data (2)'!C:C)</f>
        <v>0</v>
      </c>
      <c r="D220" s="791">
        <f>SUMIF('yardi_data (2)'!$A:$A,$A220,'yardi_data (2)'!$D:$D)</f>
        <v>0</v>
      </c>
      <c r="E220" s="791">
        <f>SUMIF('yardi_data (2)'!$A:$A,$A220,'yardi_data (2)'!$E:$E)</f>
        <v>0</v>
      </c>
      <c r="F220" s="791">
        <f>SUMIF('yardi_data (2)'!$A:$A,$A220,'yardi_data (2)'!$F:$F)</f>
        <v>0</v>
      </c>
      <c r="G220" s="791">
        <f>SUMIF('yardi_data (2)'!$A:$A,$A220,'yardi_data (2)'!$G:$G)</f>
        <v>0</v>
      </c>
      <c r="H220" s="792"/>
    </row>
    <row r="221" spans="1:8">
      <c r="A221" s="181" t="s">
        <v>439</v>
      </c>
      <c r="B221" s="181" t="s">
        <v>440</v>
      </c>
      <c r="C221" s="791">
        <f>SUMIF('yardi_data (2)'!$A:$A,$A221,'yardi_data (2)'!C:C)</f>
        <v>0</v>
      </c>
      <c r="D221" s="791">
        <f>SUMIF('yardi_data (2)'!$A:$A,$A221,'yardi_data (2)'!$D:$D)</f>
        <v>0</v>
      </c>
      <c r="E221" s="791">
        <f>SUMIF('yardi_data (2)'!$A:$A,$A221,'yardi_data (2)'!$E:$E)</f>
        <v>0</v>
      </c>
      <c r="F221" s="791">
        <f>SUMIF('yardi_data (2)'!$A:$A,$A221,'yardi_data (2)'!$F:$F)</f>
        <v>0</v>
      </c>
      <c r="G221" s="791">
        <f>SUMIF('yardi_data (2)'!$A:$A,$A221,'yardi_data (2)'!$G:$G)</f>
        <v>0</v>
      </c>
      <c r="H221" s="792"/>
    </row>
    <row r="222" spans="1:8">
      <c r="A222" s="182" t="s">
        <v>441</v>
      </c>
      <c r="B222" s="182" t="s">
        <v>442</v>
      </c>
      <c r="C222" s="791">
        <f>SUMIF('yardi_data (2)'!$A:$A,$A222,'yardi_data (2)'!C:C)</f>
        <v>0</v>
      </c>
      <c r="D222" s="791">
        <f>SUMIF('yardi_data (2)'!$A:$A,$A222,'yardi_data (2)'!$D:$D)</f>
        <v>0</v>
      </c>
      <c r="E222" s="791">
        <f>SUMIF('yardi_data (2)'!$A:$A,$A222,'yardi_data (2)'!$E:$E)</f>
        <v>0</v>
      </c>
      <c r="F222" s="791">
        <f>SUMIF('yardi_data (2)'!$A:$A,$A222,'yardi_data (2)'!$F:$F)</f>
        <v>0</v>
      </c>
      <c r="G222" s="791">
        <f>SUMIF('yardi_data (2)'!$A:$A,$A222,'yardi_data (2)'!$G:$G)</f>
        <v>0</v>
      </c>
      <c r="H222" s="792"/>
    </row>
    <row r="223" spans="1:8">
      <c r="A223" s="181" t="s">
        <v>443</v>
      </c>
      <c r="B223" s="181" t="s">
        <v>444</v>
      </c>
      <c r="C223" s="791">
        <f>SUMIF('yardi_data (2)'!$A:$A,$A223,'yardi_data (2)'!C:C)</f>
        <v>0</v>
      </c>
      <c r="D223" s="791">
        <f>SUMIF('yardi_data (2)'!$A:$A,$A223,'yardi_data (2)'!$D:$D)</f>
        <v>0</v>
      </c>
      <c r="E223" s="791">
        <f>SUMIF('yardi_data (2)'!$A:$A,$A223,'yardi_data (2)'!$E:$E)</f>
        <v>0</v>
      </c>
      <c r="F223" s="791">
        <f>SUMIF('yardi_data (2)'!$A:$A,$A223,'yardi_data (2)'!$F:$F)</f>
        <v>0</v>
      </c>
      <c r="G223" s="791">
        <f>SUMIF('yardi_data (2)'!$A:$A,$A223,'yardi_data (2)'!$G:$G)</f>
        <v>0</v>
      </c>
      <c r="H223" s="792"/>
    </row>
    <row r="224" spans="1:8">
      <c r="A224" s="182" t="s">
        <v>445</v>
      </c>
      <c r="B224" s="182" t="s">
        <v>446</v>
      </c>
      <c r="C224" s="791">
        <f>SUMIF('yardi_data (2)'!$A:$A,$A224,'yardi_data (2)'!C:C)</f>
        <v>0</v>
      </c>
      <c r="D224" s="791">
        <f>SUMIF('yardi_data (2)'!$A:$A,$A224,'yardi_data (2)'!$D:$D)</f>
        <v>0</v>
      </c>
      <c r="E224" s="791">
        <f>SUMIF('yardi_data (2)'!$A:$A,$A224,'yardi_data (2)'!$E:$E)</f>
        <v>0</v>
      </c>
      <c r="F224" s="791">
        <f>SUMIF('yardi_data (2)'!$A:$A,$A224,'yardi_data (2)'!$F:$F)</f>
        <v>0</v>
      </c>
      <c r="G224" s="791">
        <f>SUMIF('yardi_data (2)'!$A:$A,$A224,'yardi_data (2)'!$G:$G)</f>
        <v>0</v>
      </c>
      <c r="H224" s="792"/>
    </row>
    <row r="225" spans="1:8">
      <c r="A225" s="181" t="s">
        <v>447</v>
      </c>
      <c r="B225" s="181" t="s">
        <v>448</v>
      </c>
      <c r="C225" s="791">
        <f>SUMIF('yardi_data (2)'!$A:$A,$A225,'yardi_data (2)'!C:C)</f>
        <v>0</v>
      </c>
      <c r="D225" s="791">
        <f>SUMIF('yardi_data (2)'!$A:$A,$A225,'yardi_data (2)'!$D:$D)</f>
        <v>0</v>
      </c>
      <c r="E225" s="791">
        <f>SUMIF('yardi_data (2)'!$A:$A,$A225,'yardi_data (2)'!$E:$E)</f>
        <v>0</v>
      </c>
      <c r="F225" s="791">
        <f>SUMIF('yardi_data (2)'!$A:$A,$A225,'yardi_data (2)'!$F:$F)</f>
        <v>0</v>
      </c>
      <c r="G225" s="791">
        <f>SUMIF('yardi_data (2)'!$A:$A,$A225,'yardi_data (2)'!$G:$G)</f>
        <v>0</v>
      </c>
      <c r="H225" s="792"/>
    </row>
    <row r="226" spans="1:8">
      <c r="A226" s="182" t="s">
        <v>449</v>
      </c>
      <c r="B226" s="182" t="s">
        <v>450</v>
      </c>
      <c r="C226" s="791">
        <f>SUMIF('yardi_data (2)'!$A:$A,$A226,'yardi_data (2)'!C:C)</f>
        <v>0</v>
      </c>
      <c r="D226" s="791">
        <f>SUMIF('yardi_data (2)'!$A:$A,$A226,'yardi_data (2)'!$D:$D)</f>
        <v>0</v>
      </c>
      <c r="E226" s="791">
        <f>SUMIF('yardi_data (2)'!$A:$A,$A226,'yardi_data (2)'!$E:$E)</f>
        <v>0</v>
      </c>
      <c r="F226" s="791">
        <f>SUMIF('yardi_data (2)'!$A:$A,$A226,'yardi_data (2)'!$F:$F)</f>
        <v>0</v>
      </c>
      <c r="G226" s="791">
        <f>SUMIF('yardi_data (2)'!$A:$A,$A226,'yardi_data (2)'!$G:$G)</f>
        <v>0</v>
      </c>
      <c r="H226" s="792"/>
    </row>
    <row r="227" spans="1:8">
      <c r="A227" s="181" t="s">
        <v>451</v>
      </c>
      <c r="B227" s="181" t="s">
        <v>452</v>
      </c>
      <c r="C227" s="791">
        <f>SUMIF('yardi_data (2)'!$A:$A,$A227,'yardi_data (2)'!C:C)</f>
        <v>0</v>
      </c>
      <c r="D227" s="791">
        <f>SUMIF('yardi_data (2)'!$A:$A,$A227,'yardi_data (2)'!$D:$D)</f>
        <v>0</v>
      </c>
      <c r="E227" s="791">
        <f>SUMIF('yardi_data (2)'!$A:$A,$A227,'yardi_data (2)'!$E:$E)</f>
        <v>0</v>
      </c>
      <c r="F227" s="791">
        <f>SUMIF('yardi_data (2)'!$A:$A,$A227,'yardi_data (2)'!$F:$F)</f>
        <v>0</v>
      </c>
      <c r="G227" s="791">
        <f>SUMIF('yardi_data (2)'!$A:$A,$A227,'yardi_data (2)'!$G:$G)</f>
        <v>0</v>
      </c>
      <c r="H227" s="792"/>
    </row>
    <row r="228" spans="1:8">
      <c r="A228" s="182" t="s">
        <v>453</v>
      </c>
      <c r="B228" s="182" t="s">
        <v>454</v>
      </c>
      <c r="C228" s="791">
        <f>SUMIF('yardi_data (2)'!$A:$A,$A228,'yardi_data (2)'!C:C)</f>
        <v>0</v>
      </c>
      <c r="D228" s="791">
        <f>SUMIF('yardi_data (2)'!$A:$A,$A228,'yardi_data (2)'!$D:$D)</f>
        <v>0</v>
      </c>
      <c r="E228" s="791">
        <f>SUMIF('yardi_data (2)'!$A:$A,$A228,'yardi_data (2)'!$E:$E)</f>
        <v>0</v>
      </c>
      <c r="F228" s="791">
        <f>SUMIF('yardi_data (2)'!$A:$A,$A228,'yardi_data (2)'!$F:$F)</f>
        <v>0</v>
      </c>
      <c r="G228" s="791">
        <f>SUMIF('yardi_data (2)'!$A:$A,$A228,'yardi_data (2)'!$G:$G)</f>
        <v>0</v>
      </c>
      <c r="H228" s="792"/>
    </row>
    <row r="229" spans="1:8">
      <c r="A229" s="181" t="s">
        <v>455</v>
      </c>
      <c r="B229" s="181" t="s">
        <v>456</v>
      </c>
      <c r="C229" s="791">
        <f>SUMIF('yardi_data (2)'!$A:$A,$A229,'yardi_data (2)'!C:C)</f>
        <v>0</v>
      </c>
      <c r="D229" s="791">
        <f>SUMIF('yardi_data (2)'!$A:$A,$A229,'yardi_data (2)'!$D:$D)</f>
        <v>0</v>
      </c>
      <c r="E229" s="791">
        <f>SUMIF('yardi_data (2)'!$A:$A,$A229,'yardi_data (2)'!$E:$E)</f>
        <v>0</v>
      </c>
      <c r="F229" s="791">
        <f>SUMIF('yardi_data (2)'!$A:$A,$A229,'yardi_data (2)'!$F:$F)</f>
        <v>0</v>
      </c>
      <c r="G229" s="791">
        <f>SUMIF('yardi_data (2)'!$A:$A,$A229,'yardi_data (2)'!$G:$G)</f>
        <v>0</v>
      </c>
      <c r="H229" s="792"/>
    </row>
    <row r="230" spans="1:8">
      <c r="A230" s="182" t="s">
        <v>457</v>
      </c>
      <c r="B230" s="182" t="s">
        <v>458</v>
      </c>
      <c r="C230" s="791">
        <f>SUMIF('yardi_data (2)'!$A:$A,$A230,'yardi_data (2)'!C:C)</f>
        <v>0</v>
      </c>
      <c r="D230" s="791">
        <f>SUMIF('yardi_data (2)'!$A:$A,$A230,'yardi_data (2)'!$D:$D)</f>
        <v>0</v>
      </c>
      <c r="E230" s="791">
        <f>SUMIF('yardi_data (2)'!$A:$A,$A230,'yardi_data (2)'!$E:$E)</f>
        <v>0</v>
      </c>
      <c r="F230" s="791">
        <f>SUMIF('yardi_data (2)'!$A:$A,$A230,'yardi_data (2)'!$F:$F)</f>
        <v>0</v>
      </c>
      <c r="G230" s="791">
        <f>SUMIF('yardi_data (2)'!$A:$A,$A230,'yardi_data (2)'!$G:$G)</f>
        <v>0</v>
      </c>
      <c r="H230" s="792"/>
    </row>
    <row r="231" spans="1:8">
      <c r="A231" s="181" t="s">
        <v>459</v>
      </c>
      <c r="B231" s="181" t="s">
        <v>460</v>
      </c>
      <c r="C231" s="791">
        <f>SUMIF('yardi_data (2)'!$A:$A,$A231,'yardi_data (2)'!C:C)</f>
        <v>0</v>
      </c>
      <c r="D231" s="791">
        <f>SUMIF('yardi_data (2)'!$A:$A,$A231,'yardi_data (2)'!$D:$D)</f>
        <v>0</v>
      </c>
      <c r="E231" s="791">
        <f>SUMIF('yardi_data (2)'!$A:$A,$A231,'yardi_data (2)'!$E:$E)</f>
        <v>0</v>
      </c>
      <c r="F231" s="791">
        <f>SUMIF('yardi_data (2)'!$A:$A,$A231,'yardi_data (2)'!$F:$F)</f>
        <v>0</v>
      </c>
      <c r="G231" s="791">
        <f>SUMIF('yardi_data (2)'!$A:$A,$A231,'yardi_data (2)'!$G:$G)</f>
        <v>0</v>
      </c>
      <c r="H231" s="792"/>
    </row>
    <row r="232" spans="1:8">
      <c r="A232" s="182" t="s">
        <v>461</v>
      </c>
      <c r="B232" s="182" t="s">
        <v>462</v>
      </c>
      <c r="C232" s="791">
        <f>SUMIF('yardi_data (2)'!$A:$A,$A232,'yardi_data (2)'!C:C)</f>
        <v>0</v>
      </c>
      <c r="D232" s="791">
        <f>SUMIF('yardi_data (2)'!$A:$A,$A232,'yardi_data (2)'!$D:$D)</f>
        <v>0</v>
      </c>
      <c r="E232" s="791">
        <f>SUMIF('yardi_data (2)'!$A:$A,$A232,'yardi_data (2)'!$E:$E)</f>
        <v>0</v>
      </c>
      <c r="F232" s="791">
        <f>SUMIF('yardi_data (2)'!$A:$A,$A232,'yardi_data (2)'!$F:$F)</f>
        <v>0</v>
      </c>
      <c r="G232" s="791">
        <f>SUMIF('yardi_data (2)'!$A:$A,$A232,'yardi_data (2)'!$G:$G)</f>
        <v>0</v>
      </c>
      <c r="H232" s="792"/>
    </row>
    <row r="233" spans="1:8">
      <c r="A233" s="181" t="s">
        <v>463</v>
      </c>
      <c r="B233" s="181" t="s">
        <v>464</v>
      </c>
      <c r="C233" s="791">
        <f>SUMIF('yardi_data (2)'!$A:$A,$A233,'yardi_data (2)'!C:C)</f>
        <v>0</v>
      </c>
      <c r="D233" s="791">
        <f>SUMIF('yardi_data (2)'!$A:$A,$A233,'yardi_data (2)'!$D:$D)</f>
        <v>0</v>
      </c>
      <c r="E233" s="791">
        <f>SUMIF('yardi_data (2)'!$A:$A,$A233,'yardi_data (2)'!$E:$E)</f>
        <v>0</v>
      </c>
      <c r="F233" s="791">
        <f>SUMIF('yardi_data (2)'!$A:$A,$A233,'yardi_data (2)'!$F:$F)</f>
        <v>0</v>
      </c>
      <c r="G233" s="791">
        <f>SUMIF('yardi_data (2)'!$A:$A,$A233,'yardi_data (2)'!$G:$G)</f>
        <v>0</v>
      </c>
      <c r="H233" s="792"/>
    </row>
    <row r="234" spans="1:8">
      <c r="A234" s="182" t="s">
        <v>465</v>
      </c>
      <c r="B234" s="182" t="s">
        <v>466</v>
      </c>
      <c r="C234" s="791">
        <f>SUMIF('yardi_data (2)'!$A:$A,$A234,'yardi_data (2)'!C:C)</f>
        <v>0</v>
      </c>
      <c r="D234" s="791">
        <f>SUMIF('yardi_data (2)'!$A:$A,$A234,'yardi_data (2)'!$D:$D)</f>
        <v>0</v>
      </c>
      <c r="E234" s="791">
        <f>SUMIF('yardi_data (2)'!$A:$A,$A234,'yardi_data (2)'!$E:$E)</f>
        <v>0</v>
      </c>
      <c r="F234" s="791">
        <f>SUMIF('yardi_data (2)'!$A:$A,$A234,'yardi_data (2)'!$F:$F)</f>
        <v>0</v>
      </c>
      <c r="G234" s="791">
        <f>SUMIF('yardi_data (2)'!$A:$A,$A234,'yardi_data (2)'!$G:$G)</f>
        <v>0</v>
      </c>
      <c r="H234" s="792"/>
    </row>
    <row r="235" spans="1:8">
      <c r="A235" s="181" t="s">
        <v>467</v>
      </c>
      <c r="B235" s="181" t="s">
        <v>468</v>
      </c>
      <c r="C235" s="791">
        <f>SUMIF('yardi_data (2)'!$A:$A,$A235,'yardi_data (2)'!C:C)</f>
        <v>8599731.1999999993</v>
      </c>
      <c r="D235" s="791">
        <f>SUMIF('yardi_data (2)'!$A:$A,$A235,'yardi_data (2)'!$D:$D)</f>
        <v>8693546.5700000003</v>
      </c>
      <c r="E235" s="791">
        <f>SUMIF('yardi_data (2)'!$A:$A,$A235,'yardi_data (2)'!$E:$E)</f>
        <v>6012298.1699999999</v>
      </c>
      <c r="F235" s="791">
        <f>SUMIF('yardi_data (2)'!$A:$A,$A235,'yardi_data (2)'!$F:$F)</f>
        <v>6044653.3600000003</v>
      </c>
      <c r="G235" s="791">
        <f>SUMIF('yardi_data (2)'!$A:$A,$A235,'yardi_data (2)'!$G:$G)</f>
        <v>9066980</v>
      </c>
      <c r="H235" s="792"/>
    </row>
    <row r="236" spans="1:8">
      <c r="A236" s="182" t="s">
        <v>469</v>
      </c>
      <c r="B236" s="182" t="s">
        <v>470</v>
      </c>
      <c r="C236" s="791">
        <f>SUMIF('yardi_data (2)'!$A:$A,$A236,'yardi_data (2)'!C:C)</f>
        <v>0</v>
      </c>
      <c r="D236" s="791">
        <f>SUMIF('yardi_data (2)'!$A:$A,$A236,'yardi_data (2)'!$D:$D)</f>
        <v>0</v>
      </c>
      <c r="E236" s="791">
        <f>SUMIF('yardi_data (2)'!$A:$A,$A236,'yardi_data (2)'!$E:$E)</f>
        <v>0</v>
      </c>
      <c r="F236" s="791">
        <f>SUMIF('yardi_data (2)'!$A:$A,$A236,'yardi_data (2)'!$F:$F)</f>
        <v>0</v>
      </c>
      <c r="G236" s="791">
        <f>SUMIF('yardi_data (2)'!$A:$A,$A236,'yardi_data (2)'!$G:$G)</f>
        <v>0</v>
      </c>
      <c r="H236" s="792"/>
    </row>
    <row r="237" spans="1:8">
      <c r="A237" s="181" t="s">
        <v>471</v>
      </c>
      <c r="B237" s="181" t="s">
        <v>472</v>
      </c>
      <c r="C237" s="791">
        <f>SUMIF('yardi_data (2)'!$A:$A,$A237,'yardi_data (2)'!C:C)</f>
        <v>0</v>
      </c>
      <c r="D237" s="791">
        <f>SUMIF('yardi_data (2)'!$A:$A,$A237,'yardi_data (2)'!$D:$D)</f>
        <v>0</v>
      </c>
      <c r="E237" s="791">
        <f>SUMIF('yardi_data (2)'!$A:$A,$A237,'yardi_data (2)'!$E:$E)</f>
        <v>0</v>
      </c>
      <c r="F237" s="791">
        <f>SUMIF('yardi_data (2)'!$A:$A,$A237,'yardi_data (2)'!$F:$F)</f>
        <v>0</v>
      </c>
      <c r="G237" s="791">
        <f>SUMIF('yardi_data (2)'!$A:$A,$A237,'yardi_data (2)'!$G:$G)</f>
        <v>0</v>
      </c>
      <c r="H237" s="792"/>
    </row>
    <row r="238" spans="1:8">
      <c r="A238" s="182" t="s">
        <v>473</v>
      </c>
      <c r="B238" s="182" t="s">
        <v>474</v>
      </c>
      <c r="C238" s="791">
        <f>SUMIF('yardi_data (2)'!$A:$A,$A238,'yardi_data (2)'!C:C)</f>
        <v>0</v>
      </c>
      <c r="D238" s="791">
        <f>SUMIF('yardi_data (2)'!$A:$A,$A238,'yardi_data (2)'!$D:$D)</f>
        <v>0</v>
      </c>
      <c r="E238" s="791">
        <f>SUMIF('yardi_data (2)'!$A:$A,$A238,'yardi_data (2)'!$E:$E)</f>
        <v>0</v>
      </c>
      <c r="F238" s="791">
        <f>SUMIF('yardi_data (2)'!$A:$A,$A238,'yardi_data (2)'!$F:$F)</f>
        <v>0</v>
      </c>
      <c r="G238" s="791">
        <f>SUMIF('yardi_data (2)'!$A:$A,$A238,'yardi_data (2)'!$G:$G)</f>
        <v>0</v>
      </c>
      <c r="H238" s="792"/>
    </row>
    <row r="239" spans="1:8">
      <c r="A239" s="181" t="s">
        <v>475</v>
      </c>
      <c r="B239" s="181" t="s">
        <v>476</v>
      </c>
      <c r="C239" s="791">
        <f>SUMIF('yardi_data (2)'!$A:$A,$A239,'yardi_data (2)'!C:C)</f>
        <v>0</v>
      </c>
      <c r="D239" s="791">
        <f>SUMIF('yardi_data (2)'!$A:$A,$A239,'yardi_data (2)'!$D:$D)</f>
        <v>0</v>
      </c>
      <c r="E239" s="791">
        <f>SUMIF('yardi_data (2)'!$A:$A,$A239,'yardi_data (2)'!$E:$E)</f>
        <v>0</v>
      </c>
      <c r="F239" s="791">
        <f>SUMIF('yardi_data (2)'!$A:$A,$A239,'yardi_data (2)'!$F:$F)</f>
        <v>0</v>
      </c>
      <c r="G239" s="791">
        <f>SUMIF('yardi_data (2)'!$A:$A,$A239,'yardi_data (2)'!$G:$G)</f>
        <v>0</v>
      </c>
      <c r="H239" s="792"/>
    </row>
    <row r="240" spans="1:8">
      <c r="A240" s="182" t="s">
        <v>477</v>
      </c>
      <c r="B240" s="182" t="s">
        <v>478</v>
      </c>
      <c r="C240" s="791">
        <f>SUMIF('yardi_data (2)'!$A:$A,$A240,'yardi_data (2)'!C:C)</f>
        <v>0</v>
      </c>
      <c r="D240" s="791">
        <f>SUMIF('yardi_data (2)'!$A:$A,$A240,'yardi_data (2)'!$D:$D)</f>
        <v>0</v>
      </c>
      <c r="E240" s="791">
        <f>SUMIF('yardi_data (2)'!$A:$A,$A240,'yardi_data (2)'!$E:$E)</f>
        <v>0</v>
      </c>
      <c r="F240" s="791">
        <f>SUMIF('yardi_data (2)'!$A:$A,$A240,'yardi_data (2)'!$F:$F)</f>
        <v>0</v>
      </c>
      <c r="G240" s="791">
        <f>SUMIF('yardi_data (2)'!$A:$A,$A240,'yardi_data (2)'!$G:$G)</f>
        <v>0</v>
      </c>
      <c r="H240" s="792"/>
    </row>
    <row r="241" spans="1:8">
      <c r="A241" s="181" t="s">
        <v>479</v>
      </c>
      <c r="B241" s="181" t="s">
        <v>480</v>
      </c>
      <c r="C241" s="791">
        <f>SUMIF('yardi_data (2)'!$A:$A,$A241,'yardi_data (2)'!C:C)</f>
        <v>0</v>
      </c>
      <c r="D241" s="791">
        <f>SUMIF('yardi_data (2)'!$A:$A,$A241,'yardi_data (2)'!$D:$D)</f>
        <v>0</v>
      </c>
      <c r="E241" s="791">
        <f>SUMIF('yardi_data (2)'!$A:$A,$A241,'yardi_data (2)'!$E:$E)</f>
        <v>0</v>
      </c>
      <c r="F241" s="791">
        <f>SUMIF('yardi_data (2)'!$A:$A,$A241,'yardi_data (2)'!$F:$F)</f>
        <v>0</v>
      </c>
      <c r="G241" s="791">
        <f>SUMIF('yardi_data (2)'!$A:$A,$A241,'yardi_data (2)'!$G:$G)</f>
        <v>0</v>
      </c>
      <c r="H241" s="792"/>
    </row>
    <row r="242" spans="1:8">
      <c r="A242" s="182" t="s">
        <v>481</v>
      </c>
      <c r="B242" s="182" t="s">
        <v>482</v>
      </c>
      <c r="C242" s="791">
        <f>SUMIF('yardi_data (2)'!$A:$A,$A242,'yardi_data (2)'!C:C)</f>
        <v>52258.06</v>
      </c>
      <c r="D242" s="791">
        <f>SUMIF('yardi_data (2)'!$A:$A,$A242,'yardi_data (2)'!$D:$D)</f>
        <v>54000</v>
      </c>
      <c r="E242" s="791">
        <f>SUMIF('yardi_data (2)'!$A:$A,$A242,'yardi_data (2)'!$E:$E)</f>
        <v>36000</v>
      </c>
      <c r="F242" s="791">
        <f>SUMIF('yardi_data (2)'!$A:$A,$A242,'yardi_data (2)'!$F:$F)</f>
        <v>36000</v>
      </c>
      <c r="G242" s="791">
        <f>SUMIF('yardi_data (2)'!$A:$A,$A242,'yardi_data (2)'!$G:$G)</f>
        <v>54000</v>
      </c>
      <c r="H242" s="792"/>
    </row>
    <row r="243" spans="1:8">
      <c r="A243" s="181" t="s">
        <v>483</v>
      </c>
      <c r="B243" s="181" t="s">
        <v>484</v>
      </c>
      <c r="C243" s="791">
        <f>SUMIF('yardi_data (2)'!$A:$A,$A243,'yardi_data (2)'!C:C)</f>
        <v>0</v>
      </c>
      <c r="D243" s="791">
        <f>SUMIF('yardi_data (2)'!$A:$A,$A243,'yardi_data (2)'!$D:$D)</f>
        <v>0</v>
      </c>
      <c r="E243" s="791">
        <f>SUMIF('yardi_data (2)'!$A:$A,$A243,'yardi_data (2)'!$E:$E)</f>
        <v>0</v>
      </c>
      <c r="F243" s="791">
        <f>SUMIF('yardi_data (2)'!$A:$A,$A243,'yardi_data (2)'!$F:$F)</f>
        <v>0</v>
      </c>
      <c r="G243" s="791">
        <f>SUMIF('yardi_data (2)'!$A:$A,$A243,'yardi_data (2)'!$G:$G)</f>
        <v>0</v>
      </c>
      <c r="H243" s="792"/>
    </row>
    <row r="244" spans="1:8">
      <c r="A244" s="182" t="s">
        <v>485</v>
      </c>
      <c r="B244" s="182" t="s">
        <v>486</v>
      </c>
      <c r="C244" s="791">
        <f>SUMIF('yardi_data (2)'!$A:$A,$A244,'yardi_data (2)'!C:C)</f>
        <v>0</v>
      </c>
      <c r="D244" s="791">
        <f>SUMIF('yardi_data (2)'!$A:$A,$A244,'yardi_data (2)'!$D:$D)</f>
        <v>0</v>
      </c>
      <c r="E244" s="791">
        <f>SUMIF('yardi_data (2)'!$A:$A,$A244,'yardi_data (2)'!$E:$E)</f>
        <v>0</v>
      </c>
      <c r="F244" s="791">
        <f>SUMIF('yardi_data (2)'!$A:$A,$A244,'yardi_data (2)'!$F:$F)</f>
        <v>0</v>
      </c>
      <c r="G244" s="791">
        <f>SUMIF('yardi_data (2)'!$A:$A,$A244,'yardi_data (2)'!$G:$G)</f>
        <v>0</v>
      </c>
      <c r="H244" s="792"/>
    </row>
    <row r="245" spans="1:8">
      <c r="A245" s="181" t="s">
        <v>487</v>
      </c>
      <c r="B245" s="181" t="s">
        <v>488</v>
      </c>
      <c r="C245" s="791">
        <f>SUMIF('yardi_data (2)'!$A:$A,$A245,'yardi_data (2)'!C:C)</f>
        <v>0</v>
      </c>
      <c r="D245" s="791">
        <f>SUMIF('yardi_data (2)'!$A:$A,$A245,'yardi_data (2)'!$D:$D)</f>
        <v>0</v>
      </c>
      <c r="E245" s="791">
        <f>SUMIF('yardi_data (2)'!$A:$A,$A245,'yardi_data (2)'!$E:$E)</f>
        <v>0</v>
      </c>
      <c r="F245" s="791">
        <f>SUMIF('yardi_data (2)'!$A:$A,$A245,'yardi_data (2)'!$F:$F)</f>
        <v>0</v>
      </c>
      <c r="G245" s="791">
        <f>SUMIF('yardi_data (2)'!$A:$A,$A245,'yardi_data (2)'!$G:$G)</f>
        <v>0</v>
      </c>
      <c r="H245" s="792"/>
    </row>
    <row r="246" spans="1:8">
      <c r="A246" s="182" t="s">
        <v>489</v>
      </c>
      <c r="B246" s="182" t="s">
        <v>490</v>
      </c>
      <c r="C246" s="791">
        <f>SUMIF('yardi_data (2)'!$A:$A,$A246,'yardi_data (2)'!C:C)</f>
        <v>0</v>
      </c>
      <c r="D246" s="791">
        <f>SUMIF('yardi_data (2)'!$A:$A,$A246,'yardi_data (2)'!$D:$D)</f>
        <v>0</v>
      </c>
      <c r="E246" s="791">
        <f>SUMIF('yardi_data (2)'!$A:$A,$A246,'yardi_data (2)'!$E:$E)</f>
        <v>0</v>
      </c>
      <c r="F246" s="791">
        <f>SUMIF('yardi_data (2)'!$A:$A,$A246,'yardi_data (2)'!$F:$F)</f>
        <v>0</v>
      </c>
      <c r="G246" s="791">
        <f>SUMIF('yardi_data (2)'!$A:$A,$A246,'yardi_data (2)'!$G:$G)</f>
        <v>0</v>
      </c>
      <c r="H246" s="792"/>
    </row>
    <row r="247" spans="1:8">
      <c r="A247" s="181" t="s">
        <v>491</v>
      </c>
      <c r="B247" s="181" t="s">
        <v>492</v>
      </c>
      <c r="C247" s="791">
        <f>SUMIF('yardi_data (2)'!$A:$A,$A247,'yardi_data (2)'!C:C)</f>
        <v>-3293.61</v>
      </c>
      <c r="D247" s="791">
        <f>SUMIF('yardi_data (2)'!$A:$A,$A247,'yardi_data (2)'!$D:$D)</f>
        <v>34468.79</v>
      </c>
      <c r="E247" s="791">
        <f>SUMIF('yardi_data (2)'!$A:$A,$A247,'yardi_data (2)'!$E:$E)</f>
        <v>19769.7</v>
      </c>
      <c r="F247" s="791">
        <f>SUMIF('yardi_data (2)'!$A:$A,$A247,'yardi_data (2)'!$F:$F)</f>
        <v>0</v>
      </c>
      <c r="G247" s="791">
        <f>SUMIF('yardi_data (2)'!$A:$A,$A247,'yardi_data (2)'!$G:$G)</f>
        <v>0</v>
      </c>
      <c r="H247" s="792"/>
    </row>
    <row r="248" spans="1:8">
      <c r="A248" s="182" t="s">
        <v>493</v>
      </c>
      <c r="B248" s="182" t="s">
        <v>494</v>
      </c>
      <c r="C248" s="791">
        <f>SUMIF('yardi_data (2)'!$A:$A,$A248,'yardi_data (2)'!C:C)</f>
        <v>-780492.77</v>
      </c>
      <c r="D248" s="791">
        <f>SUMIF('yardi_data (2)'!$A:$A,$A248,'yardi_data (2)'!$D:$D)</f>
        <v>-753032.06</v>
      </c>
      <c r="E248" s="791">
        <f>SUMIF('yardi_data (2)'!$A:$A,$A248,'yardi_data (2)'!$E:$E)</f>
        <v>-750029.91</v>
      </c>
      <c r="F248" s="791">
        <f>SUMIF('yardi_data (2)'!$A:$A,$A248,'yardi_data (2)'!$F:$F)</f>
        <v>-770999</v>
      </c>
      <c r="G248" s="791">
        <f>SUMIF('yardi_data (2)'!$A:$A,$A248,'yardi_data (2)'!$G:$G)</f>
        <v>-770999</v>
      </c>
      <c r="H248" s="792"/>
    </row>
    <row r="249" spans="1:8">
      <c r="A249" s="181" t="s">
        <v>495</v>
      </c>
      <c r="B249" s="181" t="s">
        <v>496</v>
      </c>
      <c r="C249" s="791">
        <f>SUMIF('yardi_data (2)'!$A:$A,$A249,'yardi_data (2)'!C:C)</f>
        <v>0</v>
      </c>
      <c r="D249" s="791">
        <f>SUMIF('yardi_data (2)'!$A:$A,$A249,'yardi_data (2)'!$D:$D)</f>
        <v>-19477.8</v>
      </c>
      <c r="E249" s="791">
        <f>SUMIF('yardi_data (2)'!$A:$A,$A249,'yardi_data (2)'!$E:$E)</f>
        <v>-16722.25</v>
      </c>
      <c r="F249" s="791">
        <f>SUMIF('yardi_data (2)'!$A:$A,$A249,'yardi_data (2)'!$F:$F)</f>
        <v>-22115</v>
      </c>
      <c r="G249" s="791">
        <f>SUMIF('yardi_data (2)'!$A:$A,$A249,'yardi_data (2)'!$G:$G)</f>
        <v>-22115</v>
      </c>
      <c r="H249" s="792"/>
    </row>
    <row r="250" spans="1:8">
      <c r="A250" s="182" t="s">
        <v>497</v>
      </c>
      <c r="B250" s="182" t="s">
        <v>498</v>
      </c>
      <c r="C250" s="791">
        <f>SUMIF('yardi_data (2)'!$A:$A,$A250,'yardi_data (2)'!C:C)</f>
        <v>-9306.48</v>
      </c>
      <c r="D250" s="791">
        <f>SUMIF('yardi_data (2)'!$A:$A,$A250,'yardi_data (2)'!$D:$D)</f>
        <v>-13254.87</v>
      </c>
      <c r="E250" s="791">
        <f>SUMIF('yardi_data (2)'!$A:$A,$A250,'yardi_data (2)'!$E:$E)</f>
        <v>-21359.39</v>
      </c>
      <c r="F250" s="791">
        <f>SUMIF('yardi_data (2)'!$A:$A,$A250,'yardi_data (2)'!$F:$F)</f>
        <v>-13520</v>
      </c>
      <c r="G250" s="791">
        <f>SUMIF('yardi_data (2)'!$A:$A,$A250,'yardi_data (2)'!$G:$G)</f>
        <v>-13520</v>
      </c>
      <c r="H250" s="792"/>
    </row>
    <row r="251" spans="1:8">
      <c r="A251" s="181" t="s">
        <v>499</v>
      </c>
      <c r="B251" s="181" t="s">
        <v>500</v>
      </c>
      <c r="C251" s="791">
        <f>SUMIF('yardi_data (2)'!$A:$A,$A251,'yardi_data (2)'!C:C)</f>
        <v>0</v>
      </c>
      <c r="D251" s="791">
        <f>SUMIF('yardi_data (2)'!$A:$A,$A251,'yardi_data (2)'!$D:$D)</f>
        <v>0</v>
      </c>
      <c r="E251" s="791">
        <f>SUMIF('yardi_data (2)'!$A:$A,$A251,'yardi_data (2)'!$E:$E)</f>
        <v>0</v>
      </c>
      <c r="F251" s="791">
        <f>SUMIF('yardi_data (2)'!$A:$A,$A251,'yardi_data (2)'!$F:$F)</f>
        <v>0</v>
      </c>
      <c r="G251" s="791">
        <f>SUMIF('yardi_data (2)'!$A:$A,$A251,'yardi_data (2)'!$G:$G)</f>
        <v>0</v>
      </c>
      <c r="H251" s="792"/>
    </row>
    <row r="252" spans="1:8">
      <c r="A252" s="182" t="s">
        <v>501</v>
      </c>
      <c r="B252" s="182" t="s">
        <v>502</v>
      </c>
      <c r="C252" s="791">
        <f>SUMIF('yardi_data (2)'!$A:$A,$A252,'yardi_data (2)'!C:C)</f>
        <v>-18760.419999999998</v>
      </c>
      <c r="D252" s="791">
        <f>SUMIF('yardi_data (2)'!$A:$A,$A252,'yardi_data (2)'!$D:$D)</f>
        <v>-18630.48</v>
      </c>
      <c r="E252" s="791">
        <f>SUMIF('yardi_data (2)'!$A:$A,$A252,'yardi_data (2)'!$E:$E)</f>
        <v>-19282.63</v>
      </c>
      <c r="F252" s="791">
        <f>SUMIF('yardi_data (2)'!$A:$A,$A252,'yardi_data (2)'!$F:$F)</f>
        <v>-19003</v>
      </c>
      <c r="G252" s="791">
        <f>SUMIF('yardi_data (2)'!$A:$A,$A252,'yardi_data (2)'!$G:$G)</f>
        <v>-19003</v>
      </c>
      <c r="H252" s="792"/>
    </row>
    <row r="253" spans="1:8">
      <c r="A253" s="181" t="s">
        <v>503</v>
      </c>
      <c r="B253" s="181" t="s">
        <v>504</v>
      </c>
      <c r="C253" s="791">
        <f>SUMIF('yardi_data (2)'!$A:$A,$A253,'yardi_data (2)'!C:C)</f>
        <v>0</v>
      </c>
      <c r="D253" s="791">
        <f>SUMIF('yardi_data (2)'!$A:$A,$A253,'yardi_data (2)'!$D:$D)</f>
        <v>0</v>
      </c>
      <c r="E253" s="791">
        <f>SUMIF('yardi_data (2)'!$A:$A,$A253,'yardi_data (2)'!$E:$E)</f>
        <v>0</v>
      </c>
      <c r="F253" s="791">
        <f>SUMIF('yardi_data (2)'!$A:$A,$A253,'yardi_data (2)'!$F:$F)</f>
        <v>0</v>
      </c>
      <c r="G253" s="791">
        <f>SUMIF('yardi_data (2)'!$A:$A,$A253,'yardi_data (2)'!$G:$G)</f>
        <v>0</v>
      </c>
      <c r="H253" s="792"/>
    </row>
    <row r="254" spans="1:8">
      <c r="A254" s="182" t="s">
        <v>505</v>
      </c>
      <c r="B254" s="182" t="s">
        <v>506</v>
      </c>
      <c r="C254" s="791">
        <f>SUMIF('yardi_data (2)'!$A:$A,$A254,'yardi_data (2)'!C:C)</f>
        <v>0</v>
      </c>
      <c r="D254" s="791">
        <f>SUMIF('yardi_data (2)'!$A:$A,$A254,'yardi_data (2)'!$D:$D)</f>
        <v>0</v>
      </c>
      <c r="E254" s="791">
        <f>SUMIF('yardi_data (2)'!$A:$A,$A254,'yardi_data (2)'!$E:$E)</f>
        <v>0</v>
      </c>
      <c r="F254" s="791">
        <f>SUMIF('yardi_data (2)'!$A:$A,$A254,'yardi_data (2)'!$F:$F)</f>
        <v>0</v>
      </c>
      <c r="G254" s="791">
        <f>SUMIF('yardi_data (2)'!$A:$A,$A254,'yardi_data (2)'!$G:$G)</f>
        <v>0</v>
      </c>
      <c r="H254" s="792"/>
    </row>
    <row r="255" spans="1:8">
      <c r="A255" s="181" t="s">
        <v>507</v>
      </c>
      <c r="B255" s="181" t="s">
        <v>508</v>
      </c>
      <c r="C255" s="791">
        <f>SUMIF('yardi_data (2)'!$A:$A,$A255,'yardi_data (2)'!C:C)</f>
        <v>0</v>
      </c>
      <c r="D255" s="791">
        <f>SUMIF('yardi_data (2)'!$A:$A,$A255,'yardi_data (2)'!$D:$D)</f>
        <v>0</v>
      </c>
      <c r="E255" s="791">
        <f>SUMIF('yardi_data (2)'!$A:$A,$A255,'yardi_data (2)'!$E:$E)</f>
        <v>0</v>
      </c>
      <c r="F255" s="791">
        <f>SUMIF('yardi_data (2)'!$A:$A,$A255,'yardi_data (2)'!$F:$F)</f>
        <v>0</v>
      </c>
      <c r="G255" s="791">
        <f>SUMIF('yardi_data (2)'!$A:$A,$A255,'yardi_data (2)'!$G:$G)</f>
        <v>0</v>
      </c>
      <c r="H255" s="792"/>
    </row>
    <row r="256" spans="1:8">
      <c r="A256" s="182" t="s">
        <v>509</v>
      </c>
      <c r="B256" s="182" t="s">
        <v>510</v>
      </c>
      <c r="C256" s="791">
        <f>SUMIF('yardi_data (2)'!$A:$A,$A256,'yardi_data (2)'!C:C)</f>
        <v>0</v>
      </c>
      <c r="D256" s="791">
        <f>SUMIF('yardi_data (2)'!$A:$A,$A256,'yardi_data (2)'!$D:$D)</f>
        <v>0</v>
      </c>
      <c r="E256" s="791">
        <f>SUMIF('yardi_data (2)'!$A:$A,$A256,'yardi_data (2)'!$E:$E)</f>
        <v>0</v>
      </c>
      <c r="F256" s="791">
        <f>SUMIF('yardi_data (2)'!$A:$A,$A256,'yardi_data (2)'!$F:$F)</f>
        <v>0</v>
      </c>
      <c r="G256" s="791">
        <f>SUMIF('yardi_data (2)'!$A:$A,$A256,'yardi_data (2)'!$G:$G)</f>
        <v>0</v>
      </c>
      <c r="H256" s="792"/>
    </row>
    <row r="257" spans="1:8">
      <c r="A257" s="181" t="s">
        <v>511</v>
      </c>
      <c r="B257" s="181" t="s">
        <v>512</v>
      </c>
      <c r="C257" s="791">
        <f>SUMIF('yardi_data (2)'!$A:$A,$A257,'yardi_data (2)'!C:C)</f>
        <v>49587.519999999997</v>
      </c>
      <c r="D257" s="791">
        <f>SUMIF('yardi_data (2)'!$A:$A,$A257,'yardi_data (2)'!$D:$D)</f>
        <v>57860.18</v>
      </c>
      <c r="E257" s="791">
        <f>SUMIF('yardi_data (2)'!$A:$A,$A257,'yardi_data (2)'!$E:$E)</f>
        <v>36115.75</v>
      </c>
      <c r="F257" s="791">
        <f>SUMIF('yardi_data (2)'!$A:$A,$A257,'yardi_data (2)'!$F:$F)</f>
        <v>35320</v>
      </c>
      <c r="G257" s="791">
        <f>SUMIF('yardi_data (2)'!$A:$A,$A257,'yardi_data (2)'!$G:$G)</f>
        <v>52980</v>
      </c>
      <c r="H257" s="792"/>
    </row>
    <row r="258" spans="1:8">
      <c r="A258" s="182" t="s">
        <v>513</v>
      </c>
      <c r="B258" s="182" t="s">
        <v>514</v>
      </c>
      <c r="C258" s="791">
        <f>SUMIF('yardi_data (2)'!$A:$A,$A258,'yardi_data (2)'!C:C)</f>
        <v>6435.02</v>
      </c>
      <c r="D258" s="791">
        <f>SUMIF('yardi_data (2)'!$A:$A,$A258,'yardi_data (2)'!$D:$D)</f>
        <v>4615.0200000000004</v>
      </c>
      <c r="E258" s="791">
        <f>SUMIF('yardi_data (2)'!$A:$A,$A258,'yardi_data (2)'!$E:$E)</f>
        <v>2959.95</v>
      </c>
      <c r="F258" s="791">
        <f>SUMIF('yardi_data (2)'!$A:$A,$A258,'yardi_data (2)'!$F:$F)</f>
        <v>3120</v>
      </c>
      <c r="G258" s="791">
        <f>SUMIF('yardi_data (2)'!$A:$A,$A258,'yardi_data (2)'!$G:$G)</f>
        <v>4680</v>
      </c>
      <c r="H258" s="792"/>
    </row>
    <row r="259" spans="1:8">
      <c r="A259" s="181" t="s">
        <v>515</v>
      </c>
      <c r="B259" s="181" t="s">
        <v>516</v>
      </c>
      <c r="C259" s="791">
        <f>SUMIF('yardi_data (2)'!$A:$A,$A259,'yardi_data (2)'!C:C)</f>
        <v>0</v>
      </c>
      <c r="D259" s="791">
        <f>SUMIF('yardi_data (2)'!$A:$A,$A259,'yardi_data (2)'!$D:$D)</f>
        <v>0</v>
      </c>
      <c r="E259" s="791">
        <f>SUMIF('yardi_data (2)'!$A:$A,$A259,'yardi_data (2)'!$E:$E)</f>
        <v>0</v>
      </c>
      <c r="F259" s="791">
        <f>SUMIF('yardi_data (2)'!$A:$A,$A259,'yardi_data (2)'!$F:$F)</f>
        <v>0</v>
      </c>
      <c r="G259" s="791">
        <f>SUMIF('yardi_data (2)'!$A:$A,$A259,'yardi_data (2)'!$G:$G)</f>
        <v>0</v>
      </c>
      <c r="H259" s="792"/>
    </row>
    <row r="260" spans="1:8">
      <c r="A260" s="182" t="s">
        <v>517</v>
      </c>
      <c r="B260" s="182" t="s">
        <v>518</v>
      </c>
      <c r="C260" s="791">
        <f>SUMIF('yardi_data (2)'!$A:$A,$A260,'yardi_data (2)'!C:C)</f>
        <v>0</v>
      </c>
      <c r="D260" s="791">
        <f>SUMIF('yardi_data (2)'!$A:$A,$A260,'yardi_data (2)'!$D:$D)</f>
        <v>0</v>
      </c>
      <c r="E260" s="791">
        <f>SUMIF('yardi_data (2)'!$A:$A,$A260,'yardi_data (2)'!$E:$E)</f>
        <v>0</v>
      </c>
      <c r="F260" s="791">
        <f>SUMIF('yardi_data (2)'!$A:$A,$A260,'yardi_data (2)'!$F:$F)</f>
        <v>0</v>
      </c>
      <c r="G260" s="791">
        <f>SUMIF('yardi_data (2)'!$A:$A,$A260,'yardi_data (2)'!$G:$G)</f>
        <v>0</v>
      </c>
      <c r="H260" s="792"/>
    </row>
    <row r="261" spans="1:8">
      <c r="A261" s="181" t="s">
        <v>519</v>
      </c>
      <c r="B261" s="181" t="s">
        <v>520</v>
      </c>
      <c r="C261" s="791">
        <f>SUMIF('yardi_data (2)'!$A:$A,$A261,'yardi_data (2)'!C:C)</f>
        <v>0</v>
      </c>
      <c r="D261" s="791">
        <f>SUMIF('yardi_data (2)'!$A:$A,$A261,'yardi_data (2)'!$D:$D)</f>
        <v>0</v>
      </c>
      <c r="E261" s="791">
        <f>SUMIF('yardi_data (2)'!$A:$A,$A261,'yardi_data (2)'!$E:$E)</f>
        <v>0</v>
      </c>
      <c r="F261" s="791">
        <f>SUMIF('yardi_data (2)'!$A:$A,$A261,'yardi_data (2)'!$F:$F)</f>
        <v>0</v>
      </c>
      <c r="G261" s="791">
        <f>SUMIF('yardi_data (2)'!$A:$A,$A261,'yardi_data (2)'!$G:$G)</f>
        <v>0</v>
      </c>
      <c r="H261" s="792"/>
    </row>
    <row r="262" spans="1:8">
      <c r="A262" s="182" t="s">
        <v>521</v>
      </c>
      <c r="B262" s="182" t="s">
        <v>522</v>
      </c>
      <c r="C262" s="791">
        <f>SUMIF('yardi_data (2)'!$A:$A,$A262,'yardi_data (2)'!C:C)</f>
        <v>0</v>
      </c>
      <c r="D262" s="791">
        <f>SUMIF('yardi_data (2)'!$A:$A,$A262,'yardi_data (2)'!$D:$D)</f>
        <v>0</v>
      </c>
      <c r="E262" s="791">
        <f>SUMIF('yardi_data (2)'!$A:$A,$A262,'yardi_data (2)'!$E:$E)</f>
        <v>0</v>
      </c>
      <c r="F262" s="791">
        <f>SUMIF('yardi_data (2)'!$A:$A,$A262,'yardi_data (2)'!$F:$F)</f>
        <v>0</v>
      </c>
      <c r="G262" s="791">
        <f>SUMIF('yardi_data (2)'!$A:$A,$A262,'yardi_data (2)'!$G:$G)</f>
        <v>0</v>
      </c>
      <c r="H262" s="792"/>
    </row>
    <row r="263" spans="1:8">
      <c r="A263" s="181" t="s">
        <v>523</v>
      </c>
      <c r="B263" s="181" t="s">
        <v>524</v>
      </c>
      <c r="C263" s="791">
        <f>SUMIF('yardi_data (2)'!$A:$A,$A263,'yardi_data (2)'!C:C)</f>
        <v>60000</v>
      </c>
      <c r="D263" s="791">
        <f>SUMIF('yardi_data (2)'!$A:$A,$A263,'yardi_data (2)'!$D:$D)</f>
        <v>50000</v>
      </c>
      <c r="E263" s="791">
        <f>SUMIF('yardi_data (2)'!$A:$A,$A263,'yardi_data (2)'!$E:$E)</f>
        <v>49699.94</v>
      </c>
      <c r="F263" s="791">
        <f>SUMIF('yardi_data (2)'!$A:$A,$A263,'yardi_data (2)'!$F:$F)</f>
        <v>35333.360000000001</v>
      </c>
      <c r="G263" s="791">
        <f>SUMIF('yardi_data (2)'!$A:$A,$A263,'yardi_data (2)'!$G:$G)</f>
        <v>53000</v>
      </c>
      <c r="H263" s="792"/>
    </row>
    <row r="264" spans="1:8">
      <c r="A264" s="182" t="s">
        <v>525</v>
      </c>
      <c r="B264" s="182" t="s">
        <v>526</v>
      </c>
      <c r="C264" s="791">
        <f>SUMIF('yardi_data (2)'!$A:$A,$A264,'yardi_data (2)'!C:C)</f>
        <v>0</v>
      </c>
      <c r="D264" s="791">
        <f>SUMIF('yardi_data (2)'!$A:$A,$A264,'yardi_data (2)'!$D:$D)</f>
        <v>0</v>
      </c>
      <c r="E264" s="791">
        <f>SUMIF('yardi_data (2)'!$A:$A,$A264,'yardi_data (2)'!$E:$E)</f>
        <v>0</v>
      </c>
      <c r="F264" s="791">
        <f>SUMIF('yardi_data (2)'!$A:$A,$A264,'yardi_data (2)'!$F:$F)</f>
        <v>0</v>
      </c>
      <c r="G264" s="791">
        <f>SUMIF('yardi_data (2)'!$A:$A,$A264,'yardi_data (2)'!$G:$G)</f>
        <v>0</v>
      </c>
      <c r="H264" s="792"/>
    </row>
    <row r="265" spans="1:8">
      <c r="A265" s="181" t="s">
        <v>527</v>
      </c>
      <c r="B265" s="181" t="s">
        <v>528</v>
      </c>
      <c r="C265" s="791">
        <f>SUMIF('yardi_data (2)'!$A:$A,$A265,'yardi_data (2)'!C:C)</f>
        <v>0</v>
      </c>
      <c r="D265" s="791">
        <f>SUMIF('yardi_data (2)'!$A:$A,$A265,'yardi_data (2)'!$D:$D)</f>
        <v>0</v>
      </c>
      <c r="E265" s="791">
        <f>SUMIF('yardi_data (2)'!$A:$A,$A265,'yardi_data (2)'!$E:$E)</f>
        <v>0</v>
      </c>
      <c r="F265" s="791">
        <f>SUMIF('yardi_data (2)'!$A:$A,$A265,'yardi_data (2)'!$F:$F)</f>
        <v>0</v>
      </c>
      <c r="G265" s="791">
        <f>SUMIF('yardi_data (2)'!$A:$A,$A265,'yardi_data (2)'!$G:$G)</f>
        <v>0</v>
      </c>
      <c r="H265" s="792"/>
    </row>
    <row r="266" spans="1:8">
      <c r="A266" s="182" t="s">
        <v>529</v>
      </c>
      <c r="B266" s="182" t="s">
        <v>530</v>
      </c>
      <c r="C266" s="791">
        <f>SUMIF('yardi_data (2)'!$A:$A,$A266,'yardi_data (2)'!C:C)</f>
        <v>0</v>
      </c>
      <c r="D266" s="791">
        <f>SUMIF('yardi_data (2)'!$A:$A,$A266,'yardi_data (2)'!$D:$D)</f>
        <v>0</v>
      </c>
      <c r="E266" s="791">
        <f>SUMIF('yardi_data (2)'!$A:$A,$A266,'yardi_data (2)'!$E:$E)</f>
        <v>0</v>
      </c>
      <c r="F266" s="791">
        <f>SUMIF('yardi_data (2)'!$A:$A,$A266,'yardi_data (2)'!$F:$F)</f>
        <v>0</v>
      </c>
      <c r="G266" s="791">
        <f>SUMIF('yardi_data (2)'!$A:$A,$A266,'yardi_data (2)'!$G:$G)</f>
        <v>0</v>
      </c>
      <c r="H266" s="792"/>
    </row>
    <row r="267" spans="1:8">
      <c r="A267" s="181" t="s">
        <v>531</v>
      </c>
      <c r="B267" s="181" t="s">
        <v>532</v>
      </c>
      <c r="C267" s="791">
        <f>SUMIF('yardi_data (2)'!$A:$A,$A267,'yardi_data (2)'!C:C)</f>
        <v>0</v>
      </c>
      <c r="D267" s="791">
        <f>SUMIF('yardi_data (2)'!$A:$A,$A267,'yardi_data (2)'!$D:$D)</f>
        <v>0</v>
      </c>
      <c r="E267" s="791">
        <f>SUMIF('yardi_data (2)'!$A:$A,$A267,'yardi_data (2)'!$E:$E)</f>
        <v>0</v>
      </c>
      <c r="F267" s="791">
        <f>SUMIF('yardi_data (2)'!$A:$A,$A267,'yardi_data (2)'!$F:$F)</f>
        <v>0</v>
      </c>
      <c r="G267" s="791">
        <f>SUMIF('yardi_data (2)'!$A:$A,$A267,'yardi_data (2)'!$G:$G)</f>
        <v>0</v>
      </c>
      <c r="H267" s="792"/>
    </row>
    <row r="268" spans="1:8">
      <c r="A268" s="182" t="s">
        <v>533</v>
      </c>
      <c r="B268" s="182" t="s">
        <v>534</v>
      </c>
      <c r="C268" s="791">
        <f>SUMIF('yardi_data (2)'!$A:$A,$A268,'yardi_data (2)'!C:C)</f>
        <v>463643.1</v>
      </c>
      <c r="D268" s="791">
        <f>SUMIF('yardi_data (2)'!$A:$A,$A268,'yardi_data (2)'!$D:$D)</f>
        <v>450963.02</v>
      </c>
      <c r="E268" s="791">
        <f>SUMIF('yardi_data (2)'!$A:$A,$A268,'yardi_data (2)'!$E:$E)</f>
        <v>344059.74</v>
      </c>
      <c r="F268" s="791">
        <f>SUMIF('yardi_data (2)'!$A:$A,$A268,'yardi_data (2)'!$F:$F)</f>
        <v>304000</v>
      </c>
      <c r="G268" s="791">
        <f>SUMIF('yardi_data (2)'!$A:$A,$A268,'yardi_data (2)'!$G:$G)</f>
        <v>456000</v>
      </c>
      <c r="H268" s="792"/>
    </row>
    <row r="269" spans="1:8">
      <c r="A269" s="181" t="s">
        <v>535</v>
      </c>
      <c r="B269" s="181" t="s">
        <v>536</v>
      </c>
      <c r="C269" s="791">
        <f>SUMIF('yardi_data (2)'!$A:$A,$A269,'yardi_data (2)'!C:C)</f>
        <v>0</v>
      </c>
      <c r="D269" s="791">
        <f>SUMIF('yardi_data (2)'!$A:$A,$A269,'yardi_data (2)'!$D:$D)</f>
        <v>0</v>
      </c>
      <c r="E269" s="791">
        <f>SUMIF('yardi_data (2)'!$A:$A,$A269,'yardi_data (2)'!$E:$E)</f>
        <v>0</v>
      </c>
      <c r="F269" s="791">
        <f>SUMIF('yardi_data (2)'!$A:$A,$A269,'yardi_data (2)'!$F:$F)</f>
        <v>0</v>
      </c>
      <c r="G269" s="791">
        <f>SUMIF('yardi_data (2)'!$A:$A,$A269,'yardi_data (2)'!$G:$G)</f>
        <v>0</v>
      </c>
      <c r="H269" s="792"/>
    </row>
    <row r="270" spans="1:8">
      <c r="A270" s="182" t="s">
        <v>537</v>
      </c>
      <c r="B270" s="182" t="s">
        <v>538</v>
      </c>
      <c r="C270" s="791">
        <f>SUMIF('yardi_data (2)'!$A:$A,$A270,'yardi_data (2)'!C:C)</f>
        <v>0</v>
      </c>
      <c r="D270" s="791">
        <f>SUMIF('yardi_data (2)'!$A:$A,$A270,'yardi_data (2)'!$D:$D)</f>
        <v>0</v>
      </c>
      <c r="E270" s="791">
        <f>SUMIF('yardi_data (2)'!$A:$A,$A270,'yardi_data (2)'!$E:$E)</f>
        <v>0</v>
      </c>
      <c r="F270" s="791">
        <f>SUMIF('yardi_data (2)'!$A:$A,$A270,'yardi_data (2)'!$F:$F)</f>
        <v>0</v>
      </c>
      <c r="G270" s="791">
        <f>SUMIF('yardi_data (2)'!$A:$A,$A270,'yardi_data (2)'!$G:$G)</f>
        <v>0</v>
      </c>
      <c r="H270" s="792"/>
    </row>
    <row r="271" spans="1:8">
      <c r="A271" s="181" t="s">
        <v>539</v>
      </c>
      <c r="B271" s="181" t="s">
        <v>540</v>
      </c>
      <c r="C271" s="791">
        <f>SUMIF('yardi_data (2)'!$A:$A,$A271,'yardi_data (2)'!C:C)</f>
        <v>0</v>
      </c>
      <c r="D271" s="791">
        <f>SUMIF('yardi_data (2)'!$A:$A,$A271,'yardi_data (2)'!$D:$D)</f>
        <v>0</v>
      </c>
      <c r="E271" s="791">
        <f>SUMIF('yardi_data (2)'!$A:$A,$A271,'yardi_data (2)'!$E:$E)</f>
        <v>0</v>
      </c>
      <c r="F271" s="791">
        <f>SUMIF('yardi_data (2)'!$A:$A,$A271,'yardi_data (2)'!$F:$F)</f>
        <v>0</v>
      </c>
      <c r="G271" s="791">
        <f>SUMIF('yardi_data (2)'!$A:$A,$A271,'yardi_data (2)'!$G:$G)</f>
        <v>0</v>
      </c>
      <c r="H271" s="792"/>
    </row>
    <row r="272" spans="1:8">
      <c r="A272" s="182" t="s">
        <v>541</v>
      </c>
      <c r="B272" s="182" t="s">
        <v>542</v>
      </c>
      <c r="C272" s="791">
        <f>SUMIF('yardi_data (2)'!$A:$A,$A272,'yardi_data (2)'!C:C)</f>
        <v>0</v>
      </c>
      <c r="D272" s="791">
        <f>SUMIF('yardi_data (2)'!$A:$A,$A272,'yardi_data (2)'!$D:$D)</f>
        <v>0</v>
      </c>
      <c r="E272" s="791">
        <f>SUMIF('yardi_data (2)'!$A:$A,$A272,'yardi_data (2)'!$E:$E)</f>
        <v>0</v>
      </c>
      <c r="F272" s="791">
        <f>SUMIF('yardi_data (2)'!$A:$A,$A272,'yardi_data (2)'!$F:$F)</f>
        <v>0</v>
      </c>
      <c r="G272" s="791">
        <f>SUMIF('yardi_data (2)'!$A:$A,$A272,'yardi_data (2)'!$G:$G)</f>
        <v>0</v>
      </c>
      <c r="H272" s="792"/>
    </row>
    <row r="273" spans="1:8">
      <c r="A273" s="181" t="s">
        <v>543</v>
      </c>
      <c r="B273" s="181" t="s">
        <v>544</v>
      </c>
      <c r="C273" s="791">
        <f>SUMIF('yardi_data (2)'!$A:$A,$A273,'yardi_data (2)'!C:C)</f>
        <v>0</v>
      </c>
      <c r="D273" s="791">
        <f>SUMIF('yardi_data (2)'!$A:$A,$A273,'yardi_data (2)'!$D:$D)</f>
        <v>0</v>
      </c>
      <c r="E273" s="791">
        <f>SUMIF('yardi_data (2)'!$A:$A,$A273,'yardi_data (2)'!$E:$E)</f>
        <v>0</v>
      </c>
      <c r="F273" s="791">
        <f>SUMIF('yardi_data (2)'!$A:$A,$A273,'yardi_data (2)'!$F:$F)</f>
        <v>0</v>
      </c>
      <c r="G273" s="791">
        <f>SUMIF('yardi_data (2)'!$A:$A,$A273,'yardi_data (2)'!$G:$G)</f>
        <v>0</v>
      </c>
      <c r="H273" s="792"/>
    </row>
    <row r="274" spans="1:8">
      <c r="A274" s="182" t="s">
        <v>545</v>
      </c>
      <c r="B274" s="182" t="s">
        <v>546</v>
      </c>
      <c r="C274" s="791">
        <f>SUMIF('yardi_data (2)'!$A:$A,$A274,'yardi_data (2)'!C:C)</f>
        <v>843348.66</v>
      </c>
      <c r="D274" s="791">
        <f>SUMIF('yardi_data (2)'!$A:$A,$A274,'yardi_data (2)'!$D:$D)</f>
        <v>830532.77</v>
      </c>
      <c r="E274" s="791">
        <f>SUMIF('yardi_data (2)'!$A:$A,$A274,'yardi_data (2)'!$E:$E)</f>
        <v>843076.65</v>
      </c>
      <c r="F274" s="791">
        <f>SUMIF('yardi_data (2)'!$A:$A,$A274,'yardi_data (2)'!$F:$F)</f>
        <v>221858</v>
      </c>
      <c r="G274" s="791">
        <f>SUMIF('yardi_data (2)'!$A:$A,$A274,'yardi_data (2)'!$G:$G)</f>
        <v>221858</v>
      </c>
      <c r="H274" s="792"/>
    </row>
    <row r="275" spans="1:8">
      <c r="A275" s="181" t="s">
        <v>547</v>
      </c>
      <c r="B275" s="181" t="s">
        <v>548</v>
      </c>
      <c r="C275" s="791">
        <f>SUMIF('yardi_data (2)'!$A:$A,$A275,'yardi_data (2)'!C:C)</f>
        <v>0</v>
      </c>
      <c r="D275" s="791">
        <f>SUMIF('yardi_data (2)'!$A:$A,$A275,'yardi_data (2)'!$D:$D)</f>
        <v>0</v>
      </c>
      <c r="E275" s="791">
        <f>SUMIF('yardi_data (2)'!$A:$A,$A275,'yardi_data (2)'!$E:$E)</f>
        <v>0</v>
      </c>
      <c r="F275" s="791">
        <f>SUMIF('yardi_data (2)'!$A:$A,$A275,'yardi_data (2)'!$F:$F)</f>
        <v>0</v>
      </c>
      <c r="G275" s="791">
        <f>SUMIF('yardi_data (2)'!$A:$A,$A275,'yardi_data (2)'!$G:$G)</f>
        <v>0</v>
      </c>
      <c r="H275" s="792"/>
    </row>
    <row r="276" spans="1:8">
      <c r="A276" s="182" t="s">
        <v>549</v>
      </c>
      <c r="B276" s="182" t="s">
        <v>550</v>
      </c>
      <c r="C276" s="791">
        <f>SUMIF('yardi_data (2)'!$A:$A,$A276,'yardi_data (2)'!C:C)</f>
        <v>0</v>
      </c>
      <c r="D276" s="791">
        <f>SUMIF('yardi_data (2)'!$A:$A,$A276,'yardi_data (2)'!$D:$D)</f>
        <v>0</v>
      </c>
      <c r="E276" s="791">
        <f>SUMIF('yardi_data (2)'!$A:$A,$A276,'yardi_data (2)'!$E:$E)</f>
        <v>0</v>
      </c>
      <c r="F276" s="791">
        <f>SUMIF('yardi_data (2)'!$A:$A,$A276,'yardi_data (2)'!$F:$F)</f>
        <v>0</v>
      </c>
      <c r="G276" s="791">
        <f>SUMIF('yardi_data (2)'!$A:$A,$A276,'yardi_data (2)'!$G:$G)</f>
        <v>0</v>
      </c>
      <c r="H276" s="792"/>
    </row>
    <row r="277" spans="1:8">
      <c r="A277" s="181" t="s">
        <v>551</v>
      </c>
      <c r="B277" s="181" t="s">
        <v>552</v>
      </c>
      <c r="C277" s="791">
        <f>SUMIF('yardi_data (2)'!$A:$A,$A277,'yardi_data (2)'!C:C)</f>
        <v>0</v>
      </c>
      <c r="D277" s="791">
        <f>SUMIF('yardi_data (2)'!$A:$A,$A277,'yardi_data (2)'!$D:$D)</f>
        <v>0</v>
      </c>
      <c r="E277" s="791">
        <f>SUMIF('yardi_data (2)'!$A:$A,$A277,'yardi_data (2)'!$E:$E)</f>
        <v>0</v>
      </c>
      <c r="F277" s="791">
        <f>SUMIF('yardi_data (2)'!$A:$A,$A277,'yardi_data (2)'!$F:$F)</f>
        <v>0</v>
      </c>
      <c r="G277" s="791">
        <f>SUMIF('yardi_data (2)'!$A:$A,$A277,'yardi_data (2)'!$G:$G)</f>
        <v>0</v>
      </c>
      <c r="H277" s="792"/>
    </row>
    <row r="278" spans="1:8">
      <c r="A278" s="182" t="s">
        <v>553</v>
      </c>
      <c r="B278" s="182" t="s">
        <v>554</v>
      </c>
      <c r="C278" s="791">
        <f>SUMIF('yardi_data (2)'!$A:$A,$A278,'yardi_data (2)'!C:C)</f>
        <v>0</v>
      </c>
      <c r="D278" s="791">
        <f>SUMIF('yardi_data (2)'!$A:$A,$A278,'yardi_data (2)'!$D:$D)</f>
        <v>0</v>
      </c>
      <c r="E278" s="791">
        <f>SUMIF('yardi_data (2)'!$A:$A,$A278,'yardi_data (2)'!$E:$E)</f>
        <v>0</v>
      </c>
      <c r="F278" s="791">
        <f>SUMIF('yardi_data (2)'!$A:$A,$A278,'yardi_data (2)'!$F:$F)</f>
        <v>0</v>
      </c>
      <c r="G278" s="791">
        <f>SUMIF('yardi_data (2)'!$A:$A,$A278,'yardi_data (2)'!$G:$G)</f>
        <v>0</v>
      </c>
      <c r="H278" s="792"/>
    </row>
    <row r="279" spans="1:8">
      <c r="A279" s="181" t="s">
        <v>555</v>
      </c>
      <c r="B279" s="181" t="s">
        <v>556</v>
      </c>
      <c r="C279" s="791">
        <f>SUMIF('yardi_data (2)'!$A:$A,$A279,'yardi_data (2)'!C:C)</f>
        <v>0</v>
      </c>
      <c r="D279" s="791">
        <f>SUMIF('yardi_data (2)'!$A:$A,$A279,'yardi_data (2)'!$D:$D)</f>
        <v>0</v>
      </c>
      <c r="E279" s="791">
        <f>SUMIF('yardi_data (2)'!$A:$A,$A279,'yardi_data (2)'!$E:$E)</f>
        <v>0</v>
      </c>
      <c r="F279" s="791">
        <f>SUMIF('yardi_data (2)'!$A:$A,$A279,'yardi_data (2)'!$F:$F)</f>
        <v>0</v>
      </c>
      <c r="G279" s="791">
        <f>SUMIF('yardi_data (2)'!$A:$A,$A279,'yardi_data (2)'!$G:$G)</f>
        <v>0</v>
      </c>
      <c r="H279" s="792"/>
    </row>
    <row r="280" spans="1:8">
      <c r="A280" s="182" t="s">
        <v>557</v>
      </c>
      <c r="B280" s="182" t="s">
        <v>558</v>
      </c>
      <c r="C280" s="791">
        <f>SUMIF('yardi_data (2)'!$A:$A,$A280,'yardi_data (2)'!C:C)</f>
        <v>0</v>
      </c>
      <c r="D280" s="791">
        <f>SUMIF('yardi_data (2)'!$A:$A,$A280,'yardi_data (2)'!$D:$D)</f>
        <v>0</v>
      </c>
      <c r="E280" s="791">
        <f>SUMIF('yardi_data (2)'!$A:$A,$A280,'yardi_data (2)'!$E:$E)</f>
        <v>0</v>
      </c>
      <c r="F280" s="791">
        <f>SUMIF('yardi_data (2)'!$A:$A,$A280,'yardi_data (2)'!$F:$F)</f>
        <v>0</v>
      </c>
      <c r="G280" s="791">
        <f>SUMIF('yardi_data (2)'!$A:$A,$A280,'yardi_data (2)'!$G:$G)</f>
        <v>0</v>
      </c>
      <c r="H280" s="792"/>
    </row>
    <row r="281" spans="1:8">
      <c r="A281" s="181" t="s">
        <v>559</v>
      </c>
      <c r="B281" s="181" t="s">
        <v>560</v>
      </c>
      <c r="C281" s="791">
        <f>SUMIF('yardi_data (2)'!$A:$A,$A281,'yardi_data (2)'!C:C)</f>
        <v>754.35</v>
      </c>
      <c r="D281" s="791">
        <f>SUMIF('yardi_data (2)'!$A:$A,$A281,'yardi_data (2)'!$D:$D)</f>
        <v>754.35</v>
      </c>
      <c r="E281" s="791">
        <f>SUMIF('yardi_data (2)'!$A:$A,$A281,'yardi_data (2)'!$E:$E)</f>
        <v>0</v>
      </c>
      <c r="F281" s="791">
        <f>SUMIF('yardi_data (2)'!$A:$A,$A281,'yardi_data (2)'!$F:$F)</f>
        <v>0</v>
      </c>
      <c r="G281" s="791">
        <f>SUMIF('yardi_data (2)'!$A:$A,$A281,'yardi_data (2)'!$G:$G)</f>
        <v>0</v>
      </c>
      <c r="H281" s="792"/>
    </row>
    <row r="282" spans="1:8">
      <c r="A282" s="182" t="s">
        <v>561</v>
      </c>
      <c r="B282" s="182" t="s">
        <v>562</v>
      </c>
      <c r="C282" s="791">
        <f>SUMIF('yardi_data (2)'!$A:$A,$A282,'yardi_data (2)'!C:C)</f>
        <v>0</v>
      </c>
      <c r="D282" s="791">
        <f>SUMIF('yardi_data (2)'!$A:$A,$A282,'yardi_data (2)'!$D:$D)</f>
        <v>0</v>
      </c>
      <c r="E282" s="791">
        <f>SUMIF('yardi_data (2)'!$A:$A,$A282,'yardi_data (2)'!$E:$E)</f>
        <v>0</v>
      </c>
      <c r="F282" s="791">
        <f>SUMIF('yardi_data (2)'!$A:$A,$A282,'yardi_data (2)'!$F:$F)</f>
        <v>0</v>
      </c>
      <c r="G282" s="791">
        <f>SUMIF('yardi_data (2)'!$A:$A,$A282,'yardi_data (2)'!$G:$G)</f>
        <v>0</v>
      </c>
      <c r="H282" s="792"/>
    </row>
    <row r="283" spans="1:8">
      <c r="A283" s="181" t="s">
        <v>563</v>
      </c>
      <c r="B283" s="181" t="s">
        <v>564</v>
      </c>
      <c r="C283" s="791">
        <f>SUMIF('yardi_data (2)'!$A:$A,$A283,'yardi_data (2)'!C:C)</f>
        <v>0</v>
      </c>
      <c r="D283" s="791">
        <f>SUMIF('yardi_data (2)'!$A:$A,$A283,'yardi_data (2)'!$D:$D)</f>
        <v>0</v>
      </c>
      <c r="E283" s="791">
        <f>SUMIF('yardi_data (2)'!$A:$A,$A283,'yardi_data (2)'!$E:$E)</f>
        <v>0</v>
      </c>
      <c r="F283" s="791">
        <f>SUMIF('yardi_data (2)'!$A:$A,$A283,'yardi_data (2)'!$F:$F)</f>
        <v>0</v>
      </c>
      <c r="G283" s="791">
        <f>SUMIF('yardi_data (2)'!$A:$A,$A283,'yardi_data (2)'!$G:$G)</f>
        <v>0</v>
      </c>
      <c r="H283" s="792"/>
    </row>
    <row r="284" spans="1:8">
      <c r="A284" s="182" t="s">
        <v>565</v>
      </c>
      <c r="B284" s="182" t="s">
        <v>566</v>
      </c>
      <c r="C284" s="791">
        <f>SUMIF('yardi_data (2)'!$A:$A,$A284,'yardi_data (2)'!C:C)</f>
        <v>0</v>
      </c>
      <c r="D284" s="791">
        <f>SUMIF('yardi_data (2)'!$A:$A,$A284,'yardi_data (2)'!$D:$D)</f>
        <v>0</v>
      </c>
      <c r="E284" s="791">
        <f>SUMIF('yardi_data (2)'!$A:$A,$A284,'yardi_data (2)'!$E:$E)</f>
        <v>0</v>
      </c>
      <c r="F284" s="791">
        <f>SUMIF('yardi_data (2)'!$A:$A,$A284,'yardi_data (2)'!$F:$F)</f>
        <v>0</v>
      </c>
      <c r="G284" s="791">
        <f>SUMIF('yardi_data (2)'!$A:$A,$A284,'yardi_data (2)'!$G:$G)</f>
        <v>0</v>
      </c>
      <c r="H284" s="792"/>
    </row>
    <row r="285" spans="1:8">
      <c r="A285" s="181" t="s">
        <v>567</v>
      </c>
      <c r="B285" s="181" t="s">
        <v>568</v>
      </c>
      <c r="C285" s="791">
        <f>SUMIF('yardi_data (2)'!$A:$A,$A285,'yardi_data (2)'!C:C)</f>
        <v>0</v>
      </c>
      <c r="D285" s="791">
        <f>SUMIF('yardi_data (2)'!$A:$A,$A285,'yardi_data (2)'!$D:$D)</f>
        <v>0</v>
      </c>
      <c r="E285" s="791">
        <f>SUMIF('yardi_data (2)'!$A:$A,$A285,'yardi_data (2)'!$E:$E)</f>
        <v>0</v>
      </c>
      <c r="F285" s="791">
        <f>SUMIF('yardi_data (2)'!$A:$A,$A285,'yardi_data (2)'!$F:$F)</f>
        <v>0</v>
      </c>
      <c r="G285" s="791">
        <f>SUMIF('yardi_data (2)'!$A:$A,$A285,'yardi_data (2)'!$G:$G)</f>
        <v>0</v>
      </c>
      <c r="H285" s="792"/>
    </row>
    <row r="286" spans="1:8">
      <c r="A286" s="182" t="s">
        <v>569</v>
      </c>
      <c r="B286" s="182" t="s">
        <v>570</v>
      </c>
      <c r="C286" s="791">
        <f>SUMIF('yardi_data (2)'!$A:$A,$A286,'yardi_data (2)'!C:C)</f>
        <v>0</v>
      </c>
      <c r="D286" s="791">
        <f>SUMIF('yardi_data (2)'!$A:$A,$A286,'yardi_data (2)'!$D:$D)</f>
        <v>0</v>
      </c>
      <c r="E286" s="791">
        <f>SUMIF('yardi_data (2)'!$A:$A,$A286,'yardi_data (2)'!$E:$E)</f>
        <v>0</v>
      </c>
      <c r="F286" s="791">
        <f>SUMIF('yardi_data (2)'!$A:$A,$A286,'yardi_data (2)'!$F:$F)</f>
        <v>0</v>
      </c>
      <c r="G286" s="791">
        <f>SUMIF('yardi_data (2)'!$A:$A,$A286,'yardi_data (2)'!$G:$G)</f>
        <v>0</v>
      </c>
      <c r="H286" s="792"/>
    </row>
    <row r="287" spans="1:8">
      <c r="A287" s="181" t="s">
        <v>571</v>
      </c>
      <c r="B287" s="181" t="s">
        <v>572</v>
      </c>
      <c r="C287" s="791">
        <f>SUMIF('yardi_data (2)'!$A:$A,$A287,'yardi_data (2)'!C:C)</f>
        <v>0</v>
      </c>
      <c r="D287" s="791">
        <f>SUMIF('yardi_data (2)'!$A:$A,$A287,'yardi_data (2)'!$D:$D)</f>
        <v>0</v>
      </c>
      <c r="E287" s="791">
        <f>SUMIF('yardi_data (2)'!$A:$A,$A287,'yardi_data (2)'!$E:$E)</f>
        <v>0</v>
      </c>
      <c r="F287" s="791">
        <f>SUMIF('yardi_data (2)'!$A:$A,$A287,'yardi_data (2)'!$F:$F)</f>
        <v>0</v>
      </c>
      <c r="G287" s="791">
        <f>SUMIF('yardi_data (2)'!$A:$A,$A287,'yardi_data (2)'!$G:$G)</f>
        <v>0</v>
      </c>
      <c r="H287" s="792"/>
    </row>
    <row r="288" spans="1:8">
      <c r="A288" s="182" t="s">
        <v>573</v>
      </c>
      <c r="B288" s="182" t="s">
        <v>574</v>
      </c>
      <c r="C288" s="791">
        <f>SUMIF('yardi_data (2)'!$A:$A,$A288,'yardi_data (2)'!C:C)</f>
        <v>0</v>
      </c>
      <c r="D288" s="791">
        <f>SUMIF('yardi_data (2)'!$A:$A,$A288,'yardi_data (2)'!$D:$D)</f>
        <v>0</v>
      </c>
      <c r="E288" s="791">
        <f>SUMIF('yardi_data (2)'!$A:$A,$A288,'yardi_data (2)'!$E:$E)</f>
        <v>0</v>
      </c>
      <c r="F288" s="791">
        <f>SUMIF('yardi_data (2)'!$A:$A,$A288,'yardi_data (2)'!$F:$F)</f>
        <v>0</v>
      </c>
      <c r="G288" s="791">
        <f>SUMIF('yardi_data (2)'!$A:$A,$A288,'yardi_data (2)'!$G:$G)</f>
        <v>0</v>
      </c>
      <c r="H288" s="792"/>
    </row>
    <row r="289" spans="1:8">
      <c r="A289" s="181" t="s">
        <v>575</v>
      </c>
      <c r="B289" s="181" t="s">
        <v>576</v>
      </c>
      <c r="C289" s="791">
        <f>SUMIF('yardi_data (2)'!$A:$A,$A289,'yardi_data (2)'!C:C)</f>
        <v>0</v>
      </c>
      <c r="D289" s="791">
        <f>SUMIF('yardi_data (2)'!$A:$A,$A289,'yardi_data (2)'!$D:$D)</f>
        <v>0</v>
      </c>
      <c r="E289" s="791">
        <f>SUMIF('yardi_data (2)'!$A:$A,$A289,'yardi_data (2)'!$E:$E)</f>
        <v>0</v>
      </c>
      <c r="F289" s="791">
        <f>SUMIF('yardi_data (2)'!$A:$A,$A289,'yardi_data (2)'!$F:$F)</f>
        <v>0</v>
      </c>
      <c r="G289" s="791">
        <f>SUMIF('yardi_data (2)'!$A:$A,$A289,'yardi_data (2)'!$G:$G)</f>
        <v>0</v>
      </c>
      <c r="H289" s="792"/>
    </row>
    <row r="290" spans="1:8">
      <c r="A290" s="182" t="s">
        <v>577</v>
      </c>
      <c r="B290" s="182" t="s">
        <v>578</v>
      </c>
      <c r="C290" s="791">
        <f>SUMIF('yardi_data (2)'!$A:$A,$A290,'yardi_data (2)'!C:C)</f>
        <v>0</v>
      </c>
      <c r="D290" s="791">
        <f>SUMIF('yardi_data (2)'!$A:$A,$A290,'yardi_data (2)'!$D:$D)</f>
        <v>0</v>
      </c>
      <c r="E290" s="791">
        <f>SUMIF('yardi_data (2)'!$A:$A,$A290,'yardi_data (2)'!$E:$E)</f>
        <v>0</v>
      </c>
      <c r="F290" s="791">
        <f>SUMIF('yardi_data (2)'!$A:$A,$A290,'yardi_data (2)'!$F:$F)</f>
        <v>0</v>
      </c>
      <c r="G290" s="791">
        <f>SUMIF('yardi_data (2)'!$A:$A,$A290,'yardi_data (2)'!$G:$G)</f>
        <v>0</v>
      </c>
      <c r="H290" s="792"/>
    </row>
    <row r="291" spans="1:8">
      <c r="A291" s="181" t="s">
        <v>579</v>
      </c>
      <c r="B291" s="181" t="s">
        <v>580</v>
      </c>
      <c r="C291" s="791">
        <f>SUMIF('yardi_data (2)'!$A:$A,$A291,'yardi_data (2)'!C:C)</f>
        <v>0</v>
      </c>
      <c r="D291" s="791">
        <f>SUMIF('yardi_data (2)'!$A:$A,$A291,'yardi_data (2)'!$D:$D)</f>
        <v>0</v>
      </c>
      <c r="E291" s="791">
        <f>SUMIF('yardi_data (2)'!$A:$A,$A291,'yardi_data (2)'!$E:$E)</f>
        <v>0</v>
      </c>
      <c r="F291" s="791">
        <f>SUMIF('yardi_data (2)'!$A:$A,$A291,'yardi_data (2)'!$F:$F)</f>
        <v>0</v>
      </c>
      <c r="G291" s="791">
        <f>SUMIF('yardi_data (2)'!$A:$A,$A291,'yardi_data (2)'!$G:$G)</f>
        <v>0</v>
      </c>
      <c r="H291" s="792"/>
    </row>
    <row r="292" spans="1:8">
      <c r="A292" s="182" t="s">
        <v>581</v>
      </c>
      <c r="B292" s="182" t="s">
        <v>582</v>
      </c>
      <c r="C292" s="791">
        <f>SUMIF('yardi_data (2)'!$A:$A,$A292,'yardi_data (2)'!C:C)</f>
        <v>0</v>
      </c>
      <c r="D292" s="791">
        <f>SUMIF('yardi_data (2)'!$A:$A,$A292,'yardi_data (2)'!$D:$D)</f>
        <v>0</v>
      </c>
      <c r="E292" s="791">
        <f>SUMIF('yardi_data (2)'!$A:$A,$A292,'yardi_data (2)'!$E:$E)</f>
        <v>0</v>
      </c>
      <c r="F292" s="791">
        <f>SUMIF('yardi_data (2)'!$A:$A,$A292,'yardi_data (2)'!$F:$F)</f>
        <v>0</v>
      </c>
      <c r="G292" s="791">
        <f>SUMIF('yardi_data (2)'!$A:$A,$A292,'yardi_data (2)'!$G:$G)</f>
        <v>0</v>
      </c>
      <c r="H292" s="792"/>
    </row>
    <row r="293" spans="1:8">
      <c r="A293" s="181" t="s">
        <v>583</v>
      </c>
      <c r="B293" s="181" t="s">
        <v>584</v>
      </c>
      <c r="C293" s="791">
        <f>SUMIF('yardi_data (2)'!$A:$A,$A293,'yardi_data (2)'!C:C)</f>
        <v>0</v>
      </c>
      <c r="D293" s="791">
        <f>SUMIF('yardi_data (2)'!$A:$A,$A293,'yardi_data (2)'!$D:$D)</f>
        <v>0</v>
      </c>
      <c r="E293" s="791">
        <f>SUMIF('yardi_data (2)'!$A:$A,$A293,'yardi_data (2)'!$E:$E)</f>
        <v>0</v>
      </c>
      <c r="F293" s="791">
        <f>SUMIF('yardi_data (2)'!$A:$A,$A293,'yardi_data (2)'!$F:$F)</f>
        <v>0</v>
      </c>
      <c r="G293" s="791">
        <f>SUMIF('yardi_data (2)'!$A:$A,$A293,'yardi_data (2)'!$G:$G)</f>
        <v>0</v>
      </c>
      <c r="H293" s="792"/>
    </row>
    <row r="294" spans="1:8">
      <c r="A294" s="182" t="s">
        <v>585</v>
      </c>
      <c r="B294" s="182" t="s">
        <v>586</v>
      </c>
      <c r="C294" s="791">
        <f>SUMIF('yardi_data (2)'!$A:$A,$A294,'yardi_data (2)'!C:C)</f>
        <v>0</v>
      </c>
      <c r="D294" s="791">
        <f>SUMIF('yardi_data (2)'!$A:$A,$A294,'yardi_data (2)'!$D:$D)</f>
        <v>0</v>
      </c>
      <c r="E294" s="791">
        <f>SUMIF('yardi_data (2)'!$A:$A,$A294,'yardi_data (2)'!$E:$E)</f>
        <v>0</v>
      </c>
      <c r="F294" s="791">
        <f>SUMIF('yardi_data (2)'!$A:$A,$A294,'yardi_data (2)'!$F:$F)</f>
        <v>0</v>
      </c>
      <c r="G294" s="791">
        <f>SUMIF('yardi_data (2)'!$A:$A,$A294,'yardi_data (2)'!$G:$G)</f>
        <v>0</v>
      </c>
      <c r="H294" s="792"/>
    </row>
    <row r="295" spans="1:8">
      <c r="A295" s="181" t="s">
        <v>587</v>
      </c>
      <c r="B295" s="181" t="s">
        <v>588</v>
      </c>
      <c r="C295" s="791">
        <f>SUMIF('yardi_data (2)'!$A:$A,$A295,'yardi_data (2)'!C:C)</f>
        <v>0</v>
      </c>
      <c r="D295" s="791">
        <f>SUMIF('yardi_data (2)'!$A:$A,$A295,'yardi_data (2)'!$D:$D)</f>
        <v>0</v>
      </c>
      <c r="E295" s="791">
        <f>SUMIF('yardi_data (2)'!$A:$A,$A295,'yardi_data (2)'!$E:$E)</f>
        <v>0</v>
      </c>
      <c r="F295" s="791">
        <f>SUMIF('yardi_data (2)'!$A:$A,$A295,'yardi_data (2)'!$F:$F)</f>
        <v>0</v>
      </c>
      <c r="G295" s="791">
        <f>SUMIF('yardi_data (2)'!$A:$A,$A295,'yardi_data (2)'!$G:$G)</f>
        <v>0</v>
      </c>
      <c r="H295" s="792"/>
    </row>
    <row r="296" spans="1:8">
      <c r="A296" s="182" t="s">
        <v>589</v>
      </c>
      <c r="B296" s="182" t="s">
        <v>590</v>
      </c>
      <c r="C296" s="791">
        <f>SUMIF('yardi_data (2)'!$A:$A,$A296,'yardi_data (2)'!C:C)</f>
        <v>0</v>
      </c>
      <c r="D296" s="791">
        <f>SUMIF('yardi_data (2)'!$A:$A,$A296,'yardi_data (2)'!$D:$D)</f>
        <v>0</v>
      </c>
      <c r="E296" s="791">
        <f>SUMIF('yardi_data (2)'!$A:$A,$A296,'yardi_data (2)'!$E:$E)</f>
        <v>0</v>
      </c>
      <c r="F296" s="791">
        <f>SUMIF('yardi_data (2)'!$A:$A,$A296,'yardi_data (2)'!$F:$F)</f>
        <v>0</v>
      </c>
      <c r="G296" s="791">
        <f>SUMIF('yardi_data (2)'!$A:$A,$A296,'yardi_data (2)'!$G:$G)</f>
        <v>0</v>
      </c>
      <c r="H296" s="792"/>
    </row>
    <row r="297" spans="1:8">
      <c r="A297" s="181" t="s">
        <v>591</v>
      </c>
      <c r="B297" s="181" t="s">
        <v>592</v>
      </c>
      <c r="C297" s="791">
        <f>SUMIF('yardi_data (2)'!$A:$A,$A297,'yardi_data (2)'!C:C)</f>
        <v>0</v>
      </c>
      <c r="D297" s="791">
        <f>SUMIF('yardi_data (2)'!$A:$A,$A297,'yardi_data (2)'!$D:$D)</f>
        <v>0</v>
      </c>
      <c r="E297" s="791">
        <f>SUMIF('yardi_data (2)'!$A:$A,$A297,'yardi_data (2)'!$E:$E)</f>
        <v>0</v>
      </c>
      <c r="F297" s="791">
        <f>SUMIF('yardi_data (2)'!$A:$A,$A297,'yardi_data (2)'!$F:$F)</f>
        <v>0</v>
      </c>
      <c r="G297" s="791">
        <f>SUMIF('yardi_data (2)'!$A:$A,$A297,'yardi_data (2)'!$G:$G)</f>
        <v>0</v>
      </c>
      <c r="H297" s="792"/>
    </row>
    <row r="298" spans="1:8">
      <c r="A298" s="182" t="s">
        <v>593</v>
      </c>
      <c r="B298" s="182" t="s">
        <v>594</v>
      </c>
      <c r="C298" s="791">
        <f>SUMIF('yardi_data (2)'!$A:$A,$A298,'yardi_data (2)'!C:C)</f>
        <v>0</v>
      </c>
      <c r="D298" s="791">
        <f>SUMIF('yardi_data (2)'!$A:$A,$A298,'yardi_data (2)'!$D:$D)</f>
        <v>0</v>
      </c>
      <c r="E298" s="791">
        <f>SUMIF('yardi_data (2)'!$A:$A,$A298,'yardi_data (2)'!$E:$E)</f>
        <v>0</v>
      </c>
      <c r="F298" s="791">
        <f>SUMIF('yardi_data (2)'!$A:$A,$A298,'yardi_data (2)'!$F:$F)</f>
        <v>0</v>
      </c>
      <c r="G298" s="791">
        <f>SUMIF('yardi_data (2)'!$A:$A,$A298,'yardi_data (2)'!$G:$G)</f>
        <v>0</v>
      </c>
      <c r="H298" s="792"/>
    </row>
    <row r="299" spans="1:8">
      <c r="A299" s="181" t="s">
        <v>595</v>
      </c>
      <c r="B299" s="181" t="s">
        <v>596</v>
      </c>
      <c r="C299" s="791">
        <f>SUMIF('yardi_data (2)'!$A:$A,$A299,'yardi_data (2)'!C:C)</f>
        <v>0</v>
      </c>
      <c r="D299" s="791">
        <f>SUMIF('yardi_data (2)'!$A:$A,$A299,'yardi_data (2)'!$D:$D)</f>
        <v>0</v>
      </c>
      <c r="E299" s="791">
        <f>SUMIF('yardi_data (2)'!$A:$A,$A299,'yardi_data (2)'!$E:$E)</f>
        <v>0</v>
      </c>
      <c r="F299" s="791">
        <f>SUMIF('yardi_data (2)'!$A:$A,$A299,'yardi_data (2)'!$F:$F)</f>
        <v>0</v>
      </c>
      <c r="G299" s="791">
        <f>SUMIF('yardi_data (2)'!$A:$A,$A299,'yardi_data (2)'!$G:$G)</f>
        <v>0</v>
      </c>
      <c r="H299" s="792"/>
    </row>
    <row r="300" spans="1:8">
      <c r="A300" s="182" t="s">
        <v>597</v>
      </c>
      <c r="B300" s="182" t="s">
        <v>598</v>
      </c>
      <c r="C300" s="791">
        <f>SUMIF('yardi_data (2)'!$A:$A,$A300,'yardi_data (2)'!C:C)</f>
        <v>0</v>
      </c>
      <c r="D300" s="791">
        <f>SUMIF('yardi_data (2)'!$A:$A,$A300,'yardi_data (2)'!$D:$D)</f>
        <v>0</v>
      </c>
      <c r="E300" s="791">
        <f>SUMIF('yardi_data (2)'!$A:$A,$A300,'yardi_data (2)'!$E:$E)</f>
        <v>0</v>
      </c>
      <c r="F300" s="791">
        <f>SUMIF('yardi_data (2)'!$A:$A,$A300,'yardi_data (2)'!$F:$F)</f>
        <v>0</v>
      </c>
      <c r="G300" s="791">
        <f>SUMIF('yardi_data (2)'!$A:$A,$A300,'yardi_data (2)'!$G:$G)</f>
        <v>0</v>
      </c>
      <c r="H300" s="792"/>
    </row>
    <row r="301" spans="1:8">
      <c r="A301" s="181" t="s">
        <v>599</v>
      </c>
      <c r="B301" s="181" t="s">
        <v>600</v>
      </c>
      <c r="C301" s="791">
        <f>SUMIF('yardi_data (2)'!$A:$A,$A301,'yardi_data (2)'!C:C)</f>
        <v>0</v>
      </c>
      <c r="D301" s="791">
        <f>SUMIF('yardi_data (2)'!$A:$A,$A301,'yardi_data (2)'!$D:$D)</f>
        <v>0</v>
      </c>
      <c r="E301" s="791">
        <f>SUMIF('yardi_data (2)'!$A:$A,$A301,'yardi_data (2)'!$E:$E)</f>
        <v>0</v>
      </c>
      <c r="F301" s="791">
        <f>SUMIF('yardi_data (2)'!$A:$A,$A301,'yardi_data (2)'!$F:$F)</f>
        <v>0</v>
      </c>
      <c r="G301" s="791">
        <f>SUMIF('yardi_data (2)'!$A:$A,$A301,'yardi_data (2)'!$G:$G)</f>
        <v>0</v>
      </c>
      <c r="H301" s="792"/>
    </row>
    <row r="302" spans="1:8">
      <c r="A302" s="182" t="s">
        <v>601</v>
      </c>
      <c r="B302" s="182" t="s">
        <v>602</v>
      </c>
      <c r="C302" s="791">
        <f>SUMIF('yardi_data (2)'!$A:$A,$A302,'yardi_data (2)'!C:C)</f>
        <v>0</v>
      </c>
      <c r="D302" s="791">
        <f>SUMIF('yardi_data (2)'!$A:$A,$A302,'yardi_data (2)'!$D:$D)</f>
        <v>0</v>
      </c>
      <c r="E302" s="791">
        <f>SUMIF('yardi_data (2)'!$A:$A,$A302,'yardi_data (2)'!$E:$E)</f>
        <v>0</v>
      </c>
      <c r="F302" s="791">
        <f>SUMIF('yardi_data (2)'!$A:$A,$A302,'yardi_data (2)'!$F:$F)</f>
        <v>0</v>
      </c>
      <c r="G302" s="791">
        <f>SUMIF('yardi_data (2)'!$A:$A,$A302,'yardi_data (2)'!$G:$G)</f>
        <v>0</v>
      </c>
      <c r="H302" s="792"/>
    </row>
    <row r="303" spans="1:8">
      <c r="A303" s="181" t="s">
        <v>603</v>
      </c>
      <c r="B303" s="181" t="s">
        <v>604</v>
      </c>
      <c r="C303" s="791">
        <f>SUMIF('yardi_data (2)'!$A:$A,$A303,'yardi_data (2)'!C:C)</f>
        <v>9263904.6300000008</v>
      </c>
      <c r="D303" s="791">
        <f>SUMIF('yardi_data (2)'!$A:$A,$A303,'yardi_data (2)'!$D:$D)</f>
        <v>9372345.4900000002</v>
      </c>
      <c r="E303" s="791">
        <f>SUMIF('yardi_data (2)'!$A:$A,$A303,'yardi_data (2)'!$E:$E)</f>
        <v>6536585.7199999997</v>
      </c>
      <c r="F303" s="791">
        <f>SUMIF('yardi_data (2)'!$A:$A,$A303,'yardi_data (2)'!$F:$F)</f>
        <v>5854647.7199999997</v>
      </c>
      <c r="G303" s="791">
        <f>SUMIF('yardi_data (2)'!$A:$A,$A303,'yardi_data (2)'!$G:$G)</f>
        <v>9083861</v>
      </c>
      <c r="H303" s="792"/>
    </row>
    <row r="304" spans="1:8">
      <c r="A304" s="182" t="s">
        <v>605</v>
      </c>
      <c r="B304" s="182" t="s">
        <v>606</v>
      </c>
      <c r="C304" s="791">
        <f>SUMIF('yardi_data (2)'!$A:$A,$A304,'yardi_data (2)'!C:C)</f>
        <v>0</v>
      </c>
      <c r="D304" s="791">
        <f>SUMIF('yardi_data (2)'!$A:$A,$A304,'yardi_data (2)'!$D:$D)</f>
        <v>0</v>
      </c>
      <c r="E304" s="791">
        <f>SUMIF('yardi_data (2)'!$A:$A,$A304,'yardi_data (2)'!$E:$E)</f>
        <v>0</v>
      </c>
      <c r="F304" s="791">
        <f>SUMIF('yardi_data (2)'!$A:$A,$A304,'yardi_data (2)'!$F:$F)</f>
        <v>0</v>
      </c>
      <c r="G304" s="791">
        <f>SUMIF('yardi_data (2)'!$A:$A,$A304,'yardi_data (2)'!$G:$G)</f>
        <v>0</v>
      </c>
      <c r="H304" s="792"/>
    </row>
    <row r="305" spans="1:8">
      <c r="A305" s="181" t="s">
        <v>607</v>
      </c>
      <c r="B305" s="181" t="s">
        <v>608</v>
      </c>
      <c r="C305" s="791">
        <f>SUMIF('yardi_data (2)'!$A:$A,$A305,'yardi_data (2)'!C:C)</f>
        <v>3024.12</v>
      </c>
      <c r="D305" s="791">
        <f>SUMIF('yardi_data (2)'!$A:$A,$A305,'yardi_data (2)'!$D:$D)</f>
        <v>2345.14</v>
      </c>
      <c r="E305" s="791">
        <f>SUMIF('yardi_data (2)'!$A:$A,$A305,'yardi_data (2)'!$E:$E)</f>
        <v>450</v>
      </c>
      <c r="F305" s="791">
        <f>SUMIF('yardi_data (2)'!$A:$A,$A305,'yardi_data (2)'!$F:$F)</f>
        <v>1000</v>
      </c>
      <c r="G305" s="791">
        <f>SUMIF('yardi_data (2)'!$A:$A,$A305,'yardi_data (2)'!$G:$G)</f>
        <v>1500</v>
      </c>
      <c r="H305" s="792"/>
    </row>
    <row r="306" spans="1:8">
      <c r="A306" s="182" t="s">
        <v>609</v>
      </c>
      <c r="B306" s="182" t="s">
        <v>610</v>
      </c>
      <c r="C306" s="791">
        <f>SUMIF('yardi_data (2)'!$A:$A,$A306,'yardi_data (2)'!C:C)</f>
        <v>3895.04</v>
      </c>
      <c r="D306" s="791">
        <f>SUMIF('yardi_data (2)'!$A:$A,$A306,'yardi_data (2)'!$D:$D)</f>
        <v>0</v>
      </c>
      <c r="E306" s="791">
        <f>SUMIF('yardi_data (2)'!$A:$A,$A306,'yardi_data (2)'!$E:$E)</f>
        <v>0</v>
      </c>
      <c r="F306" s="791">
        <f>SUMIF('yardi_data (2)'!$A:$A,$A306,'yardi_data (2)'!$F:$F)</f>
        <v>0</v>
      </c>
      <c r="G306" s="791">
        <f>SUMIF('yardi_data (2)'!$A:$A,$A306,'yardi_data (2)'!$G:$G)</f>
        <v>0</v>
      </c>
      <c r="H306" s="792"/>
    </row>
    <row r="307" spans="1:8">
      <c r="A307" s="181" t="s">
        <v>611</v>
      </c>
      <c r="B307" s="181" t="s">
        <v>612</v>
      </c>
      <c r="C307" s="791">
        <f>SUMIF('yardi_data (2)'!$A:$A,$A307,'yardi_data (2)'!C:C)</f>
        <v>650</v>
      </c>
      <c r="D307" s="791">
        <f>SUMIF('yardi_data (2)'!$A:$A,$A307,'yardi_data (2)'!$D:$D)</f>
        <v>300</v>
      </c>
      <c r="E307" s="791">
        <f>SUMIF('yardi_data (2)'!$A:$A,$A307,'yardi_data (2)'!$E:$E)</f>
        <v>650</v>
      </c>
      <c r="F307" s="791">
        <f>SUMIF('yardi_data (2)'!$A:$A,$A307,'yardi_data (2)'!$F:$F)</f>
        <v>0</v>
      </c>
      <c r="G307" s="791">
        <f>SUMIF('yardi_data (2)'!$A:$A,$A307,'yardi_data (2)'!$G:$G)</f>
        <v>0</v>
      </c>
      <c r="H307" s="792"/>
    </row>
    <row r="308" spans="1:8">
      <c r="A308" s="182" t="s">
        <v>613</v>
      </c>
      <c r="B308" s="182" t="s">
        <v>614</v>
      </c>
      <c r="C308" s="791">
        <f>SUMIF('yardi_data (2)'!$A:$A,$A308,'yardi_data (2)'!C:C)</f>
        <v>2768.64</v>
      </c>
      <c r="D308" s="791">
        <f>SUMIF('yardi_data (2)'!$A:$A,$A308,'yardi_data (2)'!$D:$D)</f>
        <v>0</v>
      </c>
      <c r="E308" s="791">
        <f>SUMIF('yardi_data (2)'!$A:$A,$A308,'yardi_data (2)'!$E:$E)</f>
        <v>-4566.04</v>
      </c>
      <c r="F308" s="791">
        <f>SUMIF('yardi_data (2)'!$A:$A,$A308,'yardi_data (2)'!$F:$F)</f>
        <v>0</v>
      </c>
      <c r="G308" s="791">
        <f>SUMIF('yardi_data (2)'!$A:$A,$A308,'yardi_data (2)'!$G:$G)</f>
        <v>0</v>
      </c>
      <c r="H308" s="792"/>
    </row>
    <row r="309" spans="1:8">
      <c r="A309" s="181" t="s">
        <v>615</v>
      </c>
      <c r="B309" s="181" t="s">
        <v>616</v>
      </c>
      <c r="C309" s="791">
        <f>SUMIF('yardi_data (2)'!$A:$A,$A309,'yardi_data (2)'!C:C)</f>
        <v>4875</v>
      </c>
      <c r="D309" s="791">
        <f>SUMIF('yardi_data (2)'!$A:$A,$A309,'yardi_data (2)'!$D:$D)</f>
        <v>2300</v>
      </c>
      <c r="E309" s="791">
        <f>SUMIF('yardi_data (2)'!$A:$A,$A309,'yardi_data (2)'!$E:$E)</f>
        <v>900</v>
      </c>
      <c r="F309" s="791">
        <f>SUMIF('yardi_data (2)'!$A:$A,$A309,'yardi_data (2)'!$F:$F)</f>
        <v>0</v>
      </c>
      <c r="G309" s="791">
        <f>SUMIF('yardi_data (2)'!$A:$A,$A309,'yardi_data (2)'!$G:$G)</f>
        <v>0</v>
      </c>
      <c r="H309" s="792"/>
    </row>
    <row r="310" spans="1:8">
      <c r="A310" s="182" t="s">
        <v>617</v>
      </c>
      <c r="B310" s="182" t="s">
        <v>618</v>
      </c>
      <c r="C310" s="791">
        <f>SUMIF('yardi_data (2)'!$A:$A,$A310,'yardi_data (2)'!C:C)</f>
        <v>0</v>
      </c>
      <c r="D310" s="791">
        <f>SUMIF('yardi_data (2)'!$A:$A,$A310,'yardi_data (2)'!$D:$D)</f>
        <v>0</v>
      </c>
      <c r="E310" s="791">
        <f>SUMIF('yardi_data (2)'!$A:$A,$A310,'yardi_data (2)'!$E:$E)</f>
        <v>0</v>
      </c>
      <c r="F310" s="791">
        <f>SUMIF('yardi_data (2)'!$A:$A,$A310,'yardi_data (2)'!$F:$F)</f>
        <v>0</v>
      </c>
      <c r="G310" s="791">
        <f>SUMIF('yardi_data (2)'!$A:$A,$A310,'yardi_data (2)'!$G:$G)</f>
        <v>0</v>
      </c>
      <c r="H310" s="792"/>
    </row>
    <row r="311" spans="1:8">
      <c r="A311" s="181" t="s">
        <v>619</v>
      </c>
      <c r="B311" s="181" t="s">
        <v>620</v>
      </c>
      <c r="C311" s="791">
        <f>SUMIF('yardi_data (2)'!$A:$A,$A311,'yardi_data (2)'!C:C)</f>
        <v>0</v>
      </c>
      <c r="D311" s="791">
        <f>SUMIF('yardi_data (2)'!$A:$A,$A311,'yardi_data (2)'!$D:$D)</f>
        <v>0</v>
      </c>
      <c r="E311" s="791">
        <f>SUMIF('yardi_data (2)'!$A:$A,$A311,'yardi_data (2)'!$E:$E)</f>
        <v>0</v>
      </c>
      <c r="F311" s="791">
        <f>SUMIF('yardi_data (2)'!$A:$A,$A311,'yardi_data (2)'!$F:$F)</f>
        <v>0</v>
      </c>
      <c r="G311" s="791">
        <f>SUMIF('yardi_data (2)'!$A:$A,$A311,'yardi_data (2)'!$G:$G)</f>
        <v>0</v>
      </c>
      <c r="H311" s="792"/>
    </row>
    <row r="312" spans="1:8">
      <c r="A312" s="182" t="s">
        <v>621</v>
      </c>
      <c r="B312" s="182" t="s">
        <v>622</v>
      </c>
      <c r="C312" s="791">
        <f>SUMIF('yardi_data (2)'!$A:$A,$A312,'yardi_data (2)'!C:C)</f>
        <v>8401.5400000000009</v>
      </c>
      <c r="D312" s="791">
        <f>SUMIF('yardi_data (2)'!$A:$A,$A312,'yardi_data (2)'!$D:$D)</f>
        <v>15844.69</v>
      </c>
      <c r="E312" s="791">
        <f>SUMIF('yardi_data (2)'!$A:$A,$A312,'yardi_data (2)'!$E:$E)</f>
        <v>6848.55</v>
      </c>
      <c r="F312" s="791">
        <f>SUMIF('yardi_data (2)'!$A:$A,$A312,'yardi_data (2)'!$F:$F)</f>
        <v>0</v>
      </c>
      <c r="G312" s="791">
        <f>SUMIF('yardi_data (2)'!$A:$A,$A312,'yardi_data (2)'!$G:$G)</f>
        <v>0</v>
      </c>
      <c r="H312" s="792"/>
    </row>
    <row r="313" spans="1:8">
      <c r="A313" s="181" t="s">
        <v>623</v>
      </c>
      <c r="B313" s="181" t="s">
        <v>624</v>
      </c>
      <c r="C313" s="791">
        <f>SUMIF('yardi_data (2)'!$A:$A,$A313,'yardi_data (2)'!C:C)</f>
        <v>0</v>
      </c>
      <c r="D313" s="791">
        <f>SUMIF('yardi_data (2)'!$A:$A,$A313,'yardi_data (2)'!$D:$D)</f>
        <v>0</v>
      </c>
      <c r="E313" s="791">
        <f>SUMIF('yardi_data (2)'!$A:$A,$A313,'yardi_data (2)'!$E:$E)</f>
        <v>0</v>
      </c>
      <c r="F313" s="791">
        <f>SUMIF('yardi_data (2)'!$A:$A,$A313,'yardi_data (2)'!$F:$F)</f>
        <v>0</v>
      </c>
      <c r="G313" s="791">
        <f>SUMIF('yardi_data (2)'!$A:$A,$A313,'yardi_data (2)'!$G:$G)</f>
        <v>0</v>
      </c>
      <c r="H313" s="792"/>
    </row>
    <row r="314" spans="1:8">
      <c r="A314" s="182" t="s">
        <v>625</v>
      </c>
      <c r="B314" s="182" t="s">
        <v>626</v>
      </c>
      <c r="C314" s="791">
        <f>SUMIF('yardi_data (2)'!$A:$A,$A314,'yardi_data (2)'!C:C)</f>
        <v>0</v>
      </c>
      <c r="D314" s="791">
        <f>SUMIF('yardi_data (2)'!$A:$A,$A314,'yardi_data (2)'!$D:$D)</f>
        <v>0</v>
      </c>
      <c r="E314" s="791">
        <f>SUMIF('yardi_data (2)'!$A:$A,$A314,'yardi_data (2)'!$E:$E)</f>
        <v>0</v>
      </c>
      <c r="F314" s="791">
        <f>SUMIF('yardi_data (2)'!$A:$A,$A314,'yardi_data (2)'!$F:$F)</f>
        <v>0</v>
      </c>
      <c r="G314" s="791">
        <f>SUMIF('yardi_data (2)'!$A:$A,$A314,'yardi_data (2)'!$G:$G)</f>
        <v>0</v>
      </c>
      <c r="H314" s="792"/>
    </row>
    <row r="315" spans="1:8">
      <c r="A315" s="181" t="s">
        <v>627</v>
      </c>
      <c r="B315" s="181" t="s">
        <v>552</v>
      </c>
      <c r="C315" s="791">
        <f>SUMIF('yardi_data (2)'!$A:$A,$A315,'yardi_data (2)'!C:C)</f>
        <v>0</v>
      </c>
      <c r="D315" s="791">
        <f>SUMIF('yardi_data (2)'!$A:$A,$A315,'yardi_data (2)'!$D:$D)</f>
        <v>0</v>
      </c>
      <c r="E315" s="791">
        <f>SUMIF('yardi_data (2)'!$A:$A,$A315,'yardi_data (2)'!$E:$E)</f>
        <v>0</v>
      </c>
      <c r="F315" s="791">
        <f>SUMIF('yardi_data (2)'!$A:$A,$A315,'yardi_data (2)'!$F:$F)</f>
        <v>0</v>
      </c>
      <c r="G315" s="791">
        <f>SUMIF('yardi_data (2)'!$A:$A,$A315,'yardi_data (2)'!$G:$G)</f>
        <v>0</v>
      </c>
      <c r="H315" s="792"/>
    </row>
    <row r="316" spans="1:8">
      <c r="A316" s="182" t="s">
        <v>628</v>
      </c>
      <c r="B316" s="182" t="s">
        <v>629</v>
      </c>
      <c r="C316" s="791">
        <f>SUMIF('yardi_data (2)'!$A:$A,$A316,'yardi_data (2)'!C:C)</f>
        <v>0</v>
      </c>
      <c r="D316" s="791">
        <f>SUMIF('yardi_data (2)'!$A:$A,$A316,'yardi_data (2)'!$D:$D)</f>
        <v>0</v>
      </c>
      <c r="E316" s="791">
        <f>SUMIF('yardi_data (2)'!$A:$A,$A316,'yardi_data (2)'!$E:$E)</f>
        <v>0</v>
      </c>
      <c r="F316" s="791">
        <f>SUMIF('yardi_data (2)'!$A:$A,$A316,'yardi_data (2)'!$F:$F)</f>
        <v>0</v>
      </c>
      <c r="G316" s="791">
        <f>SUMIF('yardi_data (2)'!$A:$A,$A316,'yardi_data (2)'!$G:$G)</f>
        <v>0</v>
      </c>
      <c r="H316" s="792"/>
    </row>
    <row r="317" spans="1:8">
      <c r="A317" s="181" t="s">
        <v>630</v>
      </c>
      <c r="B317" s="181" t="s">
        <v>631</v>
      </c>
      <c r="C317" s="791">
        <f>SUMIF('yardi_data (2)'!$A:$A,$A317,'yardi_data (2)'!C:C)</f>
        <v>0</v>
      </c>
      <c r="D317" s="791">
        <f>SUMIF('yardi_data (2)'!$A:$A,$A317,'yardi_data (2)'!$D:$D)</f>
        <v>0</v>
      </c>
      <c r="E317" s="791">
        <f>SUMIF('yardi_data (2)'!$A:$A,$A317,'yardi_data (2)'!$E:$E)</f>
        <v>0</v>
      </c>
      <c r="F317" s="791">
        <f>SUMIF('yardi_data (2)'!$A:$A,$A317,'yardi_data (2)'!$F:$F)</f>
        <v>0</v>
      </c>
      <c r="G317" s="791">
        <f>SUMIF('yardi_data (2)'!$A:$A,$A317,'yardi_data (2)'!$G:$G)</f>
        <v>0</v>
      </c>
      <c r="H317" s="792"/>
    </row>
    <row r="318" spans="1:8">
      <c r="A318" s="182" t="s">
        <v>632</v>
      </c>
      <c r="B318" s="182" t="s">
        <v>633</v>
      </c>
      <c r="C318" s="791">
        <f>SUMIF('yardi_data (2)'!$A:$A,$A318,'yardi_data (2)'!C:C)</f>
        <v>0</v>
      </c>
      <c r="D318" s="791">
        <f>SUMIF('yardi_data (2)'!$A:$A,$A318,'yardi_data (2)'!$D:$D)</f>
        <v>0</v>
      </c>
      <c r="E318" s="791">
        <f>SUMIF('yardi_data (2)'!$A:$A,$A318,'yardi_data (2)'!$E:$E)</f>
        <v>0</v>
      </c>
      <c r="F318" s="791">
        <f>SUMIF('yardi_data (2)'!$A:$A,$A318,'yardi_data (2)'!$F:$F)</f>
        <v>0</v>
      </c>
      <c r="G318" s="791">
        <f>SUMIF('yardi_data (2)'!$A:$A,$A318,'yardi_data (2)'!$G:$G)</f>
        <v>0</v>
      </c>
      <c r="H318" s="792"/>
    </row>
    <row r="319" spans="1:8">
      <c r="A319" s="181" t="s">
        <v>634</v>
      </c>
      <c r="B319" s="181" t="s">
        <v>635</v>
      </c>
      <c r="C319" s="791">
        <f>SUMIF('yardi_data (2)'!$A:$A,$A319,'yardi_data (2)'!C:C)</f>
        <v>0</v>
      </c>
      <c r="D319" s="791">
        <f>SUMIF('yardi_data (2)'!$A:$A,$A319,'yardi_data (2)'!$D:$D)</f>
        <v>0</v>
      </c>
      <c r="E319" s="791">
        <f>SUMIF('yardi_data (2)'!$A:$A,$A319,'yardi_data (2)'!$E:$E)</f>
        <v>0</v>
      </c>
      <c r="F319" s="791">
        <f>SUMIF('yardi_data (2)'!$A:$A,$A319,'yardi_data (2)'!$F:$F)</f>
        <v>0</v>
      </c>
      <c r="G319" s="791">
        <f>SUMIF('yardi_data (2)'!$A:$A,$A319,'yardi_data (2)'!$G:$G)</f>
        <v>0</v>
      </c>
      <c r="H319" s="792"/>
    </row>
    <row r="320" spans="1:8">
      <c r="A320" s="182" t="s">
        <v>636</v>
      </c>
      <c r="B320" s="182" t="s">
        <v>637</v>
      </c>
      <c r="C320" s="791">
        <f>SUMIF('yardi_data (2)'!$A:$A,$A320,'yardi_data (2)'!C:C)</f>
        <v>29.19</v>
      </c>
      <c r="D320" s="791">
        <f>SUMIF('yardi_data (2)'!$A:$A,$A320,'yardi_data (2)'!$D:$D)</f>
        <v>0</v>
      </c>
      <c r="E320" s="791">
        <f>SUMIF('yardi_data (2)'!$A:$A,$A320,'yardi_data (2)'!$E:$E)</f>
        <v>0</v>
      </c>
      <c r="F320" s="791">
        <f>SUMIF('yardi_data (2)'!$A:$A,$A320,'yardi_data (2)'!$F:$F)</f>
        <v>0</v>
      </c>
      <c r="G320" s="791">
        <f>SUMIF('yardi_data (2)'!$A:$A,$A320,'yardi_data (2)'!$G:$G)</f>
        <v>0</v>
      </c>
      <c r="H320" s="792"/>
    </row>
    <row r="321" spans="1:8">
      <c r="A321" s="181" t="s">
        <v>638</v>
      </c>
      <c r="B321" s="181" t="s">
        <v>639</v>
      </c>
      <c r="C321" s="791">
        <f>SUMIF('yardi_data (2)'!$A:$A,$A321,'yardi_data (2)'!C:C)</f>
        <v>0</v>
      </c>
      <c r="D321" s="791">
        <f>SUMIF('yardi_data (2)'!$A:$A,$A321,'yardi_data (2)'!$D:$D)</f>
        <v>0</v>
      </c>
      <c r="E321" s="791">
        <f>SUMIF('yardi_data (2)'!$A:$A,$A321,'yardi_data (2)'!$E:$E)</f>
        <v>0</v>
      </c>
      <c r="F321" s="791">
        <f>SUMIF('yardi_data (2)'!$A:$A,$A321,'yardi_data (2)'!$F:$F)</f>
        <v>0</v>
      </c>
      <c r="G321" s="791">
        <f>SUMIF('yardi_data (2)'!$A:$A,$A321,'yardi_data (2)'!$G:$G)</f>
        <v>0</v>
      </c>
      <c r="H321" s="792"/>
    </row>
    <row r="322" spans="1:8">
      <c r="A322" s="182" t="s">
        <v>640</v>
      </c>
      <c r="B322" s="182" t="s">
        <v>641</v>
      </c>
      <c r="C322" s="791">
        <f>SUMIF('yardi_data (2)'!$A:$A,$A322,'yardi_data (2)'!C:C)</f>
        <v>0</v>
      </c>
      <c r="D322" s="791">
        <f>SUMIF('yardi_data (2)'!$A:$A,$A322,'yardi_data (2)'!$D:$D)</f>
        <v>0</v>
      </c>
      <c r="E322" s="791">
        <f>SUMIF('yardi_data (2)'!$A:$A,$A322,'yardi_data (2)'!$E:$E)</f>
        <v>0</v>
      </c>
      <c r="F322" s="791">
        <f>SUMIF('yardi_data (2)'!$A:$A,$A322,'yardi_data (2)'!$F:$F)</f>
        <v>0</v>
      </c>
      <c r="G322" s="791">
        <f>SUMIF('yardi_data (2)'!$A:$A,$A322,'yardi_data (2)'!$G:$G)</f>
        <v>0</v>
      </c>
      <c r="H322" s="792"/>
    </row>
    <row r="323" spans="1:8">
      <c r="A323" s="181" t="s">
        <v>642</v>
      </c>
      <c r="B323" s="181" t="s">
        <v>643</v>
      </c>
      <c r="C323" s="791">
        <f>SUMIF('yardi_data (2)'!$A:$A,$A323,'yardi_data (2)'!C:C)</f>
        <v>23000</v>
      </c>
      <c r="D323" s="791">
        <f>SUMIF('yardi_data (2)'!$A:$A,$A323,'yardi_data (2)'!$D:$D)</f>
        <v>12500</v>
      </c>
      <c r="E323" s="791">
        <f>SUMIF('yardi_data (2)'!$A:$A,$A323,'yardi_data (2)'!$E:$E)</f>
        <v>16000</v>
      </c>
      <c r="F323" s="791">
        <f>SUMIF('yardi_data (2)'!$A:$A,$A323,'yardi_data (2)'!$F:$F)</f>
        <v>10000</v>
      </c>
      <c r="G323" s="791">
        <f>SUMIF('yardi_data (2)'!$A:$A,$A323,'yardi_data (2)'!$G:$G)</f>
        <v>15000</v>
      </c>
      <c r="H323" s="792"/>
    </row>
    <row r="324" spans="1:8">
      <c r="A324" s="182" t="s">
        <v>644</v>
      </c>
      <c r="B324" s="182" t="s">
        <v>645</v>
      </c>
      <c r="C324" s="791">
        <f>SUMIF('yardi_data (2)'!$A:$A,$A324,'yardi_data (2)'!C:C)</f>
        <v>0</v>
      </c>
      <c r="D324" s="791">
        <f>SUMIF('yardi_data (2)'!$A:$A,$A324,'yardi_data (2)'!$D:$D)</f>
        <v>0</v>
      </c>
      <c r="E324" s="791">
        <f>SUMIF('yardi_data (2)'!$A:$A,$A324,'yardi_data (2)'!$E:$E)</f>
        <v>0</v>
      </c>
      <c r="F324" s="791">
        <f>SUMIF('yardi_data (2)'!$A:$A,$A324,'yardi_data (2)'!$F:$F)</f>
        <v>0</v>
      </c>
      <c r="G324" s="791">
        <f>SUMIF('yardi_data (2)'!$A:$A,$A324,'yardi_data (2)'!$G:$G)</f>
        <v>0</v>
      </c>
      <c r="H324" s="792"/>
    </row>
    <row r="325" spans="1:8">
      <c r="A325" s="181" t="s">
        <v>646</v>
      </c>
      <c r="B325" s="181" t="s">
        <v>647</v>
      </c>
      <c r="C325" s="791">
        <f>SUMIF('yardi_data (2)'!$A:$A,$A325,'yardi_data (2)'!C:C)</f>
        <v>5954.4</v>
      </c>
      <c r="D325" s="791">
        <f>SUMIF('yardi_data (2)'!$A:$A,$A325,'yardi_data (2)'!$D:$D)</f>
        <v>8351.09</v>
      </c>
      <c r="E325" s="791">
        <f>SUMIF('yardi_data (2)'!$A:$A,$A325,'yardi_data (2)'!$E:$E)</f>
        <v>7679.01</v>
      </c>
      <c r="F325" s="791">
        <f>SUMIF('yardi_data (2)'!$A:$A,$A325,'yardi_data (2)'!$F:$F)</f>
        <v>4000</v>
      </c>
      <c r="G325" s="791">
        <f>SUMIF('yardi_data (2)'!$A:$A,$A325,'yardi_data (2)'!$G:$G)</f>
        <v>6000</v>
      </c>
      <c r="H325" s="792"/>
    </row>
    <row r="326" spans="1:8">
      <c r="A326" s="182" t="s">
        <v>648</v>
      </c>
      <c r="B326" s="182" t="s">
        <v>649</v>
      </c>
      <c r="C326" s="791">
        <f>SUMIF('yardi_data (2)'!$A:$A,$A326,'yardi_data (2)'!C:C)</f>
        <v>0</v>
      </c>
      <c r="D326" s="791">
        <f>SUMIF('yardi_data (2)'!$A:$A,$A326,'yardi_data (2)'!$D:$D)</f>
        <v>0</v>
      </c>
      <c r="E326" s="791">
        <f>SUMIF('yardi_data (2)'!$A:$A,$A326,'yardi_data (2)'!$E:$E)</f>
        <v>0</v>
      </c>
      <c r="F326" s="791">
        <f>SUMIF('yardi_data (2)'!$A:$A,$A326,'yardi_data (2)'!$F:$F)</f>
        <v>0</v>
      </c>
      <c r="G326" s="791">
        <f>SUMIF('yardi_data (2)'!$A:$A,$A326,'yardi_data (2)'!$G:$G)</f>
        <v>0</v>
      </c>
      <c r="H326" s="792"/>
    </row>
    <row r="327" spans="1:8">
      <c r="A327" s="181" t="s">
        <v>650</v>
      </c>
      <c r="B327" s="181" t="s">
        <v>651</v>
      </c>
      <c r="C327" s="791">
        <f>SUMIF('yardi_data (2)'!$A:$A,$A327,'yardi_data (2)'!C:C)</f>
        <v>0</v>
      </c>
      <c r="D327" s="791">
        <f>SUMIF('yardi_data (2)'!$A:$A,$A327,'yardi_data (2)'!$D:$D)</f>
        <v>0</v>
      </c>
      <c r="E327" s="791">
        <f>SUMIF('yardi_data (2)'!$A:$A,$A327,'yardi_data (2)'!$E:$E)</f>
        <v>0</v>
      </c>
      <c r="F327" s="791">
        <f>SUMIF('yardi_data (2)'!$A:$A,$A327,'yardi_data (2)'!$F:$F)</f>
        <v>0</v>
      </c>
      <c r="G327" s="791">
        <f>SUMIF('yardi_data (2)'!$A:$A,$A327,'yardi_data (2)'!$G:$G)</f>
        <v>0</v>
      </c>
      <c r="H327" s="792"/>
    </row>
    <row r="328" spans="1:8">
      <c r="A328" s="182" t="s">
        <v>652</v>
      </c>
      <c r="B328" s="182" t="s">
        <v>653</v>
      </c>
      <c r="C328" s="791">
        <f>SUMIF('yardi_data (2)'!$A:$A,$A328,'yardi_data (2)'!C:C)</f>
        <v>0</v>
      </c>
      <c r="D328" s="791">
        <f>SUMIF('yardi_data (2)'!$A:$A,$A328,'yardi_data (2)'!$D:$D)</f>
        <v>0</v>
      </c>
      <c r="E328" s="791">
        <f>SUMIF('yardi_data (2)'!$A:$A,$A328,'yardi_data (2)'!$E:$E)</f>
        <v>0</v>
      </c>
      <c r="F328" s="791">
        <f>SUMIF('yardi_data (2)'!$A:$A,$A328,'yardi_data (2)'!$F:$F)</f>
        <v>0</v>
      </c>
      <c r="G328" s="791">
        <f>SUMIF('yardi_data (2)'!$A:$A,$A328,'yardi_data (2)'!$G:$G)</f>
        <v>0</v>
      </c>
      <c r="H328" s="792"/>
    </row>
    <row r="329" spans="1:8">
      <c r="A329" s="181" t="s">
        <v>654</v>
      </c>
      <c r="B329" s="181" t="s">
        <v>655</v>
      </c>
      <c r="C329" s="791">
        <f>SUMIF('yardi_data (2)'!$A:$A,$A329,'yardi_data (2)'!C:C)</f>
        <v>0</v>
      </c>
      <c r="D329" s="791">
        <f>SUMIF('yardi_data (2)'!$A:$A,$A329,'yardi_data (2)'!$D:$D)</f>
        <v>0</v>
      </c>
      <c r="E329" s="791">
        <f>SUMIF('yardi_data (2)'!$A:$A,$A329,'yardi_data (2)'!$E:$E)</f>
        <v>0</v>
      </c>
      <c r="F329" s="791">
        <f>SUMIF('yardi_data (2)'!$A:$A,$A329,'yardi_data (2)'!$F:$F)</f>
        <v>0</v>
      </c>
      <c r="G329" s="791">
        <f>SUMIF('yardi_data (2)'!$A:$A,$A329,'yardi_data (2)'!$G:$G)</f>
        <v>0</v>
      </c>
      <c r="H329" s="792"/>
    </row>
    <row r="330" spans="1:8">
      <c r="A330" s="182" t="s">
        <v>656</v>
      </c>
      <c r="B330" s="182" t="s">
        <v>657</v>
      </c>
      <c r="C330" s="791">
        <f>SUMIF('yardi_data (2)'!$A:$A,$A330,'yardi_data (2)'!C:C)</f>
        <v>0</v>
      </c>
      <c r="D330" s="791">
        <f>SUMIF('yardi_data (2)'!$A:$A,$A330,'yardi_data (2)'!$D:$D)</f>
        <v>0</v>
      </c>
      <c r="E330" s="791">
        <f>SUMIF('yardi_data (2)'!$A:$A,$A330,'yardi_data (2)'!$E:$E)</f>
        <v>0</v>
      </c>
      <c r="F330" s="791">
        <f>SUMIF('yardi_data (2)'!$A:$A,$A330,'yardi_data (2)'!$F:$F)</f>
        <v>0</v>
      </c>
      <c r="G330" s="791">
        <f>SUMIF('yardi_data (2)'!$A:$A,$A330,'yardi_data (2)'!$G:$G)</f>
        <v>0</v>
      </c>
      <c r="H330" s="792"/>
    </row>
    <row r="331" spans="1:8">
      <c r="A331" s="181" t="s">
        <v>658</v>
      </c>
      <c r="B331" s="181" t="s">
        <v>659</v>
      </c>
      <c r="C331" s="791">
        <f>SUMIF('yardi_data (2)'!$A:$A,$A331,'yardi_data (2)'!C:C)</f>
        <v>0</v>
      </c>
      <c r="D331" s="791">
        <f>SUMIF('yardi_data (2)'!$A:$A,$A331,'yardi_data (2)'!$D:$D)</f>
        <v>0</v>
      </c>
      <c r="E331" s="791">
        <f>SUMIF('yardi_data (2)'!$A:$A,$A331,'yardi_data (2)'!$E:$E)</f>
        <v>0</v>
      </c>
      <c r="F331" s="791">
        <f>SUMIF('yardi_data (2)'!$A:$A,$A331,'yardi_data (2)'!$F:$F)</f>
        <v>0</v>
      </c>
      <c r="G331" s="791">
        <f>SUMIF('yardi_data (2)'!$A:$A,$A331,'yardi_data (2)'!$G:$G)</f>
        <v>0</v>
      </c>
      <c r="H331" s="792"/>
    </row>
    <row r="332" spans="1:8">
      <c r="A332" s="182" t="s">
        <v>660</v>
      </c>
      <c r="B332" s="182" t="s">
        <v>661</v>
      </c>
      <c r="C332" s="791">
        <f>SUMIF('yardi_data (2)'!$A:$A,$A332,'yardi_data (2)'!C:C)</f>
        <v>0</v>
      </c>
      <c r="D332" s="791">
        <f>SUMIF('yardi_data (2)'!$A:$A,$A332,'yardi_data (2)'!$D:$D)</f>
        <v>0</v>
      </c>
      <c r="E332" s="791">
        <f>SUMIF('yardi_data (2)'!$A:$A,$A332,'yardi_data (2)'!$E:$E)</f>
        <v>0</v>
      </c>
      <c r="F332" s="791">
        <f>SUMIF('yardi_data (2)'!$A:$A,$A332,'yardi_data (2)'!$F:$F)</f>
        <v>0</v>
      </c>
      <c r="G332" s="791">
        <f>SUMIF('yardi_data (2)'!$A:$A,$A332,'yardi_data (2)'!$G:$G)</f>
        <v>0</v>
      </c>
      <c r="H332" s="792"/>
    </row>
    <row r="333" spans="1:8">
      <c r="A333" s="181" t="s">
        <v>662</v>
      </c>
      <c r="B333" s="181" t="s">
        <v>663</v>
      </c>
      <c r="C333" s="791">
        <f>SUMIF('yardi_data (2)'!$A:$A,$A333,'yardi_data (2)'!C:C)</f>
        <v>0</v>
      </c>
      <c r="D333" s="791">
        <f>SUMIF('yardi_data (2)'!$A:$A,$A333,'yardi_data (2)'!$D:$D)</f>
        <v>0</v>
      </c>
      <c r="E333" s="791">
        <f>SUMIF('yardi_data (2)'!$A:$A,$A333,'yardi_data (2)'!$E:$E)</f>
        <v>0</v>
      </c>
      <c r="F333" s="791">
        <f>SUMIF('yardi_data (2)'!$A:$A,$A333,'yardi_data (2)'!$F:$F)</f>
        <v>0</v>
      </c>
      <c r="G333" s="791">
        <f>SUMIF('yardi_data (2)'!$A:$A,$A333,'yardi_data (2)'!$G:$G)</f>
        <v>0</v>
      </c>
      <c r="H333" s="792"/>
    </row>
    <row r="334" spans="1:8">
      <c r="A334" s="182" t="s">
        <v>664</v>
      </c>
      <c r="B334" s="182" t="s">
        <v>665</v>
      </c>
      <c r="C334" s="791">
        <f>SUMIF('yardi_data (2)'!$A:$A,$A334,'yardi_data (2)'!C:C)</f>
        <v>65245.55</v>
      </c>
      <c r="D334" s="791">
        <f>SUMIF('yardi_data (2)'!$A:$A,$A334,'yardi_data (2)'!$D:$D)</f>
        <v>74548.11</v>
      </c>
      <c r="E334" s="791">
        <f>SUMIF('yardi_data (2)'!$A:$A,$A334,'yardi_data (2)'!$E:$E)</f>
        <v>35230.42</v>
      </c>
      <c r="F334" s="791">
        <f>SUMIF('yardi_data (2)'!$A:$A,$A334,'yardi_data (2)'!$F:$F)</f>
        <v>0</v>
      </c>
      <c r="G334" s="791">
        <f>SUMIF('yardi_data (2)'!$A:$A,$A334,'yardi_data (2)'!$G:$G)</f>
        <v>0</v>
      </c>
      <c r="H334" s="792"/>
    </row>
    <row r="335" spans="1:8">
      <c r="A335" s="181" t="s">
        <v>666</v>
      </c>
      <c r="B335" s="181" t="s">
        <v>667</v>
      </c>
      <c r="C335" s="791">
        <f>SUMIF('yardi_data (2)'!$A:$A,$A335,'yardi_data (2)'!C:C)</f>
        <v>16817.13</v>
      </c>
      <c r="D335" s="791">
        <f>SUMIF('yardi_data (2)'!$A:$A,$A335,'yardi_data (2)'!$D:$D)</f>
        <v>7083.84</v>
      </c>
      <c r="E335" s="791">
        <f>SUMIF('yardi_data (2)'!$A:$A,$A335,'yardi_data (2)'!$E:$E)</f>
        <v>7311.7</v>
      </c>
      <c r="F335" s="791">
        <f>SUMIF('yardi_data (2)'!$A:$A,$A335,'yardi_data (2)'!$F:$F)</f>
        <v>7000</v>
      </c>
      <c r="G335" s="791">
        <f>SUMIF('yardi_data (2)'!$A:$A,$A335,'yardi_data (2)'!$G:$G)</f>
        <v>7000</v>
      </c>
      <c r="H335" s="792"/>
    </row>
    <row r="336" spans="1:8">
      <c r="A336" s="182" t="s">
        <v>668</v>
      </c>
      <c r="B336" s="182" t="s">
        <v>669</v>
      </c>
      <c r="C336" s="791">
        <f>SUMIF('yardi_data (2)'!$A:$A,$A336,'yardi_data (2)'!C:C)</f>
        <v>0</v>
      </c>
      <c r="D336" s="791">
        <f>SUMIF('yardi_data (2)'!$A:$A,$A336,'yardi_data (2)'!$D:$D)</f>
        <v>0</v>
      </c>
      <c r="E336" s="791">
        <f>SUMIF('yardi_data (2)'!$A:$A,$A336,'yardi_data (2)'!$E:$E)</f>
        <v>0</v>
      </c>
      <c r="F336" s="791">
        <f>SUMIF('yardi_data (2)'!$A:$A,$A336,'yardi_data (2)'!$F:$F)</f>
        <v>0</v>
      </c>
      <c r="G336" s="791">
        <f>SUMIF('yardi_data (2)'!$A:$A,$A336,'yardi_data (2)'!$G:$G)</f>
        <v>0</v>
      </c>
      <c r="H336" s="792"/>
    </row>
    <row r="337" spans="1:8">
      <c r="A337" s="181" t="s">
        <v>670</v>
      </c>
      <c r="B337" s="181" t="s">
        <v>671</v>
      </c>
      <c r="C337" s="791">
        <f>SUMIF('yardi_data (2)'!$A:$A,$A337,'yardi_data (2)'!C:C)</f>
        <v>0</v>
      </c>
      <c r="D337" s="791">
        <f>SUMIF('yardi_data (2)'!$A:$A,$A337,'yardi_data (2)'!$D:$D)</f>
        <v>0</v>
      </c>
      <c r="E337" s="791">
        <f>SUMIF('yardi_data (2)'!$A:$A,$A337,'yardi_data (2)'!$E:$E)</f>
        <v>0</v>
      </c>
      <c r="F337" s="791">
        <f>SUMIF('yardi_data (2)'!$A:$A,$A337,'yardi_data (2)'!$F:$F)</f>
        <v>0</v>
      </c>
      <c r="G337" s="791">
        <f>SUMIF('yardi_data (2)'!$A:$A,$A337,'yardi_data (2)'!$G:$G)</f>
        <v>0</v>
      </c>
      <c r="H337" s="792"/>
    </row>
    <row r="338" spans="1:8">
      <c r="A338" s="182" t="s">
        <v>672</v>
      </c>
      <c r="B338" s="182" t="s">
        <v>673</v>
      </c>
      <c r="C338" s="791">
        <f>SUMIF('yardi_data (2)'!$A:$A,$A338,'yardi_data (2)'!C:C)</f>
        <v>0</v>
      </c>
      <c r="D338" s="791">
        <f>SUMIF('yardi_data (2)'!$A:$A,$A338,'yardi_data (2)'!$D:$D)</f>
        <v>0</v>
      </c>
      <c r="E338" s="791">
        <f>SUMIF('yardi_data (2)'!$A:$A,$A338,'yardi_data (2)'!$E:$E)</f>
        <v>0</v>
      </c>
      <c r="F338" s="791">
        <f>SUMIF('yardi_data (2)'!$A:$A,$A338,'yardi_data (2)'!$F:$F)</f>
        <v>0</v>
      </c>
      <c r="G338" s="791">
        <f>SUMIF('yardi_data (2)'!$A:$A,$A338,'yardi_data (2)'!$G:$G)</f>
        <v>0</v>
      </c>
      <c r="H338" s="792"/>
    </row>
    <row r="339" spans="1:8">
      <c r="A339" s="181" t="s">
        <v>674</v>
      </c>
      <c r="B339" s="181" t="s">
        <v>675</v>
      </c>
      <c r="C339" s="791">
        <f>SUMIF('yardi_data (2)'!$A:$A,$A339,'yardi_data (2)'!C:C)</f>
        <v>0</v>
      </c>
      <c r="D339" s="791">
        <f>SUMIF('yardi_data (2)'!$A:$A,$A339,'yardi_data (2)'!$D:$D)</f>
        <v>0</v>
      </c>
      <c r="E339" s="791">
        <f>SUMIF('yardi_data (2)'!$A:$A,$A339,'yardi_data (2)'!$E:$E)</f>
        <v>0</v>
      </c>
      <c r="F339" s="791">
        <f>SUMIF('yardi_data (2)'!$A:$A,$A339,'yardi_data (2)'!$F:$F)</f>
        <v>0</v>
      </c>
      <c r="G339" s="791">
        <f>SUMIF('yardi_data (2)'!$A:$A,$A339,'yardi_data (2)'!$G:$G)</f>
        <v>0</v>
      </c>
      <c r="H339" s="792"/>
    </row>
    <row r="340" spans="1:8">
      <c r="A340" s="182" t="s">
        <v>676</v>
      </c>
      <c r="B340" s="182" t="s">
        <v>677</v>
      </c>
      <c r="C340" s="791">
        <f>SUMIF('yardi_data (2)'!$A:$A,$A340,'yardi_data (2)'!C:C)</f>
        <v>0</v>
      </c>
      <c r="D340" s="791">
        <f>SUMIF('yardi_data (2)'!$A:$A,$A340,'yardi_data (2)'!$D:$D)</f>
        <v>0</v>
      </c>
      <c r="E340" s="791">
        <f>SUMIF('yardi_data (2)'!$A:$A,$A340,'yardi_data (2)'!$E:$E)</f>
        <v>0</v>
      </c>
      <c r="F340" s="791">
        <f>SUMIF('yardi_data (2)'!$A:$A,$A340,'yardi_data (2)'!$F:$F)</f>
        <v>0</v>
      </c>
      <c r="G340" s="791">
        <f>SUMIF('yardi_data (2)'!$A:$A,$A340,'yardi_data (2)'!$G:$G)</f>
        <v>0</v>
      </c>
      <c r="H340" s="792"/>
    </row>
    <row r="341" spans="1:8">
      <c r="A341" s="181" t="s">
        <v>678</v>
      </c>
      <c r="B341" s="181" t="s">
        <v>679</v>
      </c>
      <c r="C341" s="791">
        <f>SUMIF('yardi_data (2)'!$A:$A,$A341,'yardi_data (2)'!C:C)</f>
        <v>0</v>
      </c>
      <c r="D341" s="791">
        <f>SUMIF('yardi_data (2)'!$A:$A,$A341,'yardi_data (2)'!$D:$D)</f>
        <v>0</v>
      </c>
      <c r="E341" s="791">
        <f>SUMIF('yardi_data (2)'!$A:$A,$A341,'yardi_data (2)'!$E:$E)</f>
        <v>0</v>
      </c>
      <c r="F341" s="791">
        <f>SUMIF('yardi_data (2)'!$A:$A,$A341,'yardi_data (2)'!$F:$F)</f>
        <v>0</v>
      </c>
      <c r="G341" s="791">
        <f>SUMIF('yardi_data (2)'!$A:$A,$A341,'yardi_data (2)'!$G:$G)</f>
        <v>0</v>
      </c>
      <c r="H341" s="792"/>
    </row>
    <row r="342" spans="1:8">
      <c r="A342" s="182" t="s">
        <v>680</v>
      </c>
      <c r="B342" s="182" t="s">
        <v>681</v>
      </c>
      <c r="C342" s="791">
        <f>SUMIF('yardi_data (2)'!$A:$A,$A342,'yardi_data (2)'!C:C)</f>
        <v>0</v>
      </c>
      <c r="D342" s="791">
        <f>SUMIF('yardi_data (2)'!$A:$A,$A342,'yardi_data (2)'!$D:$D)</f>
        <v>0</v>
      </c>
      <c r="E342" s="791">
        <f>SUMIF('yardi_data (2)'!$A:$A,$A342,'yardi_data (2)'!$E:$E)</f>
        <v>0</v>
      </c>
      <c r="F342" s="791">
        <f>SUMIF('yardi_data (2)'!$A:$A,$A342,'yardi_data (2)'!$F:$F)</f>
        <v>0</v>
      </c>
      <c r="G342" s="791">
        <f>SUMIF('yardi_data (2)'!$A:$A,$A342,'yardi_data (2)'!$G:$G)</f>
        <v>0</v>
      </c>
      <c r="H342" s="792"/>
    </row>
    <row r="343" spans="1:8">
      <c r="A343" s="181" t="s">
        <v>682</v>
      </c>
      <c r="B343" s="181" t="s">
        <v>683</v>
      </c>
      <c r="C343" s="791">
        <f>SUMIF('yardi_data (2)'!$A:$A,$A343,'yardi_data (2)'!C:C)</f>
        <v>0</v>
      </c>
      <c r="D343" s="791">
        <f>SUMIF('yardi_data (2)'!$A:$A,$A343,'yardi_data (2)'!$D:$D)</f>
        <v>0</v>
      </c>
      <c r="E343" s="791">
        <f>SUMIF('yardi_data (2)'!$A:$A,$A343,'yardi_data (2)'!$E:$E)</f>
        <v>0</v>
      </c>
      <c r="F343" s="791">
        <f>SUMIF('yardi_data (2)'!$A:$A,$A343,'yardi_data (2)'!$F:$F)</f>
        <v>0</v>
      </c>
      <c r="G343" s="791">
        <f>SUMIF('yardi_data (2)'!$A:$A,$A343,'yardi_data (2)'!$G:$G)</f>
        <v>0</v>
      </c>
      <c r="H343" s="792"/>
    </row>
    <row r="344" spans="1:8">
      <c r="A344" s="182" t="s">
        <v>684</v>
      </c>
      <c r="B344" s="182" t="s">
        <v>685</v>
      </c>
      <c r="C344" s="791">
        <f>SUMIF('yardi_data (2)'!$A:$A,$A344,'yardi_data (2)'!C:C)</f>
        <v>0</v>
      </c>
      <c r="D344" s="791">
        <f>SUMIF('yardi_data (2)'!$A:$A,$A344,'yardi_data (2)'!$D:$D)</f>
        <v>0</v>
      </c>
      <c r="E344" s="791">
        <f>SUMIF('yardi_data (2)'!$A:$A,$A344,'yardi_data (2)'!$E:$E)</f>
        <v>0</v>
      </c>
      <c r="F344" s="791">
        <f>SUMIF('yardi_data (2)'!$A:$A,$A344,'yardi_data (2)'!$F:$F)</f>
        <v>0</v>
      </c>
      <c r="G344" s="791">
        <f>SUMIF('yardi_data (2)'!$A:$A,$A344,'yardi_data (2)'!$G:$G)</f>
        <v>0</v>
      </c>
      <c r="H344" s="792"/>
    </row>
    <row r="345" spans="1:8">
      <c r="A345" s="181" t="s">
        <v>686</v>
      </c>
      <c r="B345" s="181" t="s">
        <v>687</v>
      </c>
      <c r="C345" s="791">
        <f>SUMIF('yardi_data (2)'!$A:$A,$A345,'yardi_data (2)'!C:C)</f>
        <v>0</v>
      </c>
      <c r="D345" s="791">
        <f>SUMIF('yardi_data (2)'!$A:$A,$A345,'yardi_data (2)'!$D:$D)</f>
        <v>0</v>
      </c>
      <c r="E345" s="791">
        <f>SUMIF('yardi_data (2)'!$A:$A,$A345,'yardi_data (2)'!$E:$E)</f>
        <v>0</v>
      </c>
      <c r="F345" s="791">
        <f>SUMIF('yardi_data (2)'!$A:$A,$A345,'yardi_data (2)'!$F:$F)</f>
        <v>0</v>
      </c>
      <c r="G345" s="791">
        <f>SUMIF('yardi_data (2)'!$A:$A,$A345,'yardi_data (2)'!$G:$G)</f>
        <v>0</v>
      </c>
      <c r="H345" s="792"/>
    </row>
    <row r="346" spans="1:8">
      <c r="A346" s="182" t="s">
        <v>688</v>
      </c>
      <c r="B346" s="182" t="s">
        <v>689</v>
      </c>
      <c r="C346" s="791">
        <f>SUMIF('yardi_data (2)'!$A:$A,$A346,'yardi_data (2)'!C:C)</f>
        <v>0</v>
      </c>
      <c r="D346" s="791">
        <f>SUMIF('yardi_data (2)'!$A:$A,$A346,'yardi_data (2)'!$D:$D)</f>
        <v>0</v>
      </c>
      <c r="E346" s="791">
        <f>SUMIF('yardi_data (2)'!$A:$A,$A346,'yardi_data (2)'!$E:$E)</f>
        <v>0</v>
      </c>
      <c r="F346" s="791">
        <f>SUMIF('yardi_data (2)'!$A:$A,$A346,'yardi_data (2)'!$F:$F)</f>
        <v>0</v>
      </c>
      <c r="G346" s="791">
        <f>SUMIF('yardi_data (2)'!$A:$A,$A346,'yardi_data (2)'!$G:$G)</f>
        <v>0</v>
      </c>
      <c r="H346" s="792"/>
    </row>
    <row r="347" spans="1:8">
      <c r="A347" s="181" t="s">
        <v>690</v>
      </c>
      <c r="B347" s="181" t="s">
        <v>691</v>
      </c>
      <c r="C347" s="791">
        <f>SUMIF('yardi_data (2)'!$A:$A,$A347,'yardi_data (2)'!C:C)</f>
        <v>0</v>
      </c>
      <c r="D347" s="791">
        <f>SUMIF('yardi_data (2)'!$A:$A,$A347,'yardi_data (2)'!$D:$D)</f>
        <v>0</v>
      </c>
      <c r="E347" s="791">
        <f>SUMIF('yardi_data (2)'!$A:$A,$A347,'yardi_data (2)'!$E:$E)</f>
        <v>0</v>
      </c>
      <c r="F347" s="791">
        <f>SUMIF('yardi_data (2)'!$A:$A,$A347,'yardi_data (2)'!$F:$F)</f>
        <v>0</v>
      </c>
      <c r="G347" s="791">
        <f>SUMIF('yardi_data (2)'!$A:$A,$A347,'yardi_data (2)'!$G:$G)</f>
        <v>0</v>
      </c>
      <c r="H347" s="792"/>
    </row>
    <row r="348" spans="1:8">
      <c r="A348" s="182" t="s">
        <v>692</v>
      </c>
      <c r="B348" s="182" t="s">
        <v>693</v>
      </c>
      <c r="C348" s="791">
        <f>SUMIF('yardi_data (2)'!$A:$A,$A348,'yardi_data (2)'!C:C)</f>
        <v>0</v>
      </c>
      <c r="D348" s="791">
        <f>SUMIF('yardi_data (2)'!$A:$A,$A348,'yardi_data (2)'!$D:$D)</f>
        <v>0</v>
      </c>
      <c r="E348" s="791">
        <f>SUMIF('yardi_data (2)'!$A:$A,$A348,'yardi_data (2)'!$E:$E)</f>
        <v>0</v>
      </c>
      <c r="F348" s="791">
        <f>SUMIF('yardi_data (2)'!$A:$A,$A348,'yardi_data (2)'!$F:$F)</f>
        <v>0</v>
      </c>
      <c r="G348" s="791">
        <f>SUMIF('yardi_data (2)'!$A:$A,$A348,'yardi_data (2)'!$G:$G)</f>
        <v>0</v>
      </c>
      <c r="H348" s="792"/>
    </row>
    <row r="349" spans="1:8">
      <c r="A349" s="181" t="s">
        <v>694</v>
      </c>
      <c r="B349" s="181" t="s">
        <v>695</v>
      </c>
      <c r="C349" s="791">
        <f>SUMIF('yardi_data (2)'!$A:$A,$A349,'yardi_data (2)'!C:C)</f>
        <v>0</v>
      </c>
      <c r="D349" s="791">
        <f>SUMIF('yardi_data (2)'!$A:$A,$A349,'yardi_data (2)'!$D:$D)</f>
        <v>0</v>
      </c>
      <c r="E349" s="791">
        <f>SUMIF('yardi_data (2)'!$A:$A,$A349,'yardi_data (2)'!$E:$E)</f>
        <v>0</v>
      </c>
      <c r="F349" s="791">
        <f>SUMIF('yardi_data (2)'!$A:$A,$A349,'yardi_data (2)'!$F:$F)</f>
        <v>0</v>
      </c>
      <c r="G349" s="791">
        <f>SUMIF('yardi_data (2)'!$A:$A,$A349,'yardi_data (2)'!$G:$G)</f>
        <v>0</v>
      </c>
      <c r="H349" s="792"/>
    </row>
    <row r="350" spans="1:8">
      <c r="A350" s="182" t="s">
        <v>696</v>
      </c>
      <c r="B350" s="182" t="s">
        <v>697</v>
      </c>
      <c r="C350" s="791">
        <f>SUMIF('yardi_data (2)'!$A:$A,$A350,'yardi_data (2)'!C:C)</f>
        <v>0</v>
      </c>
      <c r="D350" s="791">
        <f>SUMIF('yardi_data (2)'!$A:$A,$A350,'yardi_data (2)'!$D:$D)</f>
        <v>0</v>
      </c>
      <c r="E350" s="791">
        <f>SUMIF('yardi_data (2)'!$A:$A,$A350,'yardi_data (2)'!$E:$E)</f>
        <v>0</v>
      </c>
      <c r="F350" s="791">
        <f>SUMIF('yardi_data (2)'!$A:$A,$A350,'yardi_data (2)'!$F:$F)</f>
        <v>0</v>
      </c>
      <c r="G350" s="791">
        <f>SUMIF('yardi_data (2)'!$A:$A,$A350,'yardi_data (2)'!$G:$G)</f>
        <v>0</v>
      </c>
      <c r="H350" s="792"/>
    </row>
    <row r="351" spans="1:8">
      <c r="A351" s="181" t="s">
        <v>698</v>
      </c>
      <c r="B351" s="181" t="s">
        <v>699</v>
      </c>
      <c r="C351" s="791">
        <f>SUMIF('yardi_data (2)'!$A:$A,$A351,'yardi_data (2)'!C:C)</f>
        <v>0</v>
      </c>
      <c r="D351" s="791">
        <f>SUMIF('yardi_data (2)'!$A:$A,$A351,'yardi_data (2)'!$D:$D)</f>
        <v>0</v>
      </c>
      <c r="E351" s="791">
        <f>SUMIF('yardi_data (2)'!$A:$A,$A351,'yardi_data (2)'!$E:$E)</f>
        <v>0</v>
      </c>
      <c r="F351" s="791">
        <f>SUMIF('yardi_data (2)'!$A:$A,$A351,'yardi_data (2)'!$F:$F)</f>
        <v>0</v>
      </c>
      <c r="G351" s="791">
        <f>SUMIF('yardi_data (2)'!$A:$A,$A351,'yardi_data (2)'!$G:$G)</f>
        <v>0</v>
      </c>
      <c r="H351" s="792"/>
    </row>
    <row r="352" spans="1:8">
      <c r="A352" s="182" t="s">
        <v>700</v>
      </c>
      <c r="B352" s="182" t="s">
        <v>701</v>
      </c>
      <c r="C352" s="791">
        <f>SUMIF('yardi_data (2)'!$A:$A,$A352,'yardi_data (2)'!C:C)</f>
        <v>0</v>
      </c>
      <c r="D352" s="791">
        <f>SUMIF('yardi_data (2)'!$A:$A,$A352,'yardi_data (2)'!$D:$D)</f>
        <v>0</v>
      </c>
      <c r="E352" s="791">
        <f>SUMIF('yardi_data (2)'!$A:$A,$A352,'yardi_data (2)'!$E:$E)</f>
        <v>0</v>
      </c>
      <c r="F352" s="791">
        <f>SUMIF('yardi_data (2)'!$A:$A,$A352,'yardi_data (2)'!$F:$F)</f>
        <v>0</v>
      </c>
      <c r="G352" s="791">
        <f>SUMIF('yardi_data (2)'!$A:$A,$A352,'yardi_data (2)'!$G:$G)</f>
        <v>0</v>
      </c>
      <c r="H352" s="792"/>
    </row>
    <row r="353" spans="1:8">
      <c r="A353" s="181" t="s">
        <v>702</v>
      </c>
      <c r="B353" s="181" t="s">
        <v>703</v>
      </c>
      <c r="C353" s="791">
        <f>SUMIF('yardi_data (2)'!$A:$A,$A353,'yardi_data (2)'!C:C)</f>
        <v>0</v>
      </c>
      <c r="D353" s="791">
        <f>SUMIF('yardi_data (2)'!$A:$A,$A353,'yardi_data (2)'!$D:$D)</f>
        <v>0</v>
      </c>
      <c r="E353" s="791">
        <f>SUMIF('yardi_data (2)'!$A:$A,$A353,'yardi_data (2)'!$E:$E)</f>
        <v>0</v>
      </c>
      <c r="F353" s="791">
        <f>SUMIF('yardi_data (2)'!$A:$A,$A353,'yardi_data (2)'!$F:$F)</f>
        <v>0</v>
      </c>
      <c r="G353" s="791">
        <f>SUMIF('yardi_data (2)'!$A:$A,$A353,'yardi_data (2)'!$G:$G)</f>
        <v>0</v>
      </c>
      <c r="H353" s="792"/>
    </row>
    <row r="354" spans="1:8">
      <c r="A354" s="182" t="s">
        <v>704</v>
      </c>
      <c r="B354" s="182" t="s">
        <v>705</v>
      </c>
      <c r="C354" s="791">
        <f>SUMIF('yardi_data (2)'!$A:$A,$A354,'yardi_data (2)'!C:C)</f>
        <v>0</v>
      </c>
      <c r="D354" s="791">
        <f>SUMIF('yardi_data (2)'!$A:$A,$A354,'yardi_data (2)'!$D:$D)</f>
        <v>0</v>
      </c>
      <c r="E354" s="791">
        <f>SUMIF('yardi_data (2)'!$A:$A,$A354,'yardi_data (2)'!$E:$E)</f>
        <v>0</v>
      </c>
      <c r="F354" s="791">
        <f>SUMIF('yardi_data (2)'!$A:$A,$A354,'yardi_data (2)'!$F:$F)</f>
        <v>0</v>
      </c>
      <c r="G354" s="791">
        <f>SUMIF('yardi_data (2)'!$A:$A,$A354,'yardi_data (2)'!$G:$G)</f>
        <v>0</v>
      </c>
      <c r="H354" s="792"/>
    </row>
    <row r="355" spans="1:8">
      <c r="A355" s="181" t="s">
        <v>706</v>
      </c>
      <c r="B355" s="181" t="s">
        <v>707</v>
      </c>
      <c r="C355" s="791">
        <f>SUMIF('yardi_data (2)'!$A:$A,$A355,'yardi_data (2)'!C:C)</f>
        <v>5000</v>
      </c>
      <c r="D355" s="791">
        <f>SUMIF('yardi_data (2)'!$A:$A,$A355,'yardi_data (2)'!$D:$D)</f>
        <v>5000</v>
      </c>
      <c r="E355" s="791">
        <f>SUMIF('yardi_data (2)'!$A:$A,$A355,'yardi_data (2)'!$E:$E)</f>
        <v>7500</v>
      </c>
      <c r="F355" s="791">
        <f>SUMIF('yardi_data (2)'!$A:$A,$A355,'yardi_data (2)'!$F:$F)</f>
        <v>2000</v>
      </c>
      <c r="G355" s="791">
        <f>SUMIF('yardi_data (2)'!$A:$A,$A355,'yardi_data (2)'!$G:$G)</f>
        <v>3000</v>
      </c>
      <c r="H355" s="792"/>
    </row>
    <row r="356" spans="1:8">
      <c r="A356" s="182" t="s">
        <v>708</v>
      </c>
      <c r="B356" s="182" t="s">
        <v>709</v>
      </c>
      <c r="C356" s="791">
        <f>SUMIF('yardi_data (2)'!$A:$A,$A356,'yardi_data (2)'!C:C)</f>
        <v>0</v>
      </c>
      <c r="D356" s="791">
        <f>SUMIF('yardi_data (2)'!$A:$A,$A356,'yardi_data (2)'!$D:$D)</f>
        <v>0</v>
      </c>
      <c r="E356" s="791">
        <f>SUMIF('yardi_data (2)'!$A:$A,$A356,'yardi_data (2)'!$E:$E)</f>
        <v>0</v>
      </c>
      <c r="F356" s="791">
        <f>SUMIF('yardi_data (2)'!$A:$A,$A356,'yardi_data (2)'!$F:$F)</f>
        <v>0</v>
      </c>
      <c r="G356" s="791">
        <f>SUMIF('yardi_data (2)'!$A:$A,$A356,'yardi_data (2)'!$G:$G)</f>
        <v>0</v>
      </c>
      <c r="H356" s="792"/>
    </row>
    <row r="357" spans="1:8">
      <c r="A357" s="181" t="s">
        <v>710</v>
      </c>
      <c r="B357" s="181" t="s">
        <v>711</v>
      </c>
      <c r="C357" s="791">
        <f>SUMIF('yardi_data (2)'!$A:$A,$A357,'yardi_data (2)'!C:C)</f>
        <v>0</v>
      </c>
      <c r="D357" s="791">
        <f>SUMIF('yardi_data (2)'!$A:$A,$A357,'yardi_data (2)'!$D:$D)</f>
        <v>0</v>
      </c>
      <c r="E357" s="791">
        <f>SUMIF('yardi_data (2)'!$A:$A,$A357,'yardi_data (2)'!$E:$E)</f>
        <v>0</v>
      </c>
      <c r="F357" s="791">
        <f>SUMIF('yardi_data (2)'!$A:$A,$A357,'yardi_data (2)'!$F:$F)</f>
        <v>0</v>
      </c>
      <c r="G357" s="791">
        <f>SUMIF('yardi_data (2)'!$A:$A,$A357,'yardi_data (2)'!$G:$G)</f>
        <v>0</v>
      </c>
      <c r="H357" s="792"/>
    </row>
    <row r="358" spans="1:8">
      <c r="A358" s="182" t="s">
        <v>712</v>
      </c>
      <c r="B358" s="182" t="s">
        <v>713</v>
      </c>
      <c r="C358" s="791">
        <f>SUMIF('yardi_data (2)'!$A:$A,$A358,'yardi_data (2)'!C:C)</f>
        <v>0</v>
      </c>
      <c r="D358" s="791">
        <f>SUMIF('yardi_data (2)'!$A:$A,$A358,'yardi_data (2)'!$D:$D)</f>
        <v>0</v>
      </c>
      <c r="E358" s="791">
        <f>SUMIF('yardi_data (2)'!$A:$A,$A358,'yardi_data (2)'!$E:$E)</f>
        <v>0</v>
      </c>
      <c r="F358" s="791">
        <f>SUMIF('yardi_data (2)'!$A:$A,$A358,'yardi_data (2)'!$F:$F)</f>
        <v>0</v>
      </c>
      <c r="G358" s="791">
        <f>SUMIF('yardi_data (2)'!$A:$A,$A358,'yardi_data (2)'!$G:$G)</f>
        <v>0</v>
      </c>
      <c r="H358" s="792"/>
    </row>
    <row r="359" spans="1:8">
      <c r="A359" s="181" t="s">
        <v>714</v>
      </c>
      <c r="B359" s="181" t="s">
        <v>715</v>
      </c>
      <c r="C359" s="791">
        <f>SUMIF('yardi_data (2)'!$A:$A,$A359,'yardi_data (2)'!C:C)</f>
        <v>0</v>
      </c>
      <c r="D359" s="791">
        <f>SUMIF('yardi_data (2)'!$A:$A,$A359,'yardi_data (2)'!$D:$D)</f>
        <v>0</v>
      </c>
      <c r="E359" s="791">
        <f>SUMIF('yardi_data (2)'!$A:$A,$A359,'yardi_data (2)'!$E:$E)</f>
        <v>500</v>
      </c>
      <c r="F359" s="791">
        <f>SUMIF('yardi_data (2)'!$A:$A,$A359,'yardi_data (2)'!$F:$F)</f>
        <v>0</v>
      </c>
      <c r="G359" s="791">
        <f>SUMIF('yardi_data (2)'!$A:$A,$A359,'yardi_data (2)'!$G:$G)</f>
        <v>0</v>
      </c>
      <c r="H359" s="792"/>
    </row>
    <row r="360" spans="1:8">
      <c r="A360" s="182" t="s">
        <v>716</v>
      </c>
      <c r="B360" s="182" t="s">
        <v>717</v>
      </c>
      <c r="C360" s="791">
        <f>SUMIF('yardi_data (2)'!$A:$A,$A360,'yardi_data (2)'!C:C)</f>
        <v>0</v>
      </c>
      <c r="D360" s="791">
        <f>SUMIF('yardi_data (2)'!$A:$A,$A360,'yardi_data (2)'!$D:$D)</f>
        <v>0</v>
      </c>
      <c r="E360" s="791">
        <f>SUMIF('yardi_data (2)'!$A:$A,$A360,'yardi_data (2)'!$E:$E)</f>
        <v>0</v>
      </c>
      <c r="F360" s="791">
        <f>SUMIF('yardi_data (2)'!$A:$A,$A360,'yardi_data (2)'!$F:$F)</f>
        <v>0</v>
      </c>
      <c r="G360" s="791">
        <f>SUMIF('yardi_data (2)'!$A:$A,$A360,'yardi_data (2)'!$G:$G)</f>
        <v>0</v>
      </c>
      <c r="H360" s="792"/>
    </row>
    <row r="361" spans="1:8">
      <c r="A361" s="181" t="s">
        <v>718</v>
      </c>
      <c r="B361" s="181" t="s">
        <v>719</v>
      </c>
      <c r="C361" s="791">
        <f>SUMIF('yardi_data (2)'!$A:$A,$A361,'yardi_data (2)'!C:C)</f>
        <v>0</v>
      </c>
      <c r="D361" s="791">
        <f>SUMIF('yardi_data (2)'!$A:$A,$A361,'yardi_data (2)'!$D:$D)</f>
        <v>0</v>
      </c>
      <c r="E361" s="791">
        <f>SUMIF('yardi_data (2)'!$A:$A,$A361,'yardi_data (2)'!$E:$E)</f>
        <v>0</v>
      </c>
      <c r="F361" s="791">
        <f>SUMIF('yardi_data (2)'!$A:$A,$A361,'yardi_data (2)'!$F:$F)</f>
        <v>0</v>
      </c>
      <c r="G361" s="791">
        <f>SUMIF('yardi_data (2)'!$A:$A,$A361,'yardi_data (2)'!$G:$G)</f>
        <v>0</v>
      </c>
      <c r="H361" s="792"/>
    </row>
    <row r="362" spans="1:8">
      <c r="A362" s="182" t="s">
        <v>720</v>
      </c>
      <c r="B362" s="182" t="s">
        <v>721</v>
      </c>
      <c r="C362" s="791">
        <f>SUMIF('yardi_data (2)'!$A:$A,$A362,'yardi_data (2)'!C:C)</f>
        <v>0</v>
      </c>
      <c r="D362" s="791">
        <f>SUMIF('yardi_data (2)'!$A:$A,$A362,'yardi_data (2)'!$D:$D)</f>
        <v>0</v>
      </c>
      <c r="E362" s="791">
        <f>SUMIF('yardi_data (2)'!$A:$A,$A362,'yardi_data (2)'!$E:$E)</f>
        <v>0</v>
      </c>
      <c r="F362" s="791">
        <f>SUMIF('yardi_data (2)'!$A:$A,$A362,'yardi_data (2)'!$F:$F)</f>
        <v>0</v>
      </c>
      <c r="G362" s="791">
        <f>SUMIF('yardi_data (2)'!$A:$A,$A362,'yardi_data (2)'!$G:$G)</f>
        <v>0</v>
      </c>
      <c r="H362" s="792"/>
    </row>
    <row r="363" spans="1:8">
      <c r="A363" s="181" t="s">
        <v>722</v>
      </c>
      <c r="B363" s="181" t="s">
        <v>723</v>
      </c>
      <c r="C363" s="791">
        <f>SUMIF('yardi_data (2)'!$A:$A,$A363,'yardi_data (2)'!C:C)</f>
        <v>0</v>
      </c>
      <c r="D363" s="791">
        <f>SUMIF('yardi_data (2)'!$A:$A,$A363,'yardi_data (2)'!$D:$D)</f>
        <v>0</v>
      </c>
      <c r="E363" s="791">
        <f>SUMIF('yardi_data (2)'!$A:$A,$A363,'yardi_data (2)'!$E:$E)</f>
        <v>0</v>
      </c>
      <c r="F363" s="791">
        <f>SUMIF('yardi_data (2)'!$A:$A,$A363,'yardi_data (2)'!$F:$F)</f>
        <v>0</v>
      </c>
      <c r="G363" s="791">
        <f>SUMIF('yardi_data (2)'!$A:$A,$A363,'yardi_data (2)'!$G:$G)</f>
        <v>0</v>
      </c>
      <c r="H363" s="792"/>
    </row>
    <row r="364" spans="1:8">
      <c r="A364" s="182" t="s">
        <v>724</v>
      </c>
      <c r="B364" s="182" t="s">
        <v>725</v>
      </c>
      <c r="C364" s="791">
        <f>SUMIF('yardi_data (2)'!$A:$A,$A364,'yardi_data (2)'!C:C)</f>
        <v>0</v>
      </c>
      <c r="D364" s="791">
        <f>SUMIF('yardi_data (2)'!$A:$A,$A364,'yardi_data (2)'!$D:$D)</f>
        <v>0</v>
      </c>
      <c r="E364" s="791">
        <f>SUMIF('yardi_data (2)'!$A:$A,$A364,'yardi_data (2)'!$E:$E)</f>
        <v>0</v>
      </c>
      <c r="F364" s="791">
        <f>SUMIF('yardi_data (2)'!$A:$A,$A364,'yardi_data (2)'!$F:$F)</f>
        <v>0</v>
      </c>
      <c r="G364" s="791">
        <f>SUMIF('yardi_data (2)'!$A:$A,$A364,'yardi_data (2)'!$G:$G)</f>
        <v>0</v>
      </c>
      <c r="H364" s="792"/>
    </row>
    <row r="365" spans="1:8">
      <c r="A365" s="181" t="s">
        <v>726</v>
      </c>
      <c r="B365" s="181" t="s">
        <v>727</v>
      </c>
      <c r="C365" s="791">
        <f>SUMIF('yardi_data (2)'!$A:$A,$A365,'yardi_data (2)'!C:C)</f>
        <v>0</v>
      </c>
      <c r="D365" s="791">
        <f>SUMIF('yardi_data (2)'!$A:$A,$A365,'yardi_data (2)'!$D:$D)</f>
        <v>0</v>
      </c>
      <c r="E365" s="791">
        <f>SUMIF('yardi_data (2)'!$A:$A,$A365,'yardi_data (2)'!$E:$E)</f>
        <v>0</v>
      </c>
      <c r="F365" s="791">
        <f>SUMIF('yardi_data (2)'!$A:$A,$A365,'yardi_data (2)'!$F:$F)</f>
        <v>0</v>
      </c>
      <c r="G365" s="791">
        <f>SUMIF('yardi_data (2)'!$A:$A,$A365,'yardi_data (2)'!$G:$G)</f>
        <v>0</v>
      </c>
      <c r="H365" s="792"/>
    </row>
    <row r="366" spans="1:8">
      <c r="A366" s="182" t="s">
        <v>728</v>
      </c>
      <c r="B366" s="182" t="s">
        <v>729</v>
      </c>
      <c r="C366" s="791">
        <f>SUMIF('yardi_data (2)'!$A:$A,$A366,'yardi_data (2)'!C:C)</f>
        <v>0</v>
      </c>
      <c r="D366" s="791">
        <f>SUMIF('yardi_data (2)'!$A:$A,$A366,'yardi_data (2)'!$D:$D)</f>
        <v>0</v>
      </c>
      <c r="E366" s="791">
        <f>SUMIF('yardi_data (2)'!$A:$A,$A366,'yardi_data (2)'!$E:$E)</f>
        <v>0</v>
      </c>
      <c r="F366" s="791">
        <f>SUMIF('yardi_data (2)'!$A:$A,$A366,'yardi_data (2)'!$F:$F)</f>
        <v>0</v>
      </c>
      <c r="G366" s="791">
        <f>SUMIF('yardi_data (2)'!$A:$A,$A366,'yardi_data (2)'!$G:$G)</f>
        <v>0</v>
      </c>
      <c r="H366" s="792"/>
    </row>
    <row r="367" spans="1:8">
      <c r="A367" s="181" t="s">
        <v>730</v>
      </c>
      <c r="B367" s="181" t="s">
        <v>731</v>
      </c>
      <c r="C367" s="791">
        <f>SUMIF('yardi_data (2)'!$A:$A,$A367,'yardi_data (2)'!C:C)</f>
        <v>0</v>
      </c>
      <c r="D367" s="791">
        <f>SUMIF('yardi_data (2)'!$A:$A,$A367,'yardi_data (2)'!$D:$D)</f>
        <v>0</v>
      </c>
      <c r="E367" s="791">
        <f>SUMIF('yardi_data (2)'!$A:$A,$A367,'yardi_data (2)'!$E:$E)</f>
        <v>0</v>
      </c>
      <c r="F367" s="791">
        <f>SUMIF('yardi_data (2)'!$A:$A,$A367,'yardi_data (2)'!$F:$F)</f>
        <v>0</v>
      </c>
      <c r="G367" s="791">
        <f>SUMIF('yardi_data (2)'!$A:$A,$A367,'yardi_data (2)'!$G:$G)</f>
        <v>0</v>
      </c>
      <c r="H367" s="792"/>
    </row>
    <row r="368" spans="1:8">
      <c r="A368" s="182" t="s">
        <v>732</v>
      </c>
      <c r="B368" s="182" t="s">
        <v>733</v>
      </c>
      <c r="C368" s="791">
        <f>SUMIF('yardi_data (2)'!$A:$A,$A368,'yardi_data (2)'!C:C)</f>
        <v>0</v>
      </c>
      <c r="D368" s="791">
        <f>SUMIF('yardi_data (2)'!$A:$A,$A368,'yardi_data (2)'!$D:$D)</f>
        <v>0</v>
      </c>
      <c r="E368" s="791">
        <f>SUMIF('yardi_data (2)'!$A:$A,$A368,'yardi_data (2)'!$E:$E)</f>
        <v>0</v>
      </c>
      <c r="F368" s="791">
        <f>SUMIF('yardi_data (2)'!$A:$A,$A368,'yardi_data (2)'!$F:$F)</f>
        <v>0</v>
      </c>
      <c r="G368" s="791">
        <f>SUMIF('yardi_data (2)'!$A:$A,$A368,'yardi_data (2)'!$G:$G)</f>
        <v>0</v>
      </c>
      <c r="H368" s="792"/>
    </row>
    <row r="369" spans="1:8">
      <c r="A369" s="181" t="s">
        <v>734</v>
      </c>
      <c r="B369" s="181" t="s">
        <v>735</v>
      </c>
      <c r="C369" s="791">
        <f>SUMIF('yardi_data (2)'!$A:$A,$A369,'yardi_data (2)'!C:C)</f>
        <v>0</v>
      </c>
      <c r="D369" s="791">
        <f>SUMIF('yardi_data (2)'!$A:$A,$A369,'yardi_data (2)'!$D:$D)</f>
        <v>0</v>
      </c>
      <c r="E369" s="791">
        <f>SUMIF('yardi_data (2)'!$A:$A,$A369,'yardi_data (2)'!$E:$E)</f>
        <v>0</v>
      </c>
      <c r="F369" s="791">
        <f>SUMIF('yardi_data (2)'!$A:$A,$A369,'yardi_data (2)'!$F:$F)</f>
        <v>0</v>
      </c>
      <c r="G369" s="791">
        <f>SUMIF('yardi_data (2)'!$A:$A,$A369,'yardi_data (2)'!$G:$G)</f>
        <v>0</v>
      </c>
      <c r="H369" s="792"/>
    </row>
    <row r="370" spans="1:8">
      <c r="A370" s="182" t="s">
        <v>736</v>
      </c>
      <c r="B370" s="182" t="s">
        <v>737</v>
      </c>
      <c r="C370" s="791">
        <f>SUMIF('yardi_data (2)'!$A:$A,$A370,'yardi_data (2)'!C:C)</f>
        <v>0</v>
      </c>
      <c r="D370" s="791">
        <f>SUMIF('yardi_data (2)'!$A:$A,$A370,'yardi_data (2)'!$D:$D)</f>
        <v>0</v>
      </c>
      <c r="E370" s="791">
        <f>SUMIF('yardi_data (2)'!$A:$A,$A370,'yardi_data (2)'!$E:$E)</f>
        <v>0</v>
      </c>
      <c r="F370" s="791">
        <f>SUMIF('yardi_data (2)'!$A:$A,$A370,'yardi_data (2)'!$F:$F)</f>
        <v>0</v>
      </c>
      <c r="G370" s="791">
        <f>SUMIF('yardi_data (2)'!$A:$A,$A370,'yardi_data (2)'!$G:$G)</f>
        <v>0</v>
      </c>
      <c r="H370" s="792"/>
    </row>
    <row r="371" spans="1:8">
      <c r="A371" s="181" t="s">
        <v>738</v>
      </c>
      <c r="B371" s="181" t="s">
        <v>739</v>
      </c>
      <c r="C371" s="791">
        <f>SUMIF('yardi_data (2)'!$A:$A,$A371,'yardi_data (2)'!C:C)</f>
        <v>0</v>
      </c>
      <c r="D371" s="791">
        <f>SUMIF('yardi_data (2)'!$A:$A,$A371,'yardi_data (2)'!$D:$D)</f>
        <v>0</v>
      </c>
      <c r="E371" s="791">
        <f>SUMIF('yardi_data (2)'!$A:$A,$A371,'yardi_data (2)'!$E:$E)</f>
        <v>0</v>
      </c>
      <c r="F371" s="791">
        <f>SUMIF('yardi_data (2)'!$A:$A,$A371,'yardi_data (2)'!$F:$F)</f>
        <v>0</v>
      </c>
      <c r="G371" s="791">
        <f>SUMIF('yardi_data (2)'!$A:$A,$A371,'yardi_data (2)'!$G:$G)</f>
        <v>0</v>
      </c>
      <c r="H371" s="792"/>
    </row>
    <row r="372" spans="1:8">
      <c r="A372" s="182" t="s">
        <v>740</v>
      </c>
      <c r="B372" s="182" t="s">
        <v>741</v>
      </c>
      <c r="C372" s="791">
        <f>SUMIF('yardi_data (2)'!$A:$A,$A372,'yardi_data (2)'!C:C)</f>
        <v>0</v>
      </c>
      <c r="D372" s="791">
        <f>SUMIF('yardi_data (2)'!$A:$A,$A372,'yardi_data (2)'!$D:$D)</f>
        <v>0</v>
      </c>
      <c r="E372" s="791">
        <f>SUMIF('yardi_data (2)'!$A:$A,$A372,'yardi_data (2)'!$E:$E)</f>
        <v>0</v>
      </c>
      <c r="F372" s="791">
        <f>SUMIF('yardi_data (2)'!$A:$A,$A372,'yardi_data (2)'!$F:$F)</f>
        <v>0</v>
      </c>
      <c r="G372" s="791">
        <f>SUMIF('yardi_data (2)'!$A:$A,$A372,'yardi_data (2)'!$G:$G)</f>
        <v>0</v>
      </c>
      <c r="H372" s="792"/>
    </row>
    <row r="373" spans="1:8">
      <c r="A373" s="181" t="s">
        <v>742</v>
      </c>
      <c r="B373" s="181" t="s">
        <v>743</v>
      </c>
      <c r="C373" s="791">
        <f>SUMIF('yardi_data (2)'!$A:$A,$A373,'yardi_data (2)'!C:C)</f>
        <v>0</v>
      </c>
      <c r="D373" s="791">
        <f>SUMIF('yardi_data (2)'!$A:$A,$A373,'yardi_data (2)'!$D:$D)</f>
        <v>0</v>
      </c>
      <c r="E373" s="791">
        <f>SUMIF('yardi_data (2)'!$A:$A,$A373,'yardi_data (2)'!$E:$E)</f>
        <v>0</v>
      </c>
      <c r="F373" s="791">
        <f>SUMIF('yardi_data (2)'!$A:$A,$A373,'yardi_data (2)'!$F:$F)</f>
        <v>0</v>
      </c>
      <c r="G373" s="791">
        <f>SUMIF('yardi_data (2)'!$A:$A,$A373,'yardi_data (2)'!$G:$G)</f>
        <v>0</v>
      </c>
      <c r="H373" s="792"/>
    </row>
    <row r="374" spans="1:8">
      <c r="A374" s="182" t="s">
        <v>744</v>
      </c>
      <c r="B374" s="182" t="s">
        <v>745</v>
      </c>
      <c r="C374" s="791">
        <f>SUMIF('yardi_data (2)'!$A:$A,$A374,'yardi_data (2)'!C:C)</f>
        <v>0</v>
      </c>
      <c r="D374" s="791">
        <f>SUMIF('yardi_data (2)'!$A:$A,$A374,'yardi_data (2)'!$D:$D)</f>
        <v>0</v>
      </c>
      <c r="E374" s="791">
        <f>SUMIF('yardi_data (2)'!$A:$A,$A374,'yardi_data (2)'!$E:$E)</f>
        <v>0</v>
      </c>
      <c r="F374" s="791">
        <f>SUMIF('yardi_data (2)'!$A:$A,$A374,'yardi_data (2)'!$F:$F)</f>
        <v>0</v>
      </c>
      <c r="G374" s="791">
        <f>SUMIF('yardi_data (2)'!$A:$A,$A374,'yardi_data (2)'!$G:$G)</f>
        <v>0</v>
      </c>
      <c r="H374" s="792"/>
    </row>
    <row r="375" spans="1:8">
      <c r="A375" s="181" t="s">
        <v>746</v>
      </c>
      <c r="B375" s="181" t="s">
        <v>747</v>
      </c>
      <c r="C375" s="791">
        <f>SUMIF('yardi_data (2)'!$A:$A,$A375,'yardi_data (2)'!C:C)</f>
        <v>0</v>
      </c>
      <c r="D375" s="791">
        <f>SUMIF('yardi_data (2)'!$A:$A,$A375,'yardi_data (2)'!$D:$D)</f>
        <v>0</v>
      </c>
      <c r="E375" s="791">
        <f>SUMIF('yardi_data (2)'!$A:$A,$A375,'yardi_data (2)'!$E:$E)</f>
        <v>0</v>
      </c>
      <c r="F375" s="791">
        <f>SUMIF('yardi_data (2)'!$A:$A,$A375,'yardi_data (2)'!$F:$F)</f>
        <v>0</v>
      </c>
      <c r="G375" s="791">
        <f>SUMIF('yardi_data (2)'!$A:$A,$A375,'yardi_data (2)'!$G:$G)</f>
        <v>0</v>
      </c>
      <c r="H375" s="792"/>
    </row>
    <row r="376" spans="1:8">
      <c r="A376" s="182" t="s">
        <v>748</v>
      </c>
      <c r="B376" s="182" t="s">
        <v>749</v>
      </c>
      <c r="C376" s="791">
        <f>SUMIF('yardi_data (2)'!$A:$A,$A376,'yardi_data (2)'!C:C)</f>
        <v>0</v>
      </c>
      <c r="D376" s="791">
        <f>SUMIF('yardi_data (2)'!$A:$A,$A376,'yardi_data (2)'!$D:$D)</f>
        <v>0</v>
      </c>
      <c r="E376" s="791">
        <f>SUMIF('yardi_data (2)'!$A:$A,$A376,'yardi_data (2)'!$E:$E)</f>
        <v>0</v>
      </c>
      <c r="F376" s="791">
        <f>SUMIF('yardi_data (2)'!$A:$A,$A376,'yardi_data (2)'!$F:$F)</f>
        <v>0</v>
      </c>
      <c r="G376" s="791">
        <f>SUMIF('yardi_data (2)'!$A:$A,$A376,'yardi_data (2)'!$G:$G)</f>
        <v>0</v>
      </c>
      <c r="H376" s="792"/>
    </row>
    <row r="377" spans="1:8">
      <c r="A377" s="181" t="s">
        <v>750</v>
      </c>
      <c r="B377" s="181" t="s">
        <v>751</v>
      </c>
      <c r="C377" s="791">
        <f>SUMIF('yardi_data (2)'!$A:$A,$A377,'yardi_data (2)'!C:C)</f>
        <v>0</v>
      </c>
      <c r="D377" s="791">
        <f>SUMIF('yardi_data (2)'!$A:$A,$A377,'yardi_data (2)'!$D:$D)</f>
        <v>0</v>
      </c>
      <c r="E377" s="791">
        <f>SUMIF('yardi_data (2)'!$A:$A,$A377,'yardi_data (2)'!$E:$E)</f>
        <v>0</v>
      </c>
      <c r="F377" s="791">
        <f>SUMIF('yardi_data (2)'!$A:$A,$A377,'yardi_data (2)'!$F:$F)</f>
        <v>0</v>
      </c>
      <c r="G377" s="791">
        <f>SUMIF('yardi_data (2)'!$A:$A,$A377,'yardi_data (2)'!$G:$G)</f>
        <v>0</v>
      </c>
      <c r="H377" s="792"/>
    </row>
    <row r="378" spans="1:8">
      <c r="A378" s="182" t="s">
        <v>752</v>
      </c>
      <c r="B378" s="182" t="s">
        <v>753</v>
      </c>
      <c r="C378" s="791">
        <f>SUMIF('yardi_data (2)'!$A:$A,$A378,'yardi_data (2)'!C:C)</f>
        <v>0</v>
      </c>
      <c r="D378" s="791">
        <f>SUMIF('yardi_data (2)'!$A:$A,$A378,'yardi_data (2)'!$D:$D)</f>
        <v>0</v>
      </c>
      <c r="E378" s="791">
        <f>SUMIF('yardi_data (2)'!$A:$A,$A378,'yardi_data (2)'!$E:$E)</f>
        <v>0</v>
      </c>
      <c r="F378" s="791">
        <f>SUMIF('yardi_data (2)'!$A:$A,$A378,'yardi_data (2)'!$F:$F)</f>
        <v>0</v>
      </c>
      <c r="G378" s="791">
        <f>SUMIF('yardi_data (2)'!$A:$A,$A378,'yardi_data (2)'!$G:$G)</f>
        <v>0</v>
      </c>
      <c r="H378" s="792"/>
    </row>
    <row r="379" spans="1:8">
      <c r="A379" s="181" t="s">
        <v>754</v>
      </c>
      <c r="B379" s="181" t="s">
        <v>755</v>
      </c>
      <c r="C379" s="791">
        <f>SUMIF('yardi_data (2)'!$A:$A,$A379,'yardi_data (2)'!C:C)</f>
        <v>0</v>
      </c>
      <c r="D379" s="791">
        <f>SUMIF('yardi_data (2)'!$A:$A,$A379,'yardi_data (2)'!$D:$D)</f>
        <v>57727.6</v>
      </c>
      <c r="E379" s="791">
        <f>SUMIF('yardi_data (2)'!$A:$A,$A379,'yardi_data (2)'!$E:$E)</f>
        <v>34221.279999999999</v>
      </c>
      <c r="F379" s="791">
        <f>SUMIF('yardi_data (2)'!$A:$A,$A379,'yardi_data (2)'!$F:$F)</f>
        <v>0</v>
      </c>
      <c r="G379" s="791">
        <f>SUMIF('yardi_data (2)'!$A:$A,$A379,'yardi_data (2)'!$G:$G)</f>
        <v>0</v>
      </c>
      <c r="H379" s="792"/>
    </row>
    <row r="380" spans="1:8">
      <c r="A380" s="182" t="s">
        <v>756</v>
      </c>
      <c r="B380" s="182" t="s">
        <v>757</v>
      </c>
      <c r="C380" s="791">
        <f>SUMIF('yardi_data (2)'!$A:$A,$A380,'yardi_data (2)'!C:C)</f>
        <v>139660.60999999999</v>
      </c>
      <c r="D380" s="791">
        <f>SUMIF('yardi_data (2)'!$A:$A,$A380,'yardi_data (2)'!$D:$D)</f>
        <v>186000.47</v>
      </c>
      <c r="E380" s="791">
        <f>SUMIF('yardi_data (2)'!$A:$A,$A380,'yardi_data (2)'!$E:$E)</f>
        <v>112724.92</v>
      </c>
      <c r="F380" s="791">
        <f>SUMIF('yardi_data (2)'!$A:$A,$A380,'yardi_data (2)'!$F:$F)</f>
        <v>24000</v>
      </c>
      <c r="G380" s="791">
        <f>SUMIF('yardi_data (2)'!$A:$A,$A380,'yardi_data (2)'!$G:$G)</f>
        <v>32500</v>
      </c>
      <c r="H380" s="792"/>
    </row>
    <row r="381" spans="1:8">
      <c r="A381" s="181" t="s">
        <v>758</v>
      </c>
      <c r="B381" s="181" t="s">
        <v>759</v>
      </c>
      <c r="C381" s="791">
        <f>SUMIF('yardi_data (2)'!$A:$A,$A381,'yardi_data (2)'!C:C)</f>
        <v>9403565.2400000002</v>
      </c>
      <c r="D381" s="791">
        <f>SUMIF('yardi_data (2)'!$A:$A,$A381,'yardi_data (2)'!$D:$D)</f>
        <v>9558345.9600000009</v>
      </c>
      <c r="E381" s="791">
        <f>SUMIF('yardi_data (2)'!$A:$A,$A381,'yardi_data (2)'!$E:$E)</f>
        <v>6649310.6399999997</v>
      </c>
      <c r="F381" s="791">
        <f>SUMIF('yardi_data (2)'!$A:$A,$A381,'yardi_data (2)'!$F:$F)</f>
        <v>5878647.7199999997</v>
      </c>
      <c r="G381" s="791">
        <f>SUMIF('yardi_data (2)'!$A:$A,$A381,'yardi_data (2)'!$G:$G)</f>
        <v>9116361</v>
      </c>
      <c r="H381" s="792"/>
    </row>
    <row r="382" spans="1:8">
      <c r="A382" s="182" t="s">
        <v>760</v>
      </c>
      <c r="B382" s="182" t="s">
        <v>761</v>
      </c>
      <c r="C382" s="791">
        <f>SUMIF('yardi_data (2)'!$A:$A,$A382,'yardi_data (2)'!C:C)</f>
        <v>0</v>
      </c>
      <c r="D382" s="791">
        <f>SUMIF('yardi_data (2)'!$A:$A,$A382,'yardi_data (2)'!$D:$D)</f>
        <v>0</v>
      </c>
      <c r="E382" s="791">
        <f>SUMIF('yardi_data (2)'!$A:$A,$A382,'yardi_data (2)'!$E:$E)</f>
        <v>0</v>
      </c>
      <c r="F382" s="791">
        <f>SUMIF('yardi_data (2)'!$A:$A,$A382,'yardi_data (2)'!$F:$F)</f>
        <v>0</v>
      </c>
      <c r="G382" s="791">
        <f>SUMIF('yardi_data (2)'!$A:$A,$A382,'yardi_data (2)'!$G:$G)</f>
        <v>0</v>
      </c>
      <c r="H382" s="792"/>
    </row>
    <row r="383" spans="1:8">
      <c r="A383" s="181" t="s">
        <v>762</v>
      </c>
      <c r="B383" s="181" t="s">
        <v>763</v>
      </c>
      <c r="C383" s="791">
        <f>SUMIF('yardi_data (2)'!$A:$A,$A383,'yardi_data (2)'!C:C)</f>
        <v>0</v>
      </c>
      <c r="D383" s="791">
        <f>SUMIF('yardi_data (2)'!$A:$A,$A383,'yardi_data (2)'!$D:$D)</f>
        <v>0</v>
      </c>
      <c r="E383" s="791">
        <f>SUMIF('yardi_data (2)'!$A:$A,$A383,'yardi_data (2)'!$E:$E)</f>
        <v>0</v>
      </c>
      <c r="F383" s="791">
        <f>SUMIF('yardi_data (2)'!$A:$A,$A383,'yardi_data (2)'!$F:$F)</f>
        <v>0</v>
      </c>
      <c r="G383" s="791">
        <f>SUMIF('yardi_data (2)'!$A:$A,$A383,'yardi_data (2)'!$G:$G)</f>
        <v>0</v>
      </c>
      <c r="H383" s="792"/>
    </row>
    <row r="384" spans="1:8">
      <c r="A384" s="182" t="s">
        <v>764</v>
      </c>
      <c r="B384" s="182" t="s">
        <v>765</v>
      </c>
      <c r="C384" s="791">
        <f>SUMIF('yardi_data (2)'!$A:$A,$A384,'yardi_data (2)'!C:C)</f>
        <v>0</v>
      </c>
      <c r="D384" s="791">
        <f>SUMIF('yardi_data (2)'!$A:$A,$A384,'yardi_data (2)'!$D:$D)</f>
        <v>0</v>
      </c>
      <c r="E384" s="791">
        <f>SUMIF('yardi_data (2)'!$A:$A,$A384,'yardi_data (2)'!$E:$E)</f>
        <v>0</v>
      </c>
      <c r="F384" s="791">
        <f>SUMIF('yardi_data (2)'!$A:$A,$A384,'yardi_data (2)'!$F:$F)</f>
        <v>0</v>
      </c>
      <c r="G384" s="791">
        <f>SUMIF('yardi_data (2)'!$A:$A,$A384,'yardi_data (2)'!$G:$G)</f>
        <v>0</v>
      </c>
      <c r="H384" s="792"/>
    </row>
    <row r="385" spans="1:8">
      <c r="A385" s="181" t="s">
        <v>766</v>
      </c>
      <c r="B385" s="181" t="s">
        <v>767</v>
      </c>
      <c r="C385" s="791">
        <f>SUMIF('yardi_data (2)'!$A:$A,$A385,'yardi_data (2)'!C:C)</f>
        <v>697497.87</v>
      </c>
      <c r="D385" s="791">
        <f>SUMIF('yardi_data (2)'!$A:$A,$A385,'yardi_data (2)'!$D:$D)</f>
        <v>709484.74</v>
      </c>
      <c r="E385" s="791">
        <f>SUMIF('yardi_data (2)'!$A:$A,$A385,'yardi_data (2)'!$E:$E)</f>
        <v>464474.23</v>
      </c>
      <c r="F385" s="791">
        <f>SUMIF('yardi_data (2)'!$A:$A,$A385,'yardi_data (2)'!$F:$F)</f>
        <v>539851</v>
      </c>
      <c r="G385" s="791">
        <f>SUMIF('yardi_data (2)'!$A:$A,$A385,'yardi_data (2)'!$G:$G)</f>
        <v>802063</v>
      </c>
      <c r="H385" s="792"/>
    </row>
    <row r="386" spans="1:8">
      <c r="A386" s="182" t="s">
        <v>768</v>
      </c>
      <c r="B386" s="182" t="s">
        <v>769</v>
      </c>
      <c r="C386" s="791">
        <f>SUMIF('yardi_data (2)'!$A:$A,$A386,'yardi_data (2)'!C:C)</f>
        <v>44679.92</v>
      </c>
      <c r="D386" s="791">
        <f>SUMIF('yardi_data (2)'!$A:$A,$A386,'yardi_data (2)'!$D:$D)</f>
        <v>45711.62</v>
      </c>
      <c r="E386" s="791">
        <f>SUMIF('yardi_data (2)'!$A:$A,$A386,'yardi_data (2)'!$E:$E)</f>
        <v>38888.879999999997</v>
      </c>
      <c r="F386" s="791">
        <f>SUMIF('yardi_data (2)'!$A:$A,$A386,'yardi_data (2)'!$F:$F)</f>
        <v>21614</v>
      </c>
      <c r="G386" s="791">
        <f>SUMIF('yardi_data (2)'!$A:$A,$A386,'yardi_data (2)'!$G:$G)</f>
        <v>26138</v>
      </c>
      <c r="H386" s="792"/>
    </row>
    <row r="387" spans="1:8">
      <c r="A387" s="181" t="s">
        <v>770</v>
      </c>
      <c r="B387" s="181" t="s">
        <v>771</v>
      </c>
      <c r="C387" s="791">
        <f>SUMIF('yardi_data (2)'!$A:$A,$A387,'yardi_data (2)'!C:C)</f>
        <v>52201.42</v>
      </c>
      <c r="D387" s="791">
        <f>SUMIF('yardi_data (2)'!$A:$A,$A387,'yardi_data (2)'!$D:$D)</f>
        <v>57738.99</v>
      </c>
      <c r="E387" s="791">
        <f>SUMIF('yardi_data (2)'!$A:$A,$A387,'yardi_data (2)'!$E:$E)</f>
        <v>55459.56</v>
      </c>
      <c r="F387" s="791">
        <f>SUMIF('yardi_data (2)'!$A:$A,$A387,'yardi_data (2)'!$F:$F)</f>
        <v>33016</v>
      </c>
      <c r="G387" s="791">
        <f>SUMIF('yardi_data (2)'!$A:$A,$A387,'yardi_data (2)'!$G:$G)</f>
        <v>33016</v>
      </c>
      <c r="H387" s="792"/>
    </row>
    <row r="388" spans="1:8">
      <c r="A388" s="182" t="s">
        <v>772</v>
      </c>
      <c r="B388" s="182" t="s">
        <v>773</v>
      </c>
      <c r="C388" s="791">
        <f>SUMIF('yardi_data (2)'!$A:$A,$A388,'yardi_data (2)'!C:C)</f>
        <v>24204.87</v>
      </c>
      <c r="D388" s="791">
        <f>SUMIF('yardi_data (2)'!$A:$A,$A388,'yardi_data (2)'!$D:$D)</f>
        <v>25440.57</v>
      </c>
      <c r="E388" s="791">
        <f>SUMIF('yardi_data (2)'!$A:$A,$A388,'yardi_data (2)'!$E:$E)</f>
        <v>15234.04</v>
      </c>
      <c r="F388" s="791">
        <f>SUMIF('yardi_data (2)'!$A:$A,$A388,'yardi_data (2)'!$F:$F)</f>
        <v>7274</v>
      </c>
      <c r="G388" s="791">
        <f>SUMIF('yardi_data (2)'!$A:$A,$A388,'yardi_data (2)'!$G:$G)</f>
        <v>14547</v>
      </c>
      <c r="H388" s="792"/>
    </row>
    <row r="389" spans="1:8">
      <c r="A389" s="181" t="s">
        <v>774</v>
      </c>
      <c r="B389" s="181" t="s">
        <v>775</v>
      </c>
      <c r="C389" s="791">
        <f>SUMIF('yardi_data (2)'!$A:$A,$A389,'yardi_data (2)'!C:C)</f>
        <v>26677.79</v>
      </c>
      <c r="D389" s="791">
        <f>SUMIF('yardi_data (2)'!$A:$A,$A389,'yardi_data (2)'!$D:$D)</f>
        <v>24263.82</v>
      </c>
      <c r="E389" s="791">
        <f>SUMIF('yardi_data (2)'!$A:$A,$A389,'yardi_data (2)'!$E:$E)</f>
        <v>15065.04</v>
      </c>
      <c r="F389" s="791">
        <f>SUMIF('yardi_data (2)'!$A:$A,$A389,'yardi_data (2)'!$F:$F)</f>
        <v>6938</v>
      </c>
      <c r="G389" s="791">
        <f>SUMIF('yardi_data (2)'!$A:$A,$A389,'yardi_data (2)'!$G:$G)</f>
        <v>13874</v>
      </c>
      <c r="H389" s="792"/>
    </row>
    <row r="390" spans="1:8">
      <c r="A390" s="182" t="s">
        <v>776</v>
      </c>
      <c r="B390" s="182" t="s">
        <v>777</v>
      </c>
      <c r="C390" s="791">
        <f>SUMIF('yardi_data (2)'!$A:$A,$A390,'yardi_data (2)'!C:C)</f>
        <v>30871.45</v>
      </c>
      <c r="D390" s="791">
        <f>SUMIF('yardi_data (2)'!$A:$A,$A390,'yardi_data (2)'!$D:$D)</f>
        <v>35606.01</v>
      </c>
      <c r="E390" s="791">
        <f>SUMIF('yardi_data (2)'!$A:$A,$A390,'yardi_data (2)'!$E:$E)</f>
        <v>30446.68</v>
      </c>
      <c r="F390" s="791">
        <f>SUMIF('yardi_data (2)'!$A:$A,$A390,'yardi_data (2)'!$F:$F)</f>
        <v>18140</v>
      </c>
      <c r="G390" s="791">
        <f>SUMIF('yardi_data (2)'!$A:$A,$A390,'yardi_data (2)'!$G:$G)</f>
        <v>20360</v>
      </c>
      <c r="H390" s="792"/>
    </row>
    <row r="391" spans="1:8">
      <c r="A391" s="181" t="s">
        <v>778</v>
      </c>
      <c r="B391" s="181" t="s">
        <v>779</v>
      </c>
      <c r="C391" s="791">
        <f>SUMIF('yardi_data (2)'!$A:$A,$A391,'yardi_data (2)'!C:C)</f>
        <v>0</v>
      </c>
      <c r="D391" s="791">
        <f>SUMIF('yardi_data (2)'!$A:$A,$A391,'yardi_data (2)'!$D:$D)</f>
        <v>60</v>
      </c>
      <c r="E391" s="791">
        <f>SUMIF('yardi_data (2)'!$A:$A,$A391,'yardi_data (2)'!$E:$E)</f>
        <v>390</v>
      </c>
      <c r="F391" s="791">
        <f>SUMIF('yardi_data (2)'!$A:$A,$A391,'yardi_data (2)'!$F:$F)</f>
        <v>22.64</v>
      </c>
      <c r="G391" s="791">
        <f>SUMIF('yardi_data (2)'!$A:$A,$A391,'yardi_data (2)'!$G:$G)</f>
        <v>34</v>
      </c>
      <c r="H391" s="792"/>
    </row>
    <row r="392" spans="1:8">
      <c r="A392" s="182" t="s">
        <v>780</v>
      </c>
      <c r="B392" s="182" t="s">
        <v>781</v>
      </c>
      <c r="C392" s="791">
        <f>SUMIF('yardi_data (2)'!$A:$A,$A392,'yardi_data (2)'!C:C)</f>
        <v>0</v>
      </c>
      <c r="D392" s="791">
        <f>SUMIF('yardi_data (2)'!$A:$A,$A392,'yardi_data (2)'!$D:$D)</f>
        <v>0</v>
      </c>
      <c r="E392" s="791">
        <f>SUMIF('yardi_data (2)'!$A:$A,$A392,'yardi_data (2)'!$E:$E)</f>
        <v>0</v>
      </c>
      <c r="F392" s="791">
        <f>SUMIF('yardi_data (2)'!$A:$A,$A392,'yardi_data (2)'!$F:$F)</f>
        <v>0</v>
      </c>
      <c r="G392" s="791">
        <f>SUMIF('yardi_data (2)'!$A:$A,$A392,'yardi_data (2)'!$G:$G)</f>
        <v>0</v>
      </c>
      <c r="H392" s="792"/>
    </row>
    <row r="393" spans="1:8">
      <c r="A393" s="181" t="s">
        <v>782</v>
      </c>
      <c r="B393" s="181" t="s">
        <v>783</v>
      </c>
      <c r="C393" s="791">
        <f>SUMIF('yardi_data (2)'!$A:$A,$A393,'yardi_data (2)'!C:C)</f>
        <v>1258.48</v>
      </c>
      <c r="D393" s="791">
        <f>SUMIF('yardi_data (2)'!$A:$A,$A393,'yardi_data (2)'!$D:$D)</f>
        <v>0</v>
      </c>
      <c r="E393" s="791">
        <f>SUMIF('yardi_data (2)'!$A:$A,$A393,'yardi_data (2)'!$E:$E)</f>
        <v>2302.4</v>
      </c>
      <c r="F393" s="791">
        <f>SUMIF('yardi_data (2)'!$A:$A,$A393,'yardi_data (2)'!$F:$F)</f>
        <v>0</v>
      </c>
      <c r="G393" s="791">
        <f>SUMIF('yardi_data (2)'!$A:$A,$A393,'yardi_data (2)'!$G:$G)</f>
        <v>0</v>
      </c>
      <c r="H393" s="792"/>
    </row>
    <row r="394" spans="1:8">
      <c r="A394" s="182" t="s">
        <v>784</v>
      </c>
      <c r="B394" s="182" t="s">
        <v>785</v>
      </c>
      <c r="C394" s="791">
        <f>SUMIF('yardi_data (2)'!$A:$A,$A394,'yardi_data (2)'!C:C)</f>
        <v>37300</v>
      </c>
      <c r="D394" s="791">
        <f>SUMIF('yardi_data (2)'!$A:$A,$A394,'yardi_data (2)'!$D:$D)</f>
        <v>45600</v>
      </c>
      <c r="E394" s="791">
        <f>SUMIF('yardi_data (2)'!$A:$A,$A394,'yardi_data (2)'!$E:$E)</f>
        <v>1000</v>
      </c>
      <c r="F394" s="791">
        <f>SUMIF('yardi_data (2)'!$A:$A,$A394,'yardi_data (2)'!$F:$F)</f>
        <v>0</v>
      </c>
      <c r="G394" s="791">
        <f>SUMIF('yardi_data (2)'!$A:$A,$A394,'yardi_data (2)'!$G:$G)</f>
        <v>34500</v>
      </c>
      <c r="H394" s="792"/>
    </row>
    <row r="395" spans="1:8">
      <c r="A395" s="181" t="s">
        <v>786</v>
      </c>
      <c r="B395" s="181" t="s">
        <v>787</v>
      </c>
      <c r="C395" s="791">
        <f>SUMIF('yardi_data (2)'!$A:$A,$A395,'yardi_data (2)'!C:C)</f>
        <v>0</v>
      </c>
      <c r="D395" s="791">
        <f>SUMIF('yardi_data (2)'!$A:$A,$A395,'yardi_data (2)'!$D:$D)</f>
        <v>0</v>
      </c>
      <c r="E395" s="791">
        <f>SUMIF('yardi_data (2)'!$A:$A,$A395,'yardi_data (2)'!$E:$E)</f>
        <v>0</v>
      </c>
      <c r="F395" s="791">
        <f>SUMIF('yardi_data (2)'!$A:$A,$A395,'yardi_data (2)'!$F:$F)</f>
        <v>0</v>
      </c>
      <c r="G395" s="791">
        <f>SUMIF('yardi_data (2)'!$A:$A,$A395,'yardi_data (2)'!$G:$G)</f>
        <v>0</v>
      </c>
      <c r="H395" s="792"/>
    </row>
    <row r="396" spans="1:8">
      <c r="A396" s="182" t="s">
        <v>788</v>
      </c>
      <c r="B396" s="182" t="s">
        <v>789</v>
      </c>
      <c r="C396" s="791">
        <f>SUMIF('yardi_data (2)'!$A:$A,$A396,'yardi_data (2)'!C:C)</f>
        <v>0</v>
      </c>
      <c r="D396" s="791">
        <f>SUMIF('yardi_data (2)'!$A:$A,$A396,'yardi_data (2)'!$D:$D)</f>
        <v>0</v>
      </c>
      <c r="E396" s="791">
        <f>SUMIF('yardi_data (2)'!$A:$A,$A396,'yardi_data (2)'!$E:$E)</f>
        <v>0</v>
      </c>
      <c r="F396" s="791">
        <f>SUMIF('yardi_data (2)'!$A:$A,$A396,'yardi_data (2)'!$F:$F)</f>
        <v>0</v>
      </c>
      <c r="G396" s="791">
        <f>SUMIF('yardi_data (2)'!$A:$A,$A396,'yardi_data (2)'!$G:$G)</f>
        <v>0</v>
      </c>
      <c r="H396" s="792"/>
    </row>
    <row r="397" spans="1:8">
      <c r="A397" s="181" t="s">
        <v>790</v>
      </c>
      <c r="B397" s="181" t="s">
        <v>791</v>
      </c>
      <c r="C397" s="791">
        <f>SUMIF('yardi_data (2)'!$A:$A,$A397,'yardi_data (2)'!C:C)</f>
        <v>0</v>
      </c>
      <c r="D397" s="791">
        <f>SUMIF('yardi_data (2)'!$A:$A,$A397,'yardi_data (2)'!$D:$D)</f>
        <v>0</v>
      </c>
      <c r="E397" s="791">
        <f>SUMIF('yardi_data (2)'!$A:$A,$A397,'yardi_data (2)'!$E:$E)</f>
        <v>0</v>
      </c>
      <c r="F397" s="791">
        <f>SUMIF('yardi_data (2)'!$A:$A,$A397,'yardi_data (2)'!$F:$F)</f>
        <v>0</v>
      </c>
      <c r="G397" s="791">
        <f>SUMIF('yardi_data (2)'!$A:$A,$A397,'yardi_data (2)'!$G:$G)</f>
        <v>0</v>
      </c>
      <c r="H397" s="792"/>
    </row>
    <row r="398" spans="1:8">
      <c r="A398" s="182" t="s">
        <v>792</v>
      </c>
      <c r="B398" s="182" t="s">
        <v>793</v>
      </c>
      <c r="C398" s="791">
        <f>SUMIF('yardi_data (2)'!$A:$A,$A398,'yardi_data (2)'!C:C)</f>
        <v>0</v>
      </c>
      <c r="D398" s="791">
        <f>SUMIF('yardi_data (2)'!$A:$A,$A398,'yardi_data (2)'!$D:$D)</f>
        <v>0</v>
      </c>
      <c r="E398" s="791">
        <f>SUMIF('yardi_data (2)'!$A:$A,$A398,'yardi_data (2)'!$E:$E)</f>
        <v>0</v>
      </c>
      <c r="F398" s="791">
        <f>SUMIF('yardi_data (2)'!$A:$A,$A398,'yardi_data (2)'!$F:$F)</f>
        <v>0</v>
      </c>
      <c r="G398" s="791">
        <f>SUMIF('yardi_data (2)'!$A:$A,$A398,'yardi_data (2)'!$G:$G)</f>
        <v>0</v>
      </c>
      <c r="H398" s="792"/>
    </row>
    <row r="399" spans="1:8">
      <c r="A399" s="181" t="s">
        <v>794</v>
      </c>
      <c r="B399" s="181" t="s">
        <v>795</v>
      </c>
      <c r="C399" s="791">
        <f>SUMIF('yardi_data (2)'!$A:$A,$A399,'yardi_data (2)'!C:C)</f>
        <v>0</v>
      </c>
      <c r="D399" s="791">
        <f>SUMIF('yardi_data (2)'!$A:$A,$A399,'yardi_data (2)'!$D:$D)</f>
        <v>0</v>
      </c>
      <c r="E399" s="791">
        <f>SUMIF('yardi_data (2)'!$A:$A,$A399,'yardi_data (2)'!$E:$E)</f>
        <v>0</v>
      </c>
      <c r="F399" s="791">
        <f>SUMIF('yardi_data (2)'!$A:$A,$A399,'yardi_data (2)'!$F:$F)</f>
        <v>0</v>
      </c>
      <c r="G399" s="791">
        <f>SUMIF('yardi_data (2)'!$A:$A,$A399,'yardi_data (2)'!$G:$G)</f>
        <v>0</v>
      </c>
      <c r="H399" s="792"/>
    </row>
    <row r="400" spans="1:8">
      <c r="A400" s="182" t="s">
        <v>796</v>
      </c>
      <c r="B400" s="182" t="s">
        <v>797</v>
      </c>
      <c r="C400" s="791">
        <f>SUMIF('yardi_data (2)'!$A:$A,$A400,'yardi_data (2)'!C:C)</f>
        <v>74535.820000000007</v>
      </c>
      <c r="D400" s="791">
        <f>SUMIF('yardi_data (2)'!$A:$A,$A400,'yardi_data (2)'!$D:$D)</f>
        <v>76797.08</v>
      </c>
      <c r="E400" s="791">
        <f>SUMIF('yardi_data (2)'!$A:$A,$A400,'yardi_data (2)'!$E:$E)</f>
        <v>52227.66</v>
      </c>
      <c r="F400" s="791">
        <f>SUMIF('yardi_data (2)'!$A:$A,$A400,'yardi_data (2)'!$F:$F)</f>
        <v>53647</v>
      </c>
      <c r="G400" s="791">
        <f>SUMIF('yardi_data (2)'!$A:$A,$A400,'yardi_data (2)'!$G:$G)</f>
        <v>78888</v>
      </c>
      <c r="H400" s="792"/>
    </row>
    <row r="401" spans="1:8">
      <c r="A401" s="181" t="s">
        <v>798</v>
      </c>
      <c r="B401" s="181" t="s">
        <v>799</v>
      </c>
      <c r="C401" s="791">
        <f>SUMIF('yardi_data (2)'!$A:$A,$A401,'yardi_data (2)'!C:C)</f>
        <v>0</v>
      </c>
      <c r="D401" s="791">
        <f>SUMIF('yardi_data (2)'!$A:$A,$A401,'yardi_data (2)'!$D:$D)</f>
        <v>0</v>
      </c>
      <c r="E401" s="791">
        <f>SUMIF('yardi_data (2)'!$A:$A,$A401,'yardi_data (2)'!$E:$E)</f>
        <v>0</v>
      </c>
      <c r="F401" s="791">
        <f>SUMIF('yardi_data (2)'!$A:$A,$A401,'yardi_data (2)'!$F:$F)</f>
        <v>0</v>
      </c>
      <c r="G401" s="791">
        <f>SUMIF('yardi_data (2)'!$A:$A,$A401,'yardi_data (2)'!$G:$G)</f>
        <v>0</v>
      </c>
      <c r="H401" s="792"/>
    </row>
    <row r="402" spans="1:8">
      <c r="A402" s="182" t="s">
        <v>800</v>
      </c>
      <c r="B402" s="182" t="s">
        <v>801</v>
      </c>
      <c r="C402" s="791">
        <f>SUMIF('yardi_data (2)'!$A:$A,$A402,'yardi_data (2)'!C:C)</f>
        <v>280.8</v>
      </c>
      <c r="D402" s="791">
        <f>SUMIF('yardi_data (2)'!$A:$A,$A402,'yardi_data (2)'!$D:$D)</f>
        <v>0</v>
      </c>
      <c r="E402" s="791">
        <f>SUMIF('yardi_data (2)'!$A:$A,$A402,'yardi_data (2)'!$E:$E)</f>
        <v>0</v>
      </c>
      <c r="F402" s="791">
        <f>SUMIF('yardi_data (2)'!$A:$A,$A402,'yardi_data (2)'!$F:$F)</f>
        <v>0</v>
      </c>
      <c r="G402" s="791">
        <f>SUMIF('yardi_data (2)'!$A:$A,$A402,'yardi_data (2)'!$G:$G)</f>
        <v>0</v>
      </c>
      <c r="H402" s="792"/>
    </row>
    <row r="403" spans="1:8">
      <c r="A403" s="181" t="s">
        <v>802</v>
      </c>
      <c r="B403" s="181" t="s">
        <v>803</v>
      </c>
      <c r="C403" s="791">
        <f>SUMIF('yardi_data (2)'!$A:$A,$A403,'yardi_data (2)'!C:C)</f>
        <v>0</v>
      </c>
      <c r="D403" s="791">
        <f>SUMIF('yardi_data (2)'!$A:$A,$A403,'yardi_data (2)'!$D:$D)</f>
        <v>0</v>
      </c>
      <c r="E403" s="791">
        <f>SUMIF('yardi_data (2)'!$A:$A,$A403,'yardi_data (2)'!$E:$E)</f>
        <v>0</v>
      </c>
      <c r="F403" s="791">
        <f>SUMIF('yardi_data (2)'!$A:$A,$A403,'yardi_data (2)'!$F:$F)</f>
        <v>0</v>
      </c>
      <c r="G403" s="791">
        <f>SUMIF('yardi_data (2)'!$A:$A,$A403,'yardi_data (2)'!$G:$G)</f>
        <v>0</v>
      </c>
      <c r="H403" s="792"/>
    </row>
    <row r="404" spans="1:8">
      <c r="A404" s="182" t="s">
        <v>804</v>
      </c>
      <c r="B404" s="182" t="s">
        <v>805</v>
      </c>
      <c r="C404" s="791">
        <f>SUMIF('yardi_data (2)'!$A:$A,$A404,'yardi_data (2)'!C:C)</f>
        <v>384.66</v>
      </c>
      <c r="D404" s="791">
        <f>SUMIF('yardi_data (2)'!$A:$A,$A404,'yardi_data (2)'!$D:$D)</f>
        <v>368.92</v>
      </c>
      <c r="E404" s="791">
        <f>SUMIF('yardi_data (2)'!$A:$A,$A404,'yardi_data (2)'!$E:$E)</f>
        <v>-1340</v>
      </c>
      <c r="F404" s="791">
        <f>SUMIF('yardi_data (2)'!$A:$A,$A404,'yardi_data (2)'!$F:$F)</f>
        <v>0</v>
      </c>
      <c r="G404" s="791">
        <f>SUMIF('yardi_data (2)'!$A:$A,$A404,'yardi_data (2)'!$G:$G)</f>
        <v>0</v>
      </c>
      <c r="H404" s="792"/>
    </row>
    <row r="405" spans="1:8">
      <c r="A405" s="181" t="s">
        <v>806</v>
      </c>
      <c r="B405" s="181" t="s">
        <v>807</v>
      </c>
      <c r="C405" s="791">
        <f>SUMIF('yardi_data (2)'!$A:$A,$A405,'yardi_data (2)'!C:C)</f>
        <v>0</v>
      </c>
      <c r="D405" s="791">
        <f>SUMIF('yardi_data (2)'!$A:$A,$A405,'yardi_data (2)'!$D:$D)</f>
        <v>0</v>
      </c>
      <c r="E405" s="791">
        <f>SUMIF('yardi_data (2)'!$A:$A,$A405,'yardi_data (2)'!$E:$E)</f>
        <v>0</v>
      </c>
      <c r="F405" s="791">
        <f>SUMIF('yardi_data (2)'!$A:$A,$A405,'yardi_data (2)'!$F:$F)</f>
        <v>0</v>
      </c>
      <c r="G405" s="791">
        <f>SUMIF('yardi_data (2)'!$A:$A,$A405,'yardi_data (2)'!$G:$G)</f>
        <v>0</v>
      </c>
      <c r="H405" s="792"/>
    </row>
    <row r="406" spans="1:8">
      <c r="A406" s="182" t="s">
        <v>808</v>
      </c>
      <c r="B406" s="182" t="s">
        <v>809</v>
      </c>
      <c r="C406" s="791">
        <f>SUMIF('yardi_data (2)'!$A:$A,$A406,'yardi_data (2)'!C:C)</f>
        <v>0</v>
      </c>
      <c r="D406" s="791">
        <f>SUMIF('yardi_data (2)'!$A:$A,$A406,'yardi_data (2)'!$D:$D)</f>
        <v>0</v>
      </c>
      <c r="E406" s="791">
        <f>SUMIF('yardi_data (2)'!$A:$A,$A406,'yardi_data (2)'!$E:$E)</f>
        <v>0</v>
      </c>
      <c r="F406" s="791">
        <f>SUMIF('yardi_data (2)'!$A:$A,$A406,'yardi_data (2)'!$F:$F)</f>
        <v>0</v>
      </c>
      <c r="G406" s="791">
        <f>SUMIF('yardi_data (2)'!$A:$A,$A406,'yardi_data (2)'!$G:$G)</f>
        <v>0</v>
      </c>
      <c r="H406" s="792"/>
    </row>
    <row r="407" spans="1:8">
      <c r="A407" s="181" t="s">
        <v>810</v>
      </c>
      <c r="B407" s="181" t="s">
        <v>811</v>
      </c>
      <c r="C407" s="791">
        <f>SUMIF('yardi_data (2)'!$A:$A,$A407,'yardi_data (2)'!C:C)</f>
        <v>0</v>
      </c>
      <c r="D407" s="791">
        <f>SUMIF('yardi_data (2)'!$A:$A,$A407,'yardi_data (2)'!$D:$D)</f>
        <v>0</v>
      </c>
      <c r="E407" s="791">
        <f>SUMIF('yardi_data (2)'!$A:$A,$A407,'yardi_data (2)'!$E:$E)</f>
        <v>0</v>
      </c>
      <c r="F407" s="791">
        <f>SUMIF('yardi_data (2)'!$A:$A,$A407,'yardi_data (2)'!$F:$F)</f>
        <v>0</v>
      </c>
      <c r="G407" s="791">
        <f>SUMIF('yardi_data (2)'!$A:$A,$A407,'yardi_data (2)'!$G:$G)</f>
        <v>0</v>
      </c>
      <c r="H407" s="792"/>
    </row>
    <row r="408" spans="1:8">
      <c r="A408" s="182" t="s">
        <v>812</v>
      </c>
      <c r="B408" s="182" t="s">
        <v>813</v>
      </c>
      <c r="C408" s="791">
        <f>SUMIF('yardi_data (2)'!$A:$A,$A408,'yardi_data (2)'!C:C)</f>
        <v>0</v>
      </c>
      <c r="D408" s="791">
        <f>SUMIF('yardi_data (2)'!$A:$A,$A408,'yardi_data (2)'!$D:$D)</f>
        <v>0</v>
      </c>
      <c r="E408" s="791">
        <f>SUMIF('yardi_data (2)'!$A:$A,$A408,'yardi_data (2)'!$E:$E)</f>
        <v>0</v>
      </c>
      <c r="F408" s="791">
        <f>SUMIF('yardi_data (2)'!$A:$A,$A408,'yardi_data (2)'!$F:$F)</f>
        <v>0</v>
      </c>
      <c r="G408" s="791">
        <f>SUMIF('yardi_data (2)'!$A:$A,$A408,'yardi_data (2)'!$G:$G)</f>
        <v>0</v>
      </c>
      <c r="H408" s="792"/>
    </row>
    <row r="409" spans="1:8">
      <c r="A409" s="181" t="s">
        <v>814</v>
      </c>
      <c r="B409" s="181" t="s">
        <v>815</v>
      </c>
      <c r="C409" s="791">
        <f>SUMIF('yardi_data (2)'!$A:$A,$A409,'yardi_data (2)'!C:C)</f>
        <v>-1710</v>
      </c>
      <c r="D409" s="791">
        <f>SUMIF('yardi_data (2)'!$A:$A,$A409,'yardi_data (2)'!$D:$D)</f>
        <v>990</v>
      </c>
      <c r="E409" s="791">
        <f>SUMIF('yardi_data (2)'!$A:$A,$A409,'yardi_data (2)'!$E:$E)</f>
        <v>0</v>
      </c>
      <c r="F409" s="791">
        <f>SUMIF('yardi_data (2)'!$A:$A,$A409,'yardi_data (2)'!$F:$F)</f>
        <v>0</v>
      </c>
      <c r="G409" s="791">
        <f>SUMIF('yardi_data (2)'!$A:$A,$A409,'yardi_data (2)'!$G:$G)</f>
        <v>0</v>
      </c>
      <c r="H409" s="792"/>
    </row>
    <row r="410" spans="1:8">
      <c r="A410" s="182" t="s">
        <v>816</v>
      </c>
      <c r="B410" s="182" t="s">
        <v>817</v>
      </c>
      <c r="C410" s="791">
        <f>SUMIF('yardi_data (2)'!$A:$A,$A410,'yardi_data (2)'!C:C)</f>
        <v>38406.36</v>
      </c>
      <c r="D410" s="791">
        <f>SUMIF('yardi_data (2)'!$A:$A,$A410,'yardi_data (2)'!$D:$D)</f>
        <v>42784.84</v>
      </c>
      <c r="E410" s="791">
        <f>SUMIF('yardi_data (2)'!$A:$A,$A410,'yardi_data (2)'!$E:$E)</f>
        <v>28588.560000000001</v>
      </c>
      <c r="F410" s="791">
        <f>SUMIF('yardi_data (2)'!$A:$A,$A410,'yardi_data (2)'!$F:$F)</f>
        <v>32803.360000000001</v>
      </c>
      <c r="G410" s="791">
        <f>SUMIF('yardi_data (2)'!$A:$A,$A410,'yardi_data (2)'!$G:$G)</f>
        <v>49205</v>
      </c>
      <c r="H410" s="792"/>
    </row>
    <row r="411" spans="1:8">
      <c r="A411" s="181" t="s">
        <v>818</v>
      </c>
      <c r="B411" s="181" t="s">
        <v>819</v>
      </c>
      <c r="C411" s="791">
        <f>SUMIF('yardi_data (2)'!$A:$A,$A411,'yardi_data (2)'!C:C)</f>
        <v>0</v>
      </c>
      <c r="D411" s="791">
        <f>SUMIF('yardi_data (2)'!$A:$A,$A411,'yardi_data (2)'!$D:$D)</f>
        <v>0</v>
      </c>
      <c r="E411" s="791">
        <f>SUMIF('yardi_data (2)'!$A:$A,$A411,'yardi_data (2)'!$E:$E)</f>
        <v>0</v>
      </c>
      <c r="F411" s="791">
        <f>SUMIF('yardi_data (2)'!$A:$A,$A411,'yardi_data (2)'!$F:$F)</f>
        <v>0</v>
      </c>
      <c r="G411" s="791">
        <f>SUMIF('yardi_data (2)'!$A:$A,$A411,'yardi_data (2)'!$G:$G)</f>
        <v>0</v>
      </c>
      <c r="H411" s="792"/>
    </row>
    <row r="412" spans="1:8">
      <c r="A412" s="182" t="s">
        <v>820</v>
      </c>
      <c r="B412" s="182" t="s">
        <v>821</v>
      </c>
      <c r="C412" s="791">
        <f>SUMIF('yardi_data (2)'!$A:$A,$A412,'yardi_data (2)'!C:C)</f>
        <v>0</v>
      </c>
      <c r="D412" s="791">
        <f>SUMIF('yardi_data (2)'!$A:$A,$A412,'yardi_data (2)'!$D:$D)</f>
        <v>0</v>
      </c>
      <c r="E412" s="791">
        <f>SUMIF('yardi_data (2)'!$A:$A,$A412,'yardi_data (2)'!$E:$E)</f>
        <v>0</v>
      </c>
      <c r="F412" s="791">
        <f>SUMIF('yardi_data (2)'!$A:$A,$A412,'yardi_data (2)'!$F:$F)</f>
        <v>0</v>
      </c>
      <c r="G412" s="791">
        <f>SUMIF('yardi_data (2)'!$A:$A,$A412,'yardi_data (2)'!$G:$G)</f>
        <v>0</v>
      </c>
      <c r="H412" s="792"/>
    </row>
    <row r="413" spans="1:8">
      <c r="A413" s="181" t="s">
        <v>822</v>
      </c>
      <c r="B413" s="181" t="s">
        <v>823</v>
      </c>
      <c r="C413" s="791">
        <f>SUMIF('yardi_data (2)'!$A:$A,$A413,'yardi_data (2)'!C:C)</f>
        <v>73959.25</v>
      </c>
      <c r="D413" s="791">
        <f>SUMIF('yardi_data (2)'!$A:$A,$A413,'yardi_data (2)'!$D:$D)</f>
        <v>71736.5</v>
      </c>
      <c r="E413" s="791">
        <f>SUMIF('yardi_data (2)'!$A:$A,$A413,'yardi_data (2)'!$E:$E)</f>
        <v>51415</v>
      </c>
      <c r="F413" s="791">
        <f>SUMIF('yardi_data (2)'!$A:$A,$A413,'yardi_data (2)'!$F:$F)</f>
        <v>52077.36</v>
      </c>
      <c r="G413" s="791">
        <f>SUMIF('yardi_data (2)'!$A:$A,$A413,'yardi_data (2)'!$G:$G)</f>
        <v>78116</v>
      </c>
      <c r="H413" s="792"/>
    </row>
    <row r="414" spans="1:8">
      <c r="A414" s="182" t="s">
        <v>824</v>
      </c>
      <c r="B414" s="182" t="s">
        <v>825</v>
      </c>
      <c r="C414" s="791">
        <f>SUMIF('yardi_data (2)'!$A:$A,$A414,'yardi_data (2)'!C:C)</f>
        <v>251635.41</v>
      </c>
      <c r="D414" s="791">
        <f>SUMIF('yardi_data (2)'!$A:$A,$A414,'yardi_data (2)'!$D:$D)</f>
        <v>256270.07999999999</v>
      </c>
      <c r="E414" s="791">
        <f>SUMIF('yardi_data (2)'!$A:$A,$A414,'yardi_data (2)'!$E:$E)</f>
        <v>179828</v>
      </c>
      <c r="F414" s="791">
        <f>SUMIF('yardi_data (2)'!$A:$A,$A414,'yardi_data (2)'!$F:$F)</f>
        <v>180488</v>
      </c>
      <c r="G414" s="791">
        <f>SUMIF('yardi_data (2)'!$A:$A,$A414,'yardi_data (2)'!$G:$G)</f>
        <v>270732</v>
      </c>
      <c r="H414" s="792"/>
    </row>
    <row r="415" spans="1:8">
      <c r="A415" s="181" t="s">
        <v>826</v>
      </c>
      <c r="B415" s="181" t="s">
        <v>827</v>
      </c>
      <c r="C415" s="791">
        <f>SUMIF('yardi_data (2)'!$A:$A,$A415,'yardi_data (2)'!C:C)</f>
        <v>6890</v>
      </c>
      <c r="D415" s="791">
        <f>SUMIF('yardi_data (2)'!$A:$A,$A415,'yardi_data (2)'!$D:$D)</f>
        <v>6900</v>
      </c>
      <c r="E415" s="791">
        <f>SUMIF('yardi_data (2)'!$A:$A,$A415,'yardi_data (2)'!$E:$E)</f>
        <v>4550</v>
      </c>
      <c r="F415" s="791">
        <f>SUMIF('yardi_data (2)'!$A:$A,$A415,'yardi_data (2)'!$F:$F)</f>
        <v>4840</v>
      </c>
      <c r="G415" s="791">
        <f>SUMIF('yardi_data (2)'!$A:$A,$A415,'yardi_data (2)'!$G:$G)</f>
        <v>7190</v>
      </c>
      <c r="H415" s="792"/>
    </row>
    <row r="416" spans="1:8">
      <c r="A416" s="182" t="s">
        <v>828</v>
      </c>
      <c r="B416" s="182" t="s">
        <v>829</v>
      </c>
      <c r="C416" s="791">
        <f>SUMIF('yardi_data (2)'!$A:$A,$A416,'yardi_data (2)'!C:C)</f>
        <v>541.9</v>
      </c>
      <c r="D416" s="791">
        <f>SUMIF('yardi_data (2)'!$A:$A,$A416,'yardi_data (2)'!$D:$D)</f>
        <v>384.2</v>
      </c>
      <c r="E416" s="791">
        <f>SUMIF('yardi_data (2)'!$A:$A,$A416,'yardi_data (2)'!$E:$E)</f>
        <v>1313.51</v>
      </c>
      <c r="F416" s="791">
        <f>SUMIF('yardi_data (2)'!$A:$A,$A416,'yardi_data (2)'!$F:$F)</f>
        <v>264</v>
      </c>
      <c r="G416" s="791">
        <f>SUMIF('yardi_data (2)'!$A:$A,$A416,'yardi_data (2)'!$G:$G)</f>
        <v>396</v>
      </c>
      <c r="H416" s="792"/>
    </row>
    <row r="417" spans="1:8">
      <c r="A417" s="181" t="s">
        <v>830</v>
      </c>
      <c r="B417" s="181" t="s">
        <v>831</v>
      </c>
      <c r="C417" s="791">
        <f>SUMIF('yardi_data (2)'!$A:$A,$A417,'yardi_data (2)'!C:C)</f>
        <v>1846.18</v>
      </c>
      <c r="D417" s="791">
        <f>SUMIF('yardi_data (2)'!$A:$A,$A417,'yardi_data (2)'!$D:$D)</f>
        <v>1809.57</v>
      </c>
      <c r="E417" s="791">
        <f>SUMIF('yardi_data (2)'!$A:$A,$A417,'yardi_data (2)'!$E:$E)</f>
        <v>1243.44</v>
      </c>
      <c r="F417" s="791">
        <f>SUMIF('yardi_data (2)'!$A:$A,$A417,'yardi_data (2)'!$F:$F)</f>
        <v>1243.3599999999999</v>
      </c>
      <c r="G417" s="791">
        <f>SUMIF('yardi_data (2)'!$A:$A,$A417,'yardi_data (2)'!$G:$G)</f>
        <v>1865</v>
      </c>
      <c r="H417" s="792"/>
    </row>
    <row r="418" spans="1:8">
      <c r="A418" s="182" t="s">
        <v>832</v>
      </c>
      <c r="B418" s="182" t="s">
        <v>833</v>
      </c>
      <c r="C418" s="791">
        <f>SUMIF('yardi_data (2)'!$A:$A,$A418,'yardi_data (2)'!C:C)</f>
        <v>0</v>
      </c>
      <c r="D418" s="791">
        <f>SUMIF('yardi_data (2)'!$A:$A,$A418,'yardi_data (2)'!$D:$D)</f>
        <v>0</v>
      </c>
      <c r="E418" s="791">
        <f>SUMIF('yardi_data (2)'!$A:$A,$A418,'yardi_data (2)'!$E:$E)</f>
        <v>0</v>
      </c>
      <c r="F418" s="791">
        <f>SUMIF('yardi_data (2)'!$A:$A,$A418,'yardi_data (2)'!$F:$F)</f>
        <v>0</v>
      </c>
      <c r="G418" s="791">
        <f>SUMIF('yardi_data (2)'!$A:$A,$A418,'yardi_data (2)'!$G:$G)</f>
        <v>0</v>
      </c>
      <c r="H418" s="792"/>
    </row>
    <row r="419" spans="1:8">
      <c r="A419" s="181" t="s">
        <v>834</v>
      </c>
      <c r="B419" s="181" t="s">
        <v>835</v>
      </c>
      <c r="C419" s="791">
        <f>SUMIF('yardi_data (2)'!$A:$A,$A419,'yardi_data (2)'!C:C)</f>
        <v>0</v>
      </c>
      <c r="D419" s="791">
        <f>SUMIF('yardi_data (2)'!$A:$A,$A419,'yardi_data (2)'!$D:$D)</f>
        <v>0</v>
      </c>
      <c r="E419" s="791">
        <f>SUMIF('yardi_data (2)'!$A:$A,$A419,'yardi_data (2)'!$E:$E)</f>
        <v>0</v>
      </c>
      <c r="F419" s="791">
        <f>SUMIF('yardi_data (2)'!$A:$A,$A419,'yardi_data (2)'!$F:$F)</f>
        <v>0</v>
      </c>
      <c r="G419" s="791">
        <f>SUMIF('yardi_data (2)'!$A:$A,$A419,'yardi_data (2)'!$G:$G)</f>
        <v>0</v>
      </c>
      <c r="H419" s="792"/>
    </row>
    <row r="420" spans="1:8">
      <c r="A420" s="182" t="s">
        <v>836</v>
      </c>
      <c r="B420" s="182" t="s">
        <v>837</v>
      </c>
      <c r="C420" s="791">
        <f>SUMIF('yardi_data (2)'!$A:$A,$A420,'yardi_data (2)'!C:C)</f>
        <v>28055.93</v>
      </c>
      <c r="D420" s="791">
        <f>SUMIF('yardi_data (2)'!$A:$A,$A420,'yardi_data (2)'!$D:$D)</f>
        <v>50121.96</v>
      </c>
      <c r="E420" s="791">
        <f>SUMIF('yardi_data (2)'!$A:$A,$A420,'yardi_data (2)'!$E:$E)</f>
        <v>35572.36</v>
      </c>
      <c r="F420" s="791">
        <f>SUMIF('yardi_data (2)'!$A:$A,$A420,'yardi_data (2)'!$F:$F)</f>
        <v>31483</v>
      </c>
      <c r="G420" s="791">
        <f>SUMIF('yardi_data (2)'!$A:$A,$A420,'yardi_data (2)'!$G:$G)</f>
        <v>47227</v>
      </c>
      <c r="H420" s="792"/>
    </row>
    <row r="421" spans="1:8">
      <c r="A421" s="181" t="s">
        <v>838</v>
      </c>
      <c r="B421" s="181" t="s">
        <v>839</v>
      </c>
      <c r="C421" s="791">
        <f>SUMIF('yardi_data (2)'!$A:$A,$A421,'yardi_data (2)'!C:C)</f>
        <v>-7425.9</v>
      </c>
      <c r="D421" s="791">
        <f>SUMIF('yardi_data (2)'!$A:$A,$A421,'yardi_data (2)'!$D:$D)</f>
        <v>-9481.2199999999993</v>
      </c>
      <c r="E421" s="791">
        <f>SUMIF('yardi_data (2)'!$A:$A,$A421,'yardi_data (2)'!$E:$E)</f>
        <v>-8644.9</v>
      </c>
      <c r="F421" s="791">
        <f>SUMIF('yardi_data (2)'!$A:$A,$A421,'yardi_data (2)'!$F:$F)</f>
        <v>0</v>
      </c>
      <c r="G421" s="791">
        <f>SUMIF('yardi_data (2)'!$A:$A,$A421,'yardi_data (2)'!$G:$G)</f>
        <v>0</v>
      </c>
      <c r="H421" s="792"/>
    </row>
    <row r="422" spans="1:8">
      <c r="A422" s="182" t="s">
        <v>840</v>
      </c>
      <c r="B422" s="182" t="s">
        <v>841</v>
      </c>
      <c r="C422" s="791">
        <f>SUMIF('yardi_data (2)'!$A:$A,$A422,'yardi_data (2)'!C:C)</f>
        <v>326.2</v>
      </c>
      <c r="D422" s="791">
        <f>SUMIF('yardi_data (2)'!$A:$A,$A422,'yardi_data (2)'!$D:$D)</f>
        <v>-156.76</v>
      </c>
      <c r="E422" s="791">
        <f>SUMIF('yardi_data (2)'!$A:$A,$A422,'yardi_data (2)'!$E:$E)</f>
        <v>1326.2</v>
      </c>
      <c r="F422" s="791">
        <f>SUMIF('yardi_data (2)'!$A:$A,$A422,'yardi_data (2)'!$F:$F)</f>
        <v>4838</v>
      </c>
      <c r="G422" s="791">
        <f>SUMIF('yardi_data (2)'!$A:$A,$A422,'yardi_data (2)'!$G:$G)</f>
        <v>4838</v>
      </c>
      <c r="H422" s="792"/>
    </row>
    <row r="423" spans="1:8">
      <c r="A423" s="181" t="s">
        <v>842</v>
      </c>
      <c r="B423" s="181" t="s">
        <v>843</v>
      </c>
      <c r="C423" s="791">
        <f>SUMIF('yardi_data (2)'!$A:$A,$A423,'yardi_data (2)'!C:C)</f>
        <v>0</v>
      </c>
      <c r="D423" s="791">
        <f>SUMIF('yardi_data (2)'!$A:$A,$A423,'yardi_data (2)'!$D:$D)</f>
        <v>0</v>
      </c>
      <c r="E423" s="791">
        <f>SUMIF('yardi_data (2)'!$A:$A,$A423,'yardi_data (2)'!$E:$E)</f>
        <v>0</v>
      </c>
      <c r="F423" s="791">
        <f>SUMIF('yardi_data (2)'!$A:$A,$A423,'yardi_data (2)'!$F:$F)</f>
        <v>0</v>
      </c>
      <c r="G423" s="791">
        <f>SUMIF('yardi_data (2)'!$A:$A,$A423,'yardi_data (2)'!$G:$G)</f>
        <v>0</v>
      </c>
      <c r="H423" s="792"/>
    </row>
    <row r="424" spans="1:8">
      <c r="A424" s="182" t="s">
        <v>844</v>
      </c>
      <c r="B424" s="182" t="s">
        <v>845</v>
      </c>
      <c r="C424" s="791">
        <f>SUMIF('yardi_data (2)'!$A:$A,$A424,'yardi_data (2)'!C:C)</f>
        <v>0</v>
      </c>
      <c r="D424" s="791">
        <f>SUMIF('yardi_data (2)'!$A:$A,$A424,'yardi_data (2)'!$D:$D)</f>
        <v>0</v>
      </c>
      <c r="E424" s="791">
        <f>SUMIF('yardi_data (2)'!$A:$A,$A424,'yardi_data (2)'!$E:$E)</f>
        <v>0</v>
      </c>
      <c r="F424" s="791">
        <f>SUMIF('yardi_data (2)'!$A:$A,$A424,'yardi_data (2)'!$F:$F)</f>
        <v>0</v>
      </c>
      <c r="G424" s="791">
        <f>SUMIF('yardi_data (2)'!$A:$A,$A424,'yardi_data (2)'!$G:$G)</f>
        <v>0</v>
      </c>
      <c r="H424" s="792"/>
    </row>
    <row r="425" spans="1:8">
      <c r="A425" s="181" t="s">
        <v>846</v>
      </c>
      <c r="B425" s="181" t="s">
        <v>847</v>
      </c>
      <c r="C425" s="791">
        <f>SUMIF('yardi_data (2)'!$A:$A,$A425,'yardi_data (2)'!C:C)</f>
        <v>4804.68</v>
      </c>
      <c r="D425" s="791">
        <f>SUMIF('yardi_data (2)'!$A:$A,$A425,'yardi_data (2)'!$D:$D)</f>
        <v>5087.1899999999996</v>
      </c>
      <c r="E425" s="791">
        <f>SUMIF('yardi_data (2)'!$A:$A,$A425,'yardi_data (2)'!$E:$E)</f>
        <v>4690.58</v>
      </c>
      <c r="F425" s="791">
        <f>SUMIF('yardi_data (2)'!$A:$A,$A425,'yardi_data (2)'!$F:$F)</f>
        <v>3516</v>
      </c>
      <c r="G425" s="791">
        <f>SUMIF('yardi_data (2)'!$A:$A,$A425,'yardi_data (2)'!$G:$G)</f>
        <v>5221</v>
      </c>
      <c r="H425" s="792"/>
    </row>
    <row r="426" spans="1:8">
      <c r="A426" s="182" t="s">
        <v>848</v>
      </c>
      <c r="B426" s="182" t="s">
        <v>849</v>
      </c>
      <c r="C426" s="791">
        <f>SUMIF('yardi_data (2)'!$A:$A,$A426,'yardi_data (2)'!C:C)</f>
        <v>0</v>
      </c>
      <c r="D426" s="791">
        <f>SUMIF('yardi_data (2)'!$A:$A,$A426,'yardi_data (2)'!$D:$D)</f>
        <v>0</v>
      </c>
      <c r="E426" s="791">
        <f>SUMIF('yardi_data (2)'!$A:$A,$A426,'yardi_data (2)'!$E:$E)</f>
        <v>0</v>
      </c>
      <c r="F426" s="791">
        <f>SUMIF('yardi_data (2)'!$A:$A,$A426,'yardi_data (2)'!$F:$F)</f>
        <v>0</v>
      </c>
      <c r="G426" s="791">
        <f>SUMIF('yardi_data (2)'!$A:$A,$A426,'yardi_data (2)'!$G:$G)</f>
        <v>0</v>
      </c>
      <c r="H426" s="792"/>
    </row>
    <row r="427" spans="1:8">
      <c r="A427" s="181" t="s">
        <v>850</v>
      </c>
      <c r="B427" s="181" t="s">
        <v>851</v>
      </c>
      <c r="C427" s="791">
        <f>SUMIF('yardi_data (2)'!$A:$A,$A427,'yardi_data (2)'!C:C)</f>
        <v>1387223.09</v>
      </c>
      <c r="D427" s="791">
        <f>SUMIF('yardi_data (2)'!$A:$A,$A427,'yardi_data (2)'!$D:$D)</f>
        <v>1447518.11</v>
      </c>
      <c r="E427" s="791">
        <f>SUMIF('yardi_data (2)'!$A:$A,$A427,'yardi_data (2)'!$E:$E)</f>
        <v>974031.24</v>
      </c>
      <c r="F427" s="791">
        <f>SUMIF('yardi_data (2)'!$A:$A,$A427,'yardi_data (2)'!$F:$F)</f>
        <v>992055.72</v>
      </c>
      <c r="G427" s="791">
        <f>SUMIF('yardi_data (2)'!$A:$A,$A427,'yardi_data (2)'!$G:$G)</f>
        <v>1488210</v>
      </c>
      <c r="H427" s="792"/>
    </row>
    <row r="428" spans="1:8">
      <c r="A428" s="182" t="s">
        <v>852</v>
      </c>
      <c r="B428" s="182" t="s">
        <v>853</v>
      </c>
      <c r="C428" s="791">
        <f>SUMIF('yardi_data (2)'!$A:$A,$A428,'yardi_data (2)'!C:C)</f>
        <v>0</v>
      </c>
      <c r="D428" s="791">
        <f>SUMIF('yardi_data (2)'!$A:$A,$A428,'yardi_data (2)'!$D:$D)</f>
        <v>0</v>
      </c>
      <c r="E428" s="791">
        <f>SUMIF('yardi_data (2)'!$A:$A,$A428,'yardi_data (2)'!$E:$E)</f>
        <v>0</v>
      </c>
      <c r="F428" s="791">
        <f>SUMIF('yardi_data (2)'!$A:$A,$A428,'yardi_data (2)'!$F:$F)</f>
        <v>0</v>
      </c>
      <c r="G428" s="791">
        <f>SUMIF('yardi_data (2)'!$A:$A,$A428,'yardi_data (2)'!$G:$G)</f>
        <v>0</v>
      </c>
      <c r="H428" s="792"/>
    </row>
    <row r="429" spans="1:8">
      <c r="A429" s="181" t="s">
        <v>854</v>
      </c>
      <c r="B429" s="181" t="s">
        <v>558</v>
      </c>
      <c r="C429" s="791">
        <f>SUMIF('yardi_data (2)'!$A:$A,$A429,'yardi_data (2)'!C:C)</f>
        <v>13380.41</v>
      </c>
      <c r="D429" s="791">
        <f>SUMIF('yardi_data (2)'!$A:$A,$A429,'yardi_data (2)'!$D:$D)</f>
        <v>10948.69</v>
      </c>
      <c r="E429" s="791">
        <f>SUMIF('yardi_data (2)'!$A:$A,$A429,'yardi_data (2)'!$E:$E)</f>
        <v>8788.77</v>
      </c>
      <c r="F429" s="791">
        <f>SUMIF('yardi_data (2)'!$A:$A,$A429,'yardi_data (2)'!$F:$F)</f>
        <v>8586</v>
      </c>
      <c r="G429" s="791">
        <f>SUMIF('yardi_data (2)'!$A:$A,$A429,'yardi_data (2)'!$G:$G)</f>
        <v>13665</v>
      </c>
      <c r="H429" s="792"/>
    </row>
    <row r="430" spans="1:8">
      <c r="A430" s="182" t="s">
        <v>855</v>
      </c>
      <c r="B430" s="182" t="s">
        <v>856</v>
      </c>
      <c r="C430" s="791">
        <f>SUMIF('yardi_data (2)'!$A:$A,$A430,'yardi_data (2)'!C:C)</f>
        <v>0</v>
      </c>
      <c r="D430" s="791">
        <f>SUMIF('yardi_data (2)'!$A:$A,$A430,'yardi_data (2)'!$D:$D)</f>
        <v>0</v>
      </c>
      <c r="E430" s="791">
        <f>SUMIF('yardi_data (2)'!$A:$A,$A430,'yardi_data (2)'!$E:$E)</f>
        <v>0</v>
      </c>
      <c r="F430" s="791">
        <f>SUMIF('yardi_data (2)'!$A:$A,$A430,'yardi_data (2)'!$F:$F)</f>
        <v>0</v>
      </c>
      <c r="G430" s="791">
        <f>SUMIF('yardi_data (2)'!$A:$A,$A430,'yardi_data (2)'!$G:$G)</f>
        <v>0</v>
      </c>
      <c r="H430" s="792"/>
    </row>
    <row r="431" spans="1:8">
      <c r="A431" s="182" t="s">
        <v>857</v>
      </c>
      <c r="B431" s="182" t="s">
        <v>858</v>
      </c>
      <c r="C431" s="791">
        <f>SUMIF('yardi_data (2)'!$A:$A,$A431,'yardi_data (2)'!C:C)</f>
        <v>477759.62</v>
      </c>
      <c r="D431" s="791">
        <f>SUMIF('yardi_data (2)'!$A:$A,$A431,'yardi_data (2)'!$D:$D)</f>
        <v>451915.67</v>
      </c>
      <c r="E431" s="791">
        <f>SUMIF('yardi_data (2)'!$A:$A,$A431,'yardi_data (2)'!$E:$E)</f>
        <v>367975.67999999999</v>
      </c>
      <c r="F431" s="791">
        <f>SUMIF('yardi_data (2)'!$A:$A,$A431,'yardi_data (2)'!$F:$F)</f>
        <v>347826</v>
      </c>
      <c r="G431" s="791">
        <f>SUMIF('yardi_data (2)'!$A:$A,$A431,'yardi_data (2)'!$G:$G)</f>
        <v>521696</v>
      </c>
      <c r="H431" s="792"/>
    </row>
    <row r="432" spans="1:8">
      <c r="A432" s="181" t="s">
        <v>859</v>
      </c>
      <c r="B432" s="181" t="s">
        <v>860</v>
      </c>
      <c r="C432" s="791">
        <f>SUMIF('yardi_data (2)'!$A:$A,$A432,'yardi_data (2)'!C:C)</f>
        <v>315990.75</v>
      </c>
      <c r="D432" s="791">
        <f>SUMIF('yardi_data (2)'!$A:$A,$A432,'yardi_data (2)'!$D:$D)</f>
        <v>206146.69</v>
      </c>
      <c r="E432" s="791">
        <f>SUMIF('yardi_data (2)'!$A:$A,$A432,'yardi_data (2)'!$E:$E)</f>
        <v>144894.89000000001</v>
      </c>
      <c r="F432" s="791">
        <f>SUMIF('yardi_data (2)'!$A:$A,$A432,'yardi_data (2)'!$F:$F)</f>
        <v>214897</v>
      </c>
      <c r="G432" s="791">
        <f>SUMIF('yardi_data (2)'!$A:$A,$A432,'yardi_data (2)'!$G:$G)</f>
        <v>321914</v>
      </c>
      <c r="H432" s="792"/>
    </row>
    <row r="433" spans="1:8">
      <c r="A433" s="182" t="s">
        <v>861</v>
      </c>
      <c r="B433" s="182" t="s">
        <v>862</v>
      </c>
      <c r="C433" s="791">
        <f>SUMIF('yardi_data (2)'!$A:$A,$A433,'yardi_data (2)'!C:C)</f>
        <v>0</v>
      </c>
      <c r="D433" s="791">
        <f>SUMIF('yardi_data (2)'!$A:$A,$A433,'yardi_data (2)'!$D:$D)</f>
        <v>8817.14</v>
      </c>
      <c r="E433" s="791">
        <f>SUMIF('yardi_data (2)'!$A:$A,$A433,'yardi_data (2)'!$E:$E)</f>
        <v>0</v>
      </c>
      <c r="F433" s="791">
        <f>SUMIF('yardi_data (2)'!$A:$A,$A433,'yardi_data (2)'!$F:$F)</f>
        <v>0</v>
      </c>
      <c r="G433" s="791">
        <f>SUMIF('yardi_data (2)'!$A:$A,$A433,'yardi_data (2)'!$G:$G)</f>
        <v>0</v>
      </c>
      <c r="H433" s="792"/>
    </row>
    <row r="434" spans="1:8">
      <c r="A434" s="181" t="s">
        <v>863</v>
      </c>
      <c r="B434" s="181" t="s">
        <v>864</v>
      </c>
      <c r="C434" s="791">
        <f>SUMIF('yardi_data (2)'!$A:$A,$A434,'yardi_data (2)'!C:C)</f>
        <v>0</v>
      </c>
      <c r="D434" s="791">
        <f>SUMIF('yardi_data (2)'!$A:$A,$A434,'yardi_data (2)'!$D:$D)</f>
        <v>0</v>
      </c>
      <c r="E434" s="791">
        <f>SUMIF('yardi_data (2)'!$A:$A,$A434,'yardi_data (2)'!$E:$E)</f>
        <v>0</v>
      </c>
      <c r="F434" s="791">
        <f>SUMIF('yardi_data (2)'!$A:$A,$A434,'yardi_data (2)'!$F:$F)</f>
        <v>0</v>
      </c>
      <c r="G434" s="791">
        <f>SUMIF('yardi_data (2)'!$A:$A,$A434,'yardi_data (2)'!$G:$G)</f>
        <v>0</v>
      </c>
      <c r="H434" s="792"/>
    </row>
    <row r="435" spans="1:8">
      <c r="A435" s="182" t="s">
        <v>865</v>
      </c>
      <c r="B435" s="182" t="s">
        <v>866</v>
      </c>
      <c r="C435" s="791">
        <f>SUMIF('yardi_data (2)'!$A:$A,$A435,'yardi_data (2)'!C:C)</f>
        <v>0</v>
      </c>
      <c r="D435" s="791">
        <f>SUMIF('yardi_data (2)'!$A:$A,$A435,'yardi_data (2)'!$D:$D)</f>
        <v>0</v>
      </c>
      <c r="E435" s="791">
        <f>SUMIF('yardi_data (2)'!$A:$A,$A435,'yardi_data (2)'!$E:$E)</f>
        <v>0</v>
      </c>
      <c r="F435" s="791">
        <f>SUMIF('yardi_data (2)'!$A:$A,$A435,'yardi_data (2)'!$F:$F)</f>
        <v>0</v>
      </c>
      <c r="G435" s="791">
        <f>SUMIF('yardi_data (2)'!$A:$A,$A435,'yardi_data (2)'!$G:$G)</f>
        <v>0</v>
      </c>
      <c r="H435" s="792"/>
    </row>
    <row r="436" spans="1:8">
      <c r="A436" s="181" t="s">
        <v>867</v>
      </c>
      <c r="B436" s="181" t="s">
        <v>868</v>
      </c>
      <c r="C436" s="791">
        <f>SUMIF('yardi_data (2)'!$A:$A,$A436,'yardi_data (2)'!C:C)</f>
        <v>807130.78</v>
      </c>
      <c r="D436" s="791">
        <f>SUMIF('yardi_data (2)'!$A:$A,$A436,'yardi_data (2)'!$D:$D)</f>
        <v>677828.19</v>
      </c>
      <c r="E436" s="791">
        <f>SUMIF('yardi_data (2)'!$A:$A,$A436,'yardi_data (2)'!$E:$E)</f>
        <v>521659.34</v>
      </c>
      <c r="F436" s="791">
        <f>SUMIF('yardi_data (2)'!$A:$A,$A436,'yardi_data (2)'!$F:$F)</f>
        <v>571309</v>
      </c>
      <c r="G436" s="791">
        <f>SUMIF('yardi_data (2)'!$A:$A,$A436,'yardi_data (2)'!$G:$G)</f>
        <v>857275</v>
      </c>
      <c r="H436" s="792"/>
    </row>
    <row r="437" spans="1:8">
      <c r="A437" s="182" t="s">
        <v>869</v>
      </c>
      <c r="B437" s="182" t="s">
        <v>870</v>
      </c>
      <c r="C437" s="791">
        <f>SUMIF('yardi_data (2)'!$A:$A,$A437,'yardi_data (2)'!C:C)</f>
        <v>0</v>
      </c>
      <c r="D437" s="791">
        <f>SUMIF('yardi_data (2)'!$A:$A,$A437,'yardi_data (2)'!$D:$D)</f>
        <v>0</v>
      </c>
      <c r="E437" s="791">
        <f>SUMIF('yardi_data (2)'!$A:$A,$A437,'yardi_data (2)'!$E:$E)</f>
        <v>0</v>
      </c>
      <c r="F437" s="791">
        <f>SUMIF('yardi_data (2)'!$A:$A,$A437,'yardi_data (2)'!$F:$F)</f>
        <v>0</v>
      </c>
      <c r="G437" s="791">
        <f>SUMIF('yardi_data (2)'!$A:$A,$A437,'yardi_data (2)'!$G:$G)</f>
        <v>0</v>
      </c>
      <c r="H437" s="792"/>
    </row>
    <row r="438" spans="1:8">
      <c r="A438" s="181" t="s">
        <v>871</v>
      </c>
      <c r="B438" s="181" t="s">
        <v>872</v>
      </c>
      <c r="C438" s="791">
        <f>SUMIF('yardi_data (2)'!$A:$A,$A438,'yardi_data (2)'!C:C)</f>
        <v>0</v>
      </c>
      <c r="D438" s="791">
        <f>SUMIF('yardi_data (2)'!$A:$A,$A438,'yardi_data (2)'!$D:$D)</f>
        <v>0</v>
      </c>
      <c r="E438" s="791">
        <f>SUMIF('yardi_data (2)'!$A:$A,$A438,'yardi_data (2)'!$E:$E)</f>
        <v>0</v>
      </c>
      <c r="F438" s="791">
        <f>SUMIF('yardi_data (2)'!$A:$A,$A438,'yardi_data (2)'!$F:$F)</f>
        <v>0</v>
      </c>
      <c r="G438" s="791">
        <f>SUMIF('yardi_data (2)'!$A:$A,$A438,'yardi_data (2)'!$G:$G)</f>
        <v>0</v>
      </c>
      <c r="H438" s="792"/>
    </row>
    <row r="439" spans="1:8">
      <c r="A439" s="182" t="s">
        <v>873</v>
      </c>
      <c r="B439" s="182" t="s">
        <v>874</v>
      </c>
      <c r="C439" s="791">
        <f>SUMIF('yardi_data (2)'!$A:$A,$A439,'yardi_data (2)'!C:C)</f>
        <v>0</v>
      </c>
      <c r="D439" s="791">
        <f>SUMIF('yardi_data (2)'!$A:$A,$A439,'yardi_data (2)'!$D:$D)</f>
        <v>0</v>
      </c>
      <c r="E439" s="791">
        <f>SUMIF('yardi_data (2)'!$A:$A,$A439,'yardi_data (2)'!$E:$E)</f>
        <v>0</v>
      </c>
      <c r="F439" s="791">
        <f>SUMIF('yardi_data (2)'!$A:$A,$A439,'yardi_data (2)'!$F:$F)</f>
        <v>0</v>
      </c>
      <c r="G439" s="791">
        <f>SUMIF('yardi_data (2)'!$A:$A,$A439,'yardi_data (2)'!$G:$G)</f>
        <v>0</v>
      </c>
      <c r="H439" s="792"/>
    </row>
    <row r="440" spans="1:8">
      <c r="A440" s="182" t="s">
        <v>875</v>
      </c>
      <c r="B440" s="182" t="s">
        <v>876</v>
      </c>
      <c r="C440" s="791">
        <f>SUMIF('yardi_data (2)'!$A:$A,$A440,'yardi_data (2)'!C:C)</f>
        <v>79142.23</v>
      </c>
      <c r="D440" s="791">
        <f>SUMIF('yardi_data (2)'!$A:$A,$A440,'yardi_data (2)'!$D:$D)</f>
        <v>77598.45</v>
      </c>
      <c r="E440" s="791">
        <f>SUMIF('yardi_data (2)'!$A:$A,$A440,'yardi_data (2)'!$E:$E)</f>
        <v>45896.47</v>
      </c>
      <c r="F440" s="791">
        <f>SUMIF('yardi_data (2)'!$A:$A,$A440,'yardi_data (2)'!$F:$F)</f>
        <v>60000</v>
      </c>
      <c r="G440" s="791">
        <f>SUMIF('yardi_data (2)'!$A:$A,$A440,'yardi_data (2)'!$G:$G)</f>
        <v>90000</v>
      </c>
      <c r="H440" s="792"/>
    </row>
    <row r="441" spans="1:8">
      <c r="A441" s="181" t="s">
        <v>877</v>
      </c>
      <c r="B441" s="181" t="s">
        <v>878</v>
      </c>
      <c r="C441" s="791">
        <f>SUMIF('yardi_data (2)'!$A:$A,$A441,'yardi_data (2)'!C:C)</f>
        <v>0</v>
      </c>
      <c r="D441" s="791">
        <f>SUMIF('yardi_data (2)'!$A:$A,$A441,'yardi_data (2)'!$D:$D)</f>
        <v>0</v>
      </c>
      <c r="E441" s="791">
        <f>SUMIF('yardi_data (2)'!$A:$A,$A441,'yardi_data (2)'!$E:$E)</f>
        <v>0</v>
      </c>
      <c r="F441" s="791">
        <f>SUMIF('yardi_data (2)'!$A:$A,$A441,'yardi_data (2)'!$F:$F)</f>
        <v>0</v>
      </c>
      <c r="G441" s="791">
        <f>SUMIF('yardi_data (2)'!$A:$A,$A441,'yardi_data (2)'!$G:$G)</f>
        <v>0</v>
      </c>
      <c r="H441" s="792"/>
    </row>
    <row r="442" spans="1:8">
      <c r="A442" s="182" t="s">
        <v>879</v>
      </c>
      <c r="B442" s="182" t="s">
        <v>880</v>
      </c>
      <c r="C442" s="791">
        <f>SUMIF('yardi_data (2)'!$A:$A,$A442,'yardi_data (2)'!C:C)</f>
        <v>0</v>
      </c>
      <c r="D442" s="791">
        <f>SUMIF('yardi_data (2)'!$A:$A,$A442,'yardi_data (2)'!$D:$D)</f>
        <v>0</v>
      </c>
      <c r="E442" s="791">
        <f>SUMIF('yardi_data (2)'!$A:$A,$A442,'yardi_data (2)'!$E:$E)</f>
        <v>0</v>
      </c>
      <c r="F442" s="791">
        <f>SUMIF('yardi_data (2)'!$A:$A,$A442,'yardi_data (2)'!$F:$F)</f>
        <v>0</v>
      </c>
      <c r="G442" s="791">
        <f>SUMIF('yardi_data (2)'!$A:$A,$A442,'yardi_data (2)'!$G:$G)</f>
        <v>0</v>
      </c>
      <c r="H442" s="792"/>
    </row>
    <row r="443" spans="1:8">
      <c r="A443" s="181" t="s">
        <v>881</v>
      </c>
      <c r="B443" s="181" t="s">
        <v>882</v>
      </c>
      <c r="C443" s="791">
        <f>SUMIF('yardi_data (2)'!$A:$A,$A443,'yardi_data (2)'!C:C)</f>
        <v>0</v>
      </c>
      <c r="D443" s="791">
        <f>SUMIF('yardi_data (2)'!$A:$A,$A443,'yardi_data (2)'!$D:$D)</f>
        <v>0</v>
      </c>
      <c r="E443" s="791">
        <f>SUMIF('yardi_data (2)'!$A:$A,$A443,'yardi_data (2)'!$E:$E)</f>
        <v>0</v>
      </c>
      <c r="F443" s="791">
        <f>SUMIF('yardi_data (2)'!$A:$A,$A443,'yardi_data (2)'!$F:$F)</f>
        <v>0</v>
      </c>
      <c r="G443" s="791">
        <f>SUMIF('yardi_data (2)'!$A:$A,$A443,'yardi_data (2)'!$G:$G)</f>
        <v>0</v>
      </c>
      <c r="H443" s="792"/>
    </row>
    <row r="444" spans="1:8">
      <c r="A444" s="182" t="s">
        <v>883</v>
      </c>
      <c r="B444" s="182" t="s">
        <v>884</v>
      </c>
      <c r="C444" s="791">
        <f>SUMIF('yardi_data (2)'!$A:$A,$A444,'yardi_data (2)'!C:C)</f>
        <v>0</v>
      </c>
      <c r="D444" s="791">
        <f>SUMIF('yardi_data (2)'!$A:$A,$A444,'yardi_data (2)'!$D:$D)</f>
        <v>0</v>
      </c>
      <c r="E444" s="791">
        <f>SUMIF('yardi_data (2)'!$A:$A,$A444,'yardi_data (2)'!$E:$E)</f>
        <v>0</v>
      </c>
      <c r="F444" s="791">
        <f>SUMIF('yardi_data (2)'!$A:$A,$A444,'yardi_data (2)'!$F:$F)</f>
        <v>0</v>
      </c>
      <c r="G444" s="791">
        <f>SUMIF('yardi_data (2)'!$A:$A,$A444,'yardi_data (2)'!$G:$G)</f>
        <v>0</v>
      </c>
      <c r="H444" s="792"/>
    </row>
    <row r="445" spans="1:8">
      <c r="A445" s="181" t="s">
        <v>885</v>
      </c>
      <c r="B445" s="181" t="s">
        <v>886</v>
      </c>
      <c r="C445" s="791">
        <f>SUMIF('yardi_data (2)'!$A:$A,$A445,'yardi_data (2)'!C:C)</f>
        <v>0</v>
      </c>
      <c r="D445" s="791">
        <f>SUMIF('yardi_data (2)'!$A:$A,$A445,'yardi_data (2)'!$D:$D)</f>
        <v>0</v>
      </c>
      <c r="E445" s="791">
        <f>SUMIF('yardi_data (2)'!$A:$A,$A445,'yardi_data (2)'!$E:$E)</f>
        <v>0</v>
      </c>
      <c r="F445" s="791">
        <f>SUMIF('yardi_data (2)'!$A:$A,$A445,'yardi_data (2)'!$F:$F)</f>
        <v>0</v>
      </c>
      <c r="G445" s="791">
        <f>SUMIF('yardi_data (2)'!$A:$A,$A445,'yardi_data (2)'!$G:$G)</f>
        <v>0</v>
      </c>
      <c r="H445" s="792"/>
    </row>
    <row r="446" spans="1:8">
      <c r="A446" s="182" t="s">
        <v>887</v>
      </c>
      <c r="B446" s="182" t="s">
        <v>888</v>
      </c>
      <c r="C446" s="791">
        <f>SUMIF('yardi_data (2)'!$A:$A,$A446,'yardi_data (2)'!C:C)</f>
        <v>0</v>
      </c>
      <c r="D446" s="791">
        <f>SUMIF('yardi_data (2)'!$A:$A,$A446,'yardi_data (2)'!$D:$D)</f>
        <v>0</v>
      </c>
      <c r="E446" s="791">
        <f>SUMIF('yardi_data (2)'!$A:$A,$A446,'yardi_data (2)'!$E:$E)</f>
        <v>0</v>
      </c>
      <c r="F446" s="791">
        <f>SUMIF('yardi_data (2)'!$A:$A,$A446,'yardi_data (2)'!$F:$F)</f>
        <v>0</v>
      </c>
      <c r="G446" s="791">
        <f>SUMIF('yardi_data (2)'!$A:$A,$A446,'yardi_data (2)'!$G:$G)</f>
        <v>0</v>
      </c>
      <c r="H446" s="792"/>
    </row>
    <row r="447" spans="1:8">
      <c r="A447" s="181" t="s">
        <v>889</v>
      </c>
      <c r="B447" s="181" t="s">
        <v>890</v>
      </c>
      <c r="C447" s="791">
        <f>SUMIF('yardi_data (2)'!$A:$A,$A447,'yardi_data (2)'!C:C)</f>
        <v>0</v>
      </c>
      <c r="D447" s="791">
        <f>SUMIF('yardi_data (2)'!$A:$A,$A447,'yardi_data (2)'!$D:$D)</f>
        <v>0</v>
      </c>
      <c r="E447" s="791">
        <f>SUMIF('yardi_data (2)'!$A:$A,$A447,'yardi_data (2)'!$E:$E)</f>
        <v>0</v>
      </c>
      <c r="F447" s="791">
        <f>SUMIF('yardi_data (2)'!$A:$A,$A447,'yardi_data (2)'!$F:$F)</f>
        <v>0</v>
      </c>
      <c r="G447" s="791">
        <f>SUMIF('yardi_data (2)'!$A:$A,$A447,'yardi_data (2)'!$G:$G)</f>
        <v>0</v>
      </c>
      <c r="H447" s="792"/>
    </row>
    <row r="448" spans="1:8">
      <c r="A448" s="182" t="s">
        <v>891</v>
      </c>
      <c r="B448" s="182" t="s">
        <v>892</v>
      </c>
      <c r="C448" s="791">
        <f>SUMIF('yardi_data (2)'!$A:$A,$A448,'yardi_data (2)'!C:C)</f>
        <v>0</v>
      </c>
      <c r="D448" s="791">
        <f>SUMIF('yardi_data (2)'!$A:$A,$A448,'yardi_data (2)'!$D:$D)</f>
        <v>0</v>
      </c>
      <c r="E448" s="791">
        <f>SUMIF('yardi_data (2)'!$A:$A,$A448,'yardi_data (2)'!$E:$E)</f>
        <v>0</v>
      </c>
      <c r="F448" s="791">
        <f>SUMIF('yardi_data (2)'!$A:$A,$A448,'yardi_data (2)'!$F:$F)</f>
        <v>0</v>
      </c>
      <c r="G448" s="791">
        <f>SUMIF('yardi_data (2)'!$A:$A,$A448,'yardi_data (2)'!$G:$G)</f>
        <v>0</v>
      </c>
      <c r="H448" s="792"/>
    </row>
    <row r="449" spans="1:8">
      <c r="A449" s="181" t="s">
        <v>893</v>
      </c>
      <c r="B449" s="181" t="s">
        <v>894</v>
      </c>
      <c r="C449" s="791">
        <f>SUMIF('yardi_data (2)'!$A:$A,$A449,'yardi_data (2)'!C:C)</f>
        <v>0</v>
      </c>
      <c r="D449" s="791">
        <f>SUMIF('yardi_data (2)'!$A:$A,$A449,'yardi_data (2)'!$D:$D)</f>
        <v>0</v>
      </c>
      <c r="E449" s="791">
        <f>SUMIF('yardi_data (2)'!$A:$A,$A449,'yardi_data (2)'!$E:$E)</f>
        <v>0</v>
      </c>
      <c r="F449" s="791">
        <f>SUMIF('yardi_data (2)'!$A:$A,$A449,'yardi_data (2)'!$F:$F)</f>
        <v>0</v>
      </c>
      <c r="G449" s="791">
        <f>SUMIF('yardi_data (2)'!$A:$A,$A449,'yardi_data (2)'!$G:$G)</f>
        <v>0</v>
      </c>
      <c r="H449" s="792"/>
    </row>
    <row r="450" spans="1:8">
      <c r="A450" s="182" t="s">
        <v>895</v>
      </c>
      <c r="B450" s="182" t="s">
        <v>896</v>
      </c>
      <c r="C450" s="791">
        <f>SUMIF('yardi_data (2)'!$A:$A,$A450,'yardi_data (2)'!C:C)</f>
        <v>0</v>
      </c>
      <c r="D450" s="791">
        <f>SUMIF('yardi_data (2)'!$A:$A,$A450,'yardi_data (2)'!$D:$D)</f>
        <v>0</v>
      </c>
      <c r="E450" s="791">
        <f>SUMIF('yardi_data (2)'!$A:$A,$A450,'yardi_data (2)'!$E:$E)</f>
        <v>0</v>
      </c>
      <c r="F450" s="791">
        <f>SUMIF('yardi_data (2)'!$A:$A,$A450,'yardi_data (2)'!$F:$F)</f>
        <v>0</v>
      </c>
      <c r="G450" s="791">
        <f>SUMIF('yardi_data (2)'!$A:$A,$A450,'yardi_data (2)'!$G:$G)</f>
        <v>0</v>
      </c>
      <c r="H450" s="792"/>
    </row>
    <row r="451" spans="1:8">
      <c r="A451" s="181" t="s">
        <v>897</v>
      </c>
      <c r="B451" s="181" t="s">
        <v>645</v>
      </c>
      <c r="C451" s="791">
        <f>SUMIF('yardi_data (2)'!$A:$A,$A451,'yardi_data (2)'!C:C)</f>
        <v>0</v>
      </c>
      <c r="D451" s="791">
        <f>SUMIF('yardi_data (2)'!$A:$A,$A451,'yardi_data (2)'!$D:$D)</f>
        <v>0</v>
      </c>
      <c r="E451" s="791">
        <f>SUMIF('yardi_data (2)'!$A:$A,$A451,'yardi_data (2)'!$E:$E)</f>
        <v>0</v>
      </c>
      <c r="F451" s="791">
        <f>SUMIF('yardi_data (2)'!$A:$A,$A451,'yardi_data (2)'!$F:$F)</f>
        <v>0</v>
      </c>
      <c r="G451" s="791">
        <f>SUMIF('yardi_data (2)'!$A:$A,$A451,'yardi_data (2)'!$G:$G)</f>
        <v>0</v>
      </c>
      <c r="H451" s="792"/>
    </row>
    <row r="452" spans="1:8">
      <c r="A452" s="182" t="s">
        <v>898</v>
      </c>
      <c r="B452" s="182" t="s">
        <v>899</v>
      </c>
      <c r="C452" s="791">
        <f>SUMIF('yardi_data (2)'!$A:$A,$A452,'yardi_data (2)'!C:C)</f>
        <v>0</v>
      </c>
      <c r="D452" s="791">
        <f>SUMIF('yardi_data (2)'!$A:$A,$A452,'yardi_data (2)'!$D:$D)</f>
        <v>0</v>
      </c>
      <c r="E452" s="791">
        <f>SUMIF('yardi_data (2)'!$A:$A,$A452,'yardi_data (2)'!$E:$E)</f>
        <v>0</v>
      </c>
      <c r="F452" s="791">
        <f>SUMIF('yardi_data (2)'!$A:$A,$A452,'yardi_data (2)'!$F:$F)</f>
        <v>0</v>
      </c>
      <c r="G452" s="791">
        <f>SUMIF('yardi_data (2)'!$A:$A,$A452,'yardi_data (2)'!$G:$G)</f>
        <v>0</v>
      </c>
      <c r="H452" s="792"/>
    </row>
    <row r="453" spans="1:8">
      <c r="A453" s="181" t="s">
        <v>900</v>
      </c>
      <c r="B453" s="181" t="s">
        <v>901</v>
      </c>
      <c r="C453" s="791">
        <f>SUMIF('yardi_data (2)'!$A:$A,$A453,'yardi_data (2)'!C:C)</f>
        <v>0</v>
      </c>
      <c r="D453" s="791">
        <f>SUMIF('yardi_data (2)'!$A:$A,$A453,'yardi_data (2)'!$D:$D)</f>
        <v>0</v>
      </c>
      <c r="E453" s="791">
        <f>SUMIF('yardi_data (2)'!$A:$A,$A453,'yardi_data (2)'!$E:$E)</f>
        <v>0</v>
      </c>
      <c r="F453" s="791">
        <f>SUMIF('yardi_data (2)'!$A:$A,$A453,'yardi_data (2)'!$F:$F)</f>
        <v>0</v>
      </c>
      <c r="G453" s="791">
        <f>SUMIF('yardi_data (2)'!$A:$A,$A453,'yardi_data (2)'!$G:$G)</f>
        <v>0</v>
      </c>
      <c r="H453" s="792"/>
    </row>
    <row r="454" spans="1:8">
      <c r="A454" s="182" t="s">
        <v>902</v>
      </c>
      <c r="B454" s="182" t="s">
        <v>903</v>
      </c>
      <c r="C454" s="791">
        <f>SUMIF('yardi_data (2)'!$A:$A,$A454,'yardi_data (2)'!C:C)</f>
        <v>0</v>
      </c>
      <c r="D454" s="791">
        <f>SUMIF('yardi_data (2)'!$A:$A,$A454,'yardi_data (2)'!$D:$D)</f>
        <v>0</v>
      </c>
      <c r="E454" s="791">
        <f>SUMIF('yardi_data (2)'!$A:$A,$A454,'yardi_data (2)'!$E:$E)</f>
        <v>0</v>
      </c>
      <c r="F454" s="791">
        <f>SUMIF('yardi_data (2)'!$A:$A,$A454,'yardi_data (2)'!$F:$F)</f>
        <v>0</v>
      </c>
      <c r="G454" s="791">
        <f>SUMIF('yardi_data (2)'!$A:$A,$A454,'yardi_data (2)'!$G:$G)</f>
        <v>0</v>
      </c>
      <c r="H454" s="792"/>
    </row>
    <row r="455" spans="1:8">
      <c r="A455" s="181" t="s">
        <v>904</v>
      </c>
      <c r="B455" s="181" t="s">
        <v>905</v>
      </c>
      <c r="C455" s="791">
        <f>SUMIF('yardi_data (2)'!$A:$A,$A455,'yardi_data (2)'!C:C)</f>
        <v>0</v>
      </c>
      <c r="D455" s="791">
        <f>SUMIF('yardi_data (2)'!$A:$A,$A455,'yardi_data (2)'!$D:$D)</f>
        <v>0</v>
      </c>
      <c r="E455" s="791">
        <f>SUMIF('yardi_data (2)'!$A:$A,$A455,'yardi_data (2)'!$E:$E)</f>
        <v>0</v>
      </c>
      <c r="F455" s="791">
        <f>SUMIF('yardi_data (2)'!$A:$A,$A455,'yardi_data (2)'!$F:$F)</f>
        <v>0</v>
      </c>
      <c r="G455" s="791">
        <f>SUMIF('yardi_data (2)'!$A:$A,$A455,'yardi_data (2)'!$G:$G)</f>
        <v>0</v>
      </c>
      <c r="H455" s="792"/>
    </row>
    <row r="456" spans="1:8">
      <c r="A456" s="182" t="s">
        <v>906</v>
      </c>
      <c r="B456" s="182" t="s">
        <v>907</v>
      </c>
      <c r="C456" s="791">
        <f>SUMIF('yardi_data (2)'!$A:$A,$A456,'yardi_data (2)'!C:C)</f>
        <v>0</v>
      </c>
      <c r="D456" s="791">
        <f>SUMIF('yardi_data (2)'!$A:$A,$A456,'yardi_data (2)'!$D:$D)</f>
        <v>0</v>
      </c>
      <c r="E456" s="791">
        <f>SUMIF('yardi_data (2)'!$A:$A,$A456,'yardi_data (2)'!$E:$E)</f>
        <v>0</v>
      </c>
      <c r="F456" s="791">
        <f>SUMIF('yardi_data (2)'!$A:$A,$A456,'yardi_data (2)'!$F:$F)</f>
        <v>0</v>
      </c>
      <c r="G456" s="791">
        <f>SUMIF('yardi_data (2)'!$A:$A,$A456,'yardi_data (2)'!$G:$G)</f>
        <v>0</v>
      </c>
      <c r="H456" s="792"/>
    </row>
    <row r="457" spans="1:8">
      <c r="A457" s="181" t="s">
        <v>908</v>
      </c>
      <c r="B457" s="181" t="s">
        <v>909</v>
      </c>
      <c r="C457" s="791">
        <f>SUMIF('yardi_data (2)'!$A:$A,$A457,'yardi_data (2)'!C:C)</f>
        <v>0</v>
      </c>
      <c r="D457" s="791">
        <f>SUMIF('yardi_data (2)'!$A:$A,$A457,'yardi_data (2)'!$D:$D)</f>
        <v>0</v>
      </c>
      <c r="E457" s="791">
        <f>SUMIF('yardi_data (2)'!$A:$A,$A457,'yardi_data (2)'!$E:$E)</f>
        <v>0</v>
      </c>
      <c r="F457" s="791">
        <f>SUMIF('yardi_data (2)'!$A:$A,$A457,'yardi_data (2)'!$F:$F)</f>
        <v>0</v>
      </c>
      <c r="G457" s="791">
        <f>SUMIF('yardi_data (2)'!$A:$A,$A457,'yardi_data (2)'!$G:$G)</f>
        <v>0</v>
      </c>
      <c r="H457" s="792"/>
    </row>
    <row r="458" spans="1:8">
      <c r="A458" s="182" t="s">
        <v>910</v>
      </c>
      <c r="B458" s="182" t="s">
        <v>911</v>
      </c>
      <c r="C458" s="791">
        <f>SUMIF('yardi_data (2)'!$A:$A,$A458,'yardi_data (2)'!C:C)</f>
        <v>0</v>
      </c>
      <c r="D458" s="791">
        <f>SUMIF('yardi_data (2)'!$A:$A,$A458,'yardi_data (2)'!$D:$D)</f>
        <v>0</v>
      </c>
      <c r="E458" s="791">
        <f>SUMIF('yardi_data (2)'!$A:$A,$A458,'yardi_data (2)'!$E:$E)</f>
        <v>0</v>
      </c>
      <c r="F458" s="791">
        <f>SUMIF('yardi_data (2)'!$A:$A,$A458,'yardi_data (2)'!$F:$F)</f>
        <v>0</v>
      </c>
      <c r="G458" s="791">
        <f>SUMIF('yardi_data (2)'!$A:$A,$A458,'yardi_data (2)'!$G:$G)</f>
        <v>0</v>
      </c>
      <c r="H458" s="792"/>
    </row>
    <row r="459" spans="1:8">
      <c r="A459" s="181" t="s">
        <v>912</v>
      </c>
      <c r="B459" s="181" t="s">
        <v>913</v>
      </c>
      <c r="C459" s="791">
        <f>SUMIF('yardi_data (2)'!$A:$A,$A459,'yardi_data (2)'!C:C)</f>
        <v>0</v>
      </c>
      <c r="D459" s="791">
        <f>SUMIF('yardi_data (2)'!$A:$A,$A459,'yardi_data (2)'!$D:$D)</f>
        <v>0</v>
      </c>
      <c r="E459" s="791">
        <f>SUMIF('yardi_data (2)'!$A:$A,$A459,'yardi_data (2)'!$E:$E)</f>
        <v>0</v>
      </c>
      <c r="F459" s="791">
        <f>SUMIF('yardi_data (2)'!$A:$A,$A459,'yardi_data (2)'!$F:$F)</f>
        <v>0</v>
      </c>
      <c r="G459" s="791">
        <f>SUMIF('yardi_data (2)'!$A:$A,$A459,'yardi_data (2)'!$G:$G)</f>
        <v>0</v>
      </c>
      <c r="H459" s="792"/>
    </row>
    <row r="460" spans="1:8">
      <c r="A460" s="182" t="s">
        <v>914</v>
      </c>
      <c r="B460" s="182" t="s">
        <v>915</v>
      </c>
      <c r="C460" s="791">
        <f>SUMIF('yardi_data (2)'!$A:$A,$A460,'yardi_data (2)'!C:C)</f>
        <v>0</v>
      </c>
      <c r="D460" s="791">
        <f>SUMIF('yardi_data (2)'!$A:$A,$A460,'yardi_data (2)'!$D:$D)</f>
        <v>0</v>
      </c>
      <c r="E460" s="791">
        <f>SUMIF('yardi_data (2)'!$A:$A,$A460,'yardi_data (2)'!$E:$E)</f>
        <v>0</v>
      </c>
      <c r="F460" s="791">
        <f>SUMIF('yardi_data (2)'!$A:$A,$A460,'yardi_data (2)'!$F:$F)</f>
        <v>0</v>
      </c>
      <c r="G460" s="791">
        <f>SUMIF('yardi_data (2)'!$A:$A,$A460,'yardi_data (2)'!$G:$G)</f>
        <v>0</v>
      </c>
      <c r="H460" s="792"/>
    </row>
    <row r="461" spans="1:8">
      <c r="A461" s="181" t="s">
        <v>916</v>
      </c>
      <c r="B461" s="181" t="s">
        <v>917</v>
      </c>
      <c r="C461" s="791">
        <f>SUMIF('yardi_data (2)'!$A:$A,$A461,'yardi_data (2)'!C:C)</f>
        <v>0</v>
      </c>
      <c r="D461" s="791">
        <f>SUMIF('yardi_data (2)'!$A:$A,$A461,'yardi_data (2)'!$D:$D)</f>
        <v>0</v>
      </c>
      <c r="E461" s="791">
        <f>SUMIF('yardi_data (2)'!$A:$A,$A461,'yardi_data (2)'!$E:$E)</f>
        <v>0</v>
      </c>
      <c r="F461" s="791">
        <f>SUMIF('yardi_data (2)'!$A:$A,$A461,'yardi_data (2)'!$F:$F)</f>
        <v>0</v>
      </c>
      <c r="G461" s="791">
        <f>SUMIF('yardi_data (2)'!$A:$A,$A461,'yardi_data (2)'!$G:$G)</f>
        <v>0</v>
      </c>
      <c r="H461" s="792"/>
    </row>
    <row r="462" spans="1:8">
      <c r="A462" s="182" t="s">
        <v>918</v>
      </c>
      <c r="B462" s="182" t="s">
        <v>919</v>
      </c>
      <c r="C462" s="791">
        <f>SUMIF('yardi_data (2)'!$A:$A,$A462,'yardi_data (2)'!C:C)</f>
        <v>0</v>
      </c>
      <c r="D462" s="791">
        <f>SUMIF('yardi_data (2)'!$A:$A,$A462,'yardi_data (2)'!$D:$D)</f>
        <v>0</v>
      </c>
      <c r="E462" s="791">
        <f>SUMIF('yardi_data (2)'!$A:$A,$A462,'yardi_data (2)'!$E:$E)</f>
        <v>0</v>
      </c>
      <c r="F462" s="791">
        <f>SUMIF('yardi_data (2)'!$A:$A,$A462,'yardi_data (2)'!$F:$F)</f>
        <v>0</v>
      </c>
      <c r="G462" s="791">
        <f>SUMIF('yardi_data (2)'!$A:$A,$A462,'yardi_data (2)'!$G:$G)</f>
        <v>0</v>
      </c>
      <c r="H462" s="792"/>
    </row>
    <row r="463" spans="1:8">
      <c r="A463" s="181" t="s">
        <v>920</v>
      </c>
      <c r="B463" s="181" t="s">
        <v>921</v>
      </c>
      <c r="C463" s="791">
        <f>SUMIF('yardi_data (2)'!$A:$A,$A463,'yardi_data (2)'!C:C)</f>
        <v>79142.23</v>
      </c>
      <c r="D463" s="791">
        <f>SUMIF('yardi_data (2)'!$A:$A,$A463,'yardi_data (2)'!$D:$D)</f>
        <v>77598.45</v>
      </c>
      <c r="E463" s="791">
        <f>SUMIF('yardi_data (2)'!$A:$A,$A463,'yardi_data (2)'!$E:$E)</f>
        <v>45896.47</v>
      </c>
      <c r="F463" s="791">
        <f>SUMIF('yardi_data (2)'!$A:$A,$A463,'yardi_data (2)'!$F:$F)</f>
        <v>60000</v>
      </c>
      <c r="G463" s="791">
        <f>SUMIF('yardi_data (2)'!$A:$A,$A463,'yardi_data (2)'!$G:$G)</f>
        <v>90000</v>
      </c>
      <c r="H463" s="792"/>
    </row>
    <row r="464" spans="1:8">
      <c r="A464" s="182" t="s">
        <v>922</v>
      </c>
      <c r="B464" s="182" t="s">
        <v>923</v>
      </c>
      <c r="C464" s="791">
        <f>SUMIF('yardi_data (2)'!$A:$A,$A464,'yardi_data (2)'!C:C)</f>
        <v>0</v>
      </c>
      <c r="D464" s="791">
        <f>SUMIF('yardi_data (2)'!$A:$A,$A464,'yardi_data (2)'!$D:$D)</f>
        <v>0</v>
      </c>
      <c r="E464" s="791">
        <f>SUMIF('yardi_data (2)'!$A:$A,$A464,'yardi_data (2)'!$E:$E)</f>
        <v>0</v>
      </c>
      <c r="F464" s="791">
        <f>SUMIF('yardi_data (2)'!$A:$A,$A464,'yardi_data (2)'!$F:$F)</f>
        <v>0</v>
      </c>
      <c r="G464" s="791">
        <f>SUMIF('yardi_data (2)'!$A:$A,$A464,'yardi_data (2)'!$G:$G)</f>
        <v>0</v>
      </c>
      <c r="H464" s="792"/>
    </row>
    <row r="465" spans="1:8">
      <c r="A465" s="181" t="s">
        <v>924</v>
      </c>
      <c r="B465" s="181" t="s">
        <v>925</v>
      </c>
      <c r="C465" s="791">
        <f>SUMIF('yardi_data (2)'!$A:$A,$A465,'yardi_data (2)'!C:C)</f>
        <v>0</v>
      </c>
      <c r="D465" s="791">
        <f>SUMIF('yardi_data (2)'!$A:$A,$A465,'yardi_data (2)'!$D:$D)</f>
        <v>0</v>
      </c>
      <c r="E465" s="791">
        <f>SUMIF('yardi_data (2)'!$A:$A,$A465,'yardi_data (2)'!$E:$E)</f>
        <v>0</v>
      </c>
      <c r="F465" s="791">
        <f>SUMIF('yardi_data (2)'!$A:$A,$A465,'yardi_data (2)'!$F:$F)</f>
        <v>0</v>
      </c>
      <c r="G465" s="791">
        <f>SUMIF('yardi_data (2)'!$A:$A,$A465,'yardi_data (2)'!$G:$G)</f>
        <v>0</v>
      </c>
      <c r="H465" s="792"/>
    </row>
    <row r="466" spans="1:8">
      <c r="A466" s="182" t="s">
        <v>926</v>
      </c>
      <c r="B466" s="182" t="s">
        <v>927</v>
      </c>
      <c r="C466" s="791">
        <f>SUMIF('yardi_data (2)'!$A:$A,$A466,'yardi_data (2)'!C:C)</f>
        <v>0</v>
      </c>
      <c r="D466" s="791">
        <f>SUMIF('yardi_data (2)'!$A:$A,$A466,'yardi_data (2)'!$D:$D)</f>
        <v>0</v>
      </c>
      <c r="E466" s="791">
        <f>SUMIF('yardi_data (2)'!$A:$A,$A466,'yardi_data (2)'!$E:$E)</f>
        <v>0</v>
      </c>
      <c r="F466" s="791">
        <f>SUMIF('yardi_data (2)'!$A:$A,$A466,'yardi_data (2)'!$F:$F)</f>
        <v>0</v>
      </c>
      <c r="G466" s="791">
        <f>SUMIF('yardi_data (2)'!$A:$A,$A466,'yardi_data (2)'!$G:$G)</f>
        <v>0</v>
      </c>
      <c r="H466" s="792"/>
    </row>
    <row r="467" spans="1:8">
      <c r="A467" s="181" t="s">
        <v>928</v>
      </c>
      <c r="B467" s="181" t="s">
        <v>929</v>
      </c>
      <c r="C467" s="791">
        <f>SUMIF('yardi_data (2)'!$A:$A,$A467,'yardi_data (2)'!C:C)</f>
        <v>0</v>
      </c>
      <c r="D467" s="791">
        <f>SUMIF('yardi_data (2)'!$A:$A,$A467,'yardi_data (2)'!$D:$D)</f>
        <v>250.36</v>
      </c>
      <c r="E467" s="791">
        <f>SUMIF('yardi_data (2)'!$A:$A,$A467,'yardi_data (2)'!$E:$E)</f>
        <v>0</v>
      </c>
      <c r="F467" s="791">
        <f>SUMIF('yardi_data (2)'!$A:$A,$A467,'yardi_data (2)'!$F:$F)</f>
        <v>0</v>
      </c>
      <c r="G467" s="791">
        <f>SUMIF('yardi_data (2)'!$A:$A,$A467,'yardi_data (2)'!$G:$G)</f>
        <v>0</v>
      </c>
      <c r="H467" s="792"/>
    </row>
    <row r="468" spans="1:8">
      <c r="A468" s="182" t="s">
        <v>930</v>
      </c>
      <c r="B468" s="182" t="s">
        <v>931</v>
      </c>
      <c r="C468" s="791">
        <f>SUMIF('yardi_data (2)'!$A:$A,$A468,'yardi_data (2)'!C:C)</f>
        <v>0</v>
      </c>
      <c r="D468" s="791">
        <f>SUMIF('yardi_data (2)'!$A:$A,$A468,'yardi_data (2)'!$D:$D)</f>
        <v>0</v>
      </c>
      <c r="E468" s="791">
        <f>SUMIF('yardi_data (2)'!$A:$A,$A468,'yardi_data (2)'!$E:$E)</f>
        <v>0</v>
      </c>
      <c r="F468" s="791">
        <f>SUMIF('yardi_data (2)'!$A:$A,$A468,'yardi_data (2)'!$F:$F)</f>
        <v>0</v>
      </c>
      <c r="G468" s="791">
        <f>SUMIF('yardi_data (2)'!$A:$A,$A468,'yardi_data (2)'!$G:$G)</f>
        <v>0</v>
      </c>
      <c r="H468" s="792"/>
    </row>
    <row r="469" spans="1:8">
      <c r="A469" s="181" t="s">
        <v>932</v>
      </c>
      <c r="B469" s="181" t="s">
        <v>933</v>
      </c>
      <c r="C469" s="791">
        <f>SUMIF('yardi_data (2)'!$A:$A,$A469,'yardi_data (2)'!C:C)</f>
        <v>0</v>
      </c>
      <c r="D469" s="791">
        <f>SUMIF('yardi_data (2)'!$A:$A,$A469,'yardi_data (2)'!$D:$D)</f>
        <v>0</v>
      </c>
      <c r="E469" s="791">
        <f>SUMIF('yardi_data (2)'!$A:$A,$A469,'yardi_data (2)'!$E:$E)</f>
        <v>0</v>
      </c>
      <c r="F469" s="791">
        <f>SUMIF('yardi_data (2)'!$A:$A,$A469,'yardi_data (2)'!$F:$F)</f>
        <v>0</v>
      </c>
      <c r="G469" s="791">
        <f>SUMIF('yardi_data (2)'!$A:$A,$A469,'yardi_data (2)'!$G:$G)</f>
        <v>0</v>
      </c>
      <c r="H469" s="792"/>
    </row>
    <row r="470" spans="1:8">
      <c r="A470" s="182" t="s">
        <v>934</v>
      </c>
      <c r="B470" s="182" t="s">
        <v>935</v>
      </c>
      <c r="C470" s="791">
        <f>SUMIF('yardi_data (2)'!$A:$A,$A470,'yardi_data (2)'!C:C)</f>
        <v>0</v>
      </c>
      <c r="D470" s="791">
        <f>SUMIF('yardi_data (2)'!$A:$A,$A470,'yardi_data (2)'!$D:$D)</f>
        <v>0</v>
      </c>
      <c r="E470" s="791">
        <f>SUMIF('yardi_data (2)'!$A:$A,$A470,'yardi_data (2)'!$E:$E)</f>
        <v>0</v>
      </c>
      <c r="F470" s="791">
        <f>SUMIF('yardi_data (2)'!$A:$A,$A470,'yardi_data (2)'!$F:$F)</f>
        <v>0</v>
      </c>
      <c r="G470" s="791">
        <f>SUMIF('yardi_data (2)'!$A:$A,$A470,'yardi_data (2)'!$G:$G)</f>
        <v>0</v>
      </c>
      <c r="H470" s="792"/>
    </row>
    <row r="471" spans="1:8">
      <c r="A471" s="181" t="s">
        <v>936</v>
      </c>
      <c r="B471" s="181" t="s">
        <v>937</v>
      </c>
      <c r="C471" s="791">
        <f>SUMIF('yardi_data (2)'!$A:$A,$A471,'yardi_data (2)'!C:C)</f>
        <v>0</v>
      </c>
      <c r="D471" s="791">
        <f>SUMIF('yardi_data (2)'!$A:$A,$A471,'yardi_data (2)'!$D:$D)</f>
        <v>0</v>
      </c>
      <c r="E471" s="791">
        <f>SUMIF('yardi_data (2)'!$A:$A,$A471,'yardi_data (2)'!$E:$E)</f>
        <v>0</v>
      </c>
      <c r="F471" s="791">
        <f>SUMIF('yardi_data (2)'!$A:$A,$A471,'yardi_data (2)'!$F:$F)</f>
        <v>1333.36</v>
      </c>
      <c r="G471" s="791">
        <f>SUMIF('yardi_data (2)'!$A:$A,$A471,'yardi_data (2)'!$G:$G)</f>
        <v>2000</v>
      </c>
      <c r="H471" s="792"/>
    </row>
    <row r="472" spans="1:8">
      <c r="A472" s="182" t="s">
        <v>938</v>
      </c>
      <c r="B472" s="182" t="s">
        <v>939</v>
      </c>
      <c r="C472" s="791">
        <f>SUMIF('yardi_data (2)'!$A:$A,$A472,'yardi_data (2)'!C:C)</f>
        <v>0</v>
      </c>
      <c r="D472" s="791">
        <f>SUMIF('yardi_data (2)'!$A:$A,$A472,'yardi_data (2)'!$D:$D)</f>
        <v>34072.44</v>
      </c>
      <c r="E472" s="791">
        <f>SUMIF('yardi_data (2)'!$A:$A,$A472,'yardi_data (2)'!$E:$E)</f>
        <v>17894.810000000001</v>
      </c>
      <c r="F472" s="791">
        <f>SUMIF('yardi_data (2)'!$A:$A,$A472,'yardi_data (2)'!$F:$F)</f>
        <v>10000</v>
      </c>
      <c r="G472" s="791">
        <f>SUMIF('yardi_data (2)'!$A:$A,$A472,'yardi_data (2)'!$G:$G)</f>
        <v>10000</v>
      </c>
      <c r="H472" s="792"/>
    </row>
    <row r="473" spans="1:8">
      <c r="A473" s="181" t="s">
        <v>940</v>
      </c>
      <c r="B473" s="181" t="s">
        <v>941</v>
      </c>
      <c r="C473" s="791">
        <f>SUMIF('yardi_data (2)'!$A:$A,$A473,'yardi_data (2)'!C:C)</f>
        <v>24731.78</v>
      </c>
      <c r="D473" s="791">
        <f>SUMIF('yardi_data (2)'!$A:$A,$A473,'yardi_data (2)'!$D:$D)</f>
        <v>35561.31</v>
      </c>
      <c r="E473" s="791">
        <f>SUMIF('yardi_data (2)'!$A:$A,$A473,'yardi_data (2)'!$E:$E)</f>
        <v>2955.95</v>
      </c>
      <c r="F473" s="791">
        <f>SUMIF('yardi_data (2)'!$A:$A,$A473,'yardi_data (2)'!$F:$F)</f>
        <v>23333.360000000001</v>
      </c>
      <c r="G473" s="791">
        <f>SUMIF('yardi_data (2)'!$A:$A,$A473,'yardi_data (2)'!$G:$G)</f>
        <v>35000</v>
      </c>
      <c r="H473" s="792"/>
    </row>
    <row r="474" spans="1:8">
      <c r="A474" s="182" t="s">
        <v>942</v>
      </c>
      <c r="B474" s="182" t="s">
        <v>943</v>
      </c>
      <c r="C474" s="791">
        <f>SUMIF('yardi_data (2)'!$A:$A,$A474,'yardi_data (2)'!C:C)</f>
        <v>262900.3</v>
      </c>
      <c r="D474" s="791">
        <f>SUMIF('yardi_data (2)'!$A:$A,$A474,'yardi_data (2)'!$D:$D)</f>
        <v>190435.85</v>
      </c>
      <c r="E474" s="791">
        <f>SUMIF('yardi_data (2)'!$A:$A,$A474,'yardi_data (2)'!$E:$E)</f>
        <v>248790.47</v>
      </c>
      <c r="F474" s="791">
        <f>SUMIF('yardi_data (2)'!$A:$A,$A474,'yardi_data (2)'!$F:$F)</f>
        <v>133333.35999999999</v>
      </c>
      <c r="G474" s="791">
        <f>SUMIF('yardi_data (2)'!$A:$A,$A474,'yardi_data (2)'!$G:$G)</f>
        <v>200000</v>
      </c>
      <c r="H474" s="792"/>
    </row>
    <row r="475" spans="1:8">
      <c r="A475" s="181" t="s">
        <v>944</v>
      </c>
      <c r="B475" s="181" t="s">
        <v>945</v>
      </c>
      <c r="C475" s="791">
        <f>SUMIF('yardi_data (2)'!$A:$A,$A475,'yardi_data (2)'!C:C)</f>
        <v>19749.939999999999</v>
      </c>
      <c r="D475" s="791">
        <f>SUMIF('yardi_data (2)'!$A:$A,$A475,'yardi_data (2)'!$D:$D)</f>
        <v>52687.55</v>
      </c>
      <c r="E475" s="791">
        <f>SUMIF('yardi_data (2)'!$A:$A,$A475,'yardi_data (2)'!$E:$E)</f>
        <v>10038.280000000001</v>
      </c>
      <c r="F475" s="791">
        <f>SUMIF('yardi_data (2)'!$A:$A,$A475,'yardi_data (2)'!$F:$F)</f>
        <v>5000</v>
      </c>
      <c r="G475" s="791">
        <f>SUMIF('yardi_data (2)'!$A:$A,$A475,'yardi_data (2)'!$G:$G)</f>
        <v>5000</v>
      </c>
      <c r="H475" s="792"/>
    </row>
    <row r="476" spans="1:8">
      <c r="A476" s="182" t="s">
        <v>946</v>
      </c>
      <c r="B476" s="182" t="s">
        <v>631</v>
      </c>
      <c r="C476" s="791">
        <f>SUMIF('yardi_data (2)'!$A:$A,$A476,'yardi_data (2)'!C:C)</f>
        <v>7130.21</v>
      </c>
      <c r="D476" s="791">
        <f>SUMIF('yardi_data (2)'!$A:$A,$A476,'yardi_data (2)'!$D:$D)</f>
        <v>7100</v>
      </c>
      <c r="E476" s="791">
        <f>SUMIF('yardi_data (2)'!$A:$A,$A476,'yardi_data (2)'!$E:$E)</f>
        <v>3290.21</v>
      </c>
      <c r="F476" s="791">
        <f>SUMIF('yardi_data (2)'!$A:$A,$A476,'yardi_data (2)'!$F:$F)</f>
        <v>6666.64</v>
      </c>
      <c r="G476" s="791">
        <f>SUMIF('yardi_data (2)'!$A:$A,$A476,'yardi_data (2)'!$G:$G)</f>
        <v>10000</v>
      </c>
      <c r="H476" s="792"/>
    </row>
    <row r="477" spans="1:8">
      <c r="A477" s="181" t="s">
        <v>947</v>
      </c>
      <c r="B477" s="181" t="s">
        <v>948</v>
      </c>
      <c r="C477" s="791">
        <f>SUMIF('yardi_data (2)'!$A:$A,$A477,'yardi_data (2)'!C:C)</f>
        <v>36541.39</v>
      </c>
      <c r="D477" s="791">
        <f>SUMIF('yardi_data (2)'!$A:$A,$A477,'yardi_data (2)'!$D:$D)</f>
        <v>42944.42</v>
      </c>
      <c r="E477" s="791">
        <f>SUMIF('yardi_data (2)'!$A:$A,$A477,'yardi_data (2)'!$E:$E)</f>
        <v>25933.16</v>
      </c>
      <c r="F477" s="791">
        <f>SUMIF('yardi_data (2)'!$A:$A,$A477,'yardi_data (2)'!$F:$F)</f>
        <v>14000</v>
      </c>
      <c r="G477" s="791">
        <f>SUMIF('yardi_data (2)'!$A:$A,$A477,'yardi_data (2)'!$G:$G)</f>
        <v>21000</v>
      </c>
      <c r="H477" s="792"/>
    </row>
    <row r="478" spans="1:8">
      <c r="A478" s="182" t="s">
        <v>949</v>
      </c>
      <c r="B478" s="182" t="s">
        <v>950</v>
      </c>
      <c r="C478" s="791">
        <f>SUMIF('yardi_data (2)'!$A:$A,$A478,'yardi_data (2)'!C:C)</f>
        <v>0</v>
      </c>
      <c r="D478" s="791">
        <f>SUMIF('yardi_data (2)'!$A:$A,$A478,'yardi_data (2)'!$D:$D)</f>
        <v>0</v>
      </c>
      <c r="E478" s="791">
        <f>SUMIF('yardi_data (2)'!$A:$A,$A478,'yardi_data (2)'!$E:$E)</f>
        <v>11660.51</v>
      </c>
      <c r="F478" s="791">
        <f>SUMIF('yardi_data (2)'!$A:$A,$A478,'yardi_data (2)'!$F:$F)</f>
        <v>0</v>
      </c>
      <c r="G478" s="791">
        <f>SUMIF('yardi_data (2)'!$A:$A,$A478,'yardi_data (2)'!$G:$G)</f>
        <v>0</v>
      </c>
      <c r="H478" s="792"/>
    </row>
    <row r="479" spans="1:8">
      <c r="A479" s="181" t="s">
        <v>951</v>
      </c>
      <c r="B479" s="181" t="s">
        <v>952</v>
      </c>
      <c r="C479" s="791">
        <f>SUMIF('yardi_data (2)'!$A:$A,$A479,'yardi_data (2)'!C:C)</f>
        <v>0</v>
      </c>
      <c r="D479" s="791">
        <f>SUMIF('yardi_data (2)'!$A:$A,$A479,'yardi_data (2)'!$D:$D)</f>
        <v>0</v>
      </c>
      <c r="E479" s="791">
        <f>SUMIF('yardi_data (2)'!$A:$A,$A479,'yardi_data (2)'!$E:$E)</f>
        <v>0</v>
      </c>
      <c r="F479" s="791">
        <f>SUMIF('yardi_data (2)'!$A:$A,$A479,'yardi_data (2)'!$F:$F)</f>
        <v>0</v>
      </c>
      <c r="G479" s="791">
        <f>SUMIF('yardi_data (2)'!$A:$A,$A479,'yardi_data (2)'!$G:$G)</f>
        <v>0</v>
      </c>
      <c r="H479" s="792"/>
    </row>
    <row r="480" spans="1:8">
      <c r="A480" s="182" t="s">
        <v>953</v>
      </c>
      <c r="B480" s="182" t="s">
        <v>954</v>
      </c>
      <c r="C480" s="791">
        <f>SUMIF('yardi_data (2)'!$A:$A,$A480,'yardi_data (2)'!C:C)</f>
        <v>9020.2999999999993</v>
      </c>
      <c r="D480" s="791">
        <f>SUMIF('yardi_data (2)'!$A:$A,$A480,'yardi_data (2)'!$D:$D)</f>
        <v>7643.04</v>
      </c>
      <c r="E480" s="791">
        <f>SUMIF('yardi_data (2)'!$A:$A,$A480,'yardi_data (2)'!$E:$E)</f>
        <v>40490.67</v>
      </c>
      <c r="F480" s="791">
        <f>SUMIF('yardi_data (2)'!$A:$A,$A480,'yardi_data (2)'!$F:$F)</f>
        <v>10000</v>
      </c>
      <c r="G480" s="791">
        <f>SUMIF('yardi_data (2)'!$A:$A,$A480,'yardi_data (2)'!$G:$G)</f>
        <v>10000</v>
      </c>
      <c r="H480" s="792"/>
    </row>
    <row r="481" spans="1:8">
      <c r="A481" s="181" t="s">
        <v>955</v>
      </c>
      <c r="B481" s="181" t="s">
        <v>956</v>
      </c>
      <c r="C481" s="791">
        <f>SUMIF('yardi_data (2)'!$A:$A,$A481,'yardi_data (2)'!C:C)</f>
        <v>6612.53</v>
      </c>
      <c r="D481" s="791">
        <f>SUMIF('yardi_data (2)'!$A:$A,$A481,'yardi_data (2)'!$D:$D)</f>
        <v>20033</v>
      </c>
      <c r="E481" s="791">
        <f>SUMIF('yardi_data (2)'!$A:$A,$A481,'yardi_data (2)'!$E:$E)</f>
        <v>0</v>
      </c>
      <c r="F481" s="791">
        <f>SUMIF('yardi_data (2)'!$A:$A,$A481,'yardi_data (2)'!$F:$F)</f>
        <v>3333.36</v>
      </c>
      <c r="G481" s="791">
        <f>SUMIF('yardi_data (2)'!$A:$A,$A481,'yardi_data (2)'!$G:$G)</f>
        <v>5000</v>
      </c>
      <c r="H481" s="792"/>
    </row>
    <row r="482" spans="1:8">
      <c r="A482" s="182" t="s">
        <v>957</v>
      </c>
      <c r="B482" s="182" t="s">
        <v>958</v>
      </c>
      <c r="C482" s="791">
        <f>SUMIF('yardi_data (2)'!$A:$A,$A482,'yardi_data (2)'!C:C)</f>
        <v>0</v>
      </c>
      <c r="D482" s="791">
        <f>SUMIF('yardi_data (2)'!$A:$A,$A482,'yardi_data (2)'!$D:$D)</f>
        <v>0</v>
      </c>
      <c r="E482" s="791">
        <f>SUMIF('yardi_data (2)'!$A:$A,$A482,'yardi_data (2)'!$E:$E)</f>
        <v>0</v>
      </c>
      <c r="F482" s="791">
        <f>SUMIF('yardi_data (2)'!$A:$A,$A482,'yardi_data (2)'!$F:$F)</f>
        <v>0</v>
      </c>
      <c r="G482" s="791">
        <f>SUMIF('yardi_data (2)'!$A:$A,$A482,'yardi_data (2)'!$G:$G)</f>
        <v>0</v>
      </c>
      <c r="H482" s="792"/>
    </row>
    <row r="483" spans="1:8">
      <c r="A483" s="181" t="s">
        <v>959</v>
      </c>
      <c r="B483" s="181" t="s">
        <v>960</v>
      </c>
      <c r="C483" s="791">
        <f>SUMIF('yardi_data (2)'!$A:$A,$A483,'yardi_data (2)'!C:C)</f>
        <v>0</v>
      </c>
      <c r="D483" s="791">
        <f>SUMIF('yardi_data (2)'!$A:$A,$A483,'yardi_data (2)'!$D:$D)</f>
        <v>0</v>
      </c>
      <c r="E483" s="791">
        <f>SUMIF('yardi_data (2)'!$A:$A,$A483,'yardi_data (2)'!$E:$E)</f>
        <v>0</v>
      </c>
      <c r="F483" s="791">
        <f>SUMIF('yardi_data (2)'!$A:$A,$A483,'yardi_data (2)'!$F:$F)</f>
        <v>0</v>
      </c>
      <c r="G483" s="791">
        <f>SUMIF('yardi_data (2)'!$A:$A,$A483,'yardi_data (2)'!$G:$G)</f>
        <v>0</v>
      </c>
      <c r="H483" s="792"/>
    </row>
    <row r="484" spans="1:8">
      <c r="A484" s="182" t="s">
        <v>961</v>
      </c>
      <c r="B484" s="182" t="s">
        <v>962</v>
      </c>
      <c r="C484" s="791">
        <f>SUMIF('yardi_data (2)'!$A:$A,$A484,'yardi_data (2)'!C:C)</f>
        <v>0</v>
      </c>
      <c r="D484" s="791">
        <f>SUMIF('yardi_data (2)'!$A:$A,$A484,'yardi_data (2)'!$D:$D)</f>
        <v>0</v>
      </c>
      <c r="E484" s="791">
        <f>SUMIF('yardi_data (2)'!$A:$A,$A484,'yardi_data (2)'!$E:$E)</f>
        <v>0</v>
      </c>
      <c r="F484" s="791">
        <f>SUMIF('yardi_data (2)'!$A:$A,$A484,'yardi_data (2)'!$F:$F)</f>
        <v>0</v>
      </c>
      <c r="G484" s="791">
        <f>SUMIF('yardi_data (2)'!$A:$A,$A484,'yardi_data (2)'!$G:$G)</f>
        <v>0</v>
      </c>
      <c r="H484" s="792"/>
    </row>
    <row r="485" spans="1:8">
      <c r="A485" s="181" t="s">
        <v>963</v>
      </c>
      <c r="B485" s="181" t="s">
        <v>964</v>
      </c>
      <c r="C485" s="791">
        <f>SUMIF('yardi_data (2)'!$A:$A,$A485,'yardi_data (2)'!C:C)</f>
        <v>30175</v>
      </c>
      <c r="D485" s="791">
        <f>SUMIF('yardi_data (2)'!$A:$A,$A485,'yardi_data (2)'!$D:$D)</f>
        <v>50555.55</v>
      </c>
      <c r="E485" s="791">
        <f>SUMIF('yardi_data (2)'!$A:$A,$A485,'yardi_data (2)'!$E:$E)</f>
        <v>29650</v>
      </c>
      <c r="F485" s="791">
        <f>SUMIF('yardi_data (2)'!$A:$A,$A485,'yardi_data (2)'!$F:$F)</f>
        <v>23333.360000000001</v>
      </c>
      <c r="G485" s="791">
        <f>SUMIF('yardi_data (2)'!$A:$A,$A485,'yardi_data (2)'!$G:$G)</f>
        <v>35000</v>
      </c>
      <c r="H485" s="792"/>
    </row>
    <row r="486" spans="1:8">
      <c r="A486" s="182" t="s">
        <v>965</v>
      </c>
      <c r="B486" s="182" t="s">
        <v>966</v>
      </c>
      <c r="C486" s="791">
        <f>SUMIF('yardi_data (2)'!$A:$A,$A486,'yardi_data (2)'!C:C)</f>
        <v>0</v>
      </c>
      <c r="D486" s="791">
        <f>SUMIF('yardi_data (2)'!$A:$A,$A486,'yardi_data (2)'!$D:$D)</f>
        <v>0</v>
      </c>
      <c r="E486" s="791">
        <f>SUMIF('yardi_data (2)'!$A:$A,$A486,'yardi_data (2)'!$E:$E)</f>
        <v>0</v>
      </c>
      <c r="F486" s="791">
        <f>SUMIF('yardi_data (2)'!$A:$A,$A486,'yardi_data (2)'!$F:$F)</f>
        <v>0</v>
      </c>
      <c r="G486" s="791">
        <f>SUMIF('yardi_data (2)'!$A:$A,$A486,'yardi_data (2)'!$G:$G)</f>
        <v>0</v>
      </c>
      <c r="H486" s="792"/>
    </row>
    <row r="487" spans="1:8">
      <c r="A487" s="181" t="s">
        <v>967</v>
      </c>
      <c r="B487" s="181" t="s">
        <v>968</v>
      </c>
      <c r="C487" s="791">
        <f>SUMIF('yardi_data (2)'!$A:$A,$A487,'yardi_data (2)'!C:C)</f>
        <v>17763.509999999998</v>
      </c>
      <c r="D487" s="791">
        <f>SUMIF('yardi_data (2)'!$A:$A,$A487,'yardi_data (2)'!$D:$D)</f>
        <v>7884.19</v>
      </c>
      <c r="E487" s="791">
        <f>SUMIF('yardi_data (2)'!$A:$A,$A487,'yardi_data (2)'!$E:$E)</f>
        <v>10109.969999999999</v>
      </c>
      <c r="F487" s="791">
        <f>SUMIF('yardi_data (2)'!$A:$A,$A487,'yardi_data (2)'!$F:$F)</f>
        <v>2500</v>
      </c>
      <c r="G487" s="791">
        <f>SUMIF('yardi_data (2)'!$A:$A,$A487,'yardi_data (2)'!$G:$G)</f>
        <v>2500</v>
      </c>
      <c r="H487" s="792"/>
    </row>
    <row r="488" spans="1:8">
      <c r="A488" s="182" t="s">
        <v>969</v>
      </c>
      <c r="B488" s="182" t="s">
        <v>970</v>
      </c>
      <c r="C488" s="791">
        <f>SUMIF('yardi_data (2)'!$A:$A,$A488,'yardi_data (2)'!C:C)</f>
        <v>0</v>
      </c>
      <c r="D488" s="791">
        <f>SUMIF('yardi_data (2)'!$A:$A,$A488,'yardi_data (2)'!$D:$D)</f>
        <v>0</v>
      </c>
      <c r="E488" s="791">
        <f>SUMIF('yardi_data (2)'!$A:$A,$A488,'yardi_data (2)'!$E:$E)</f>
        <v>0</v>
      </c>
      <c r="F488" s="791">
        <f>SUMIF('yardi_data (2)'!$A:$A,$A488,'yardi_data (2)'!$F:$F)</f>
        <v>0</v>
      </c>
      <c r="G488" s="791">
        <f>SUMIF('yardi_data (2)'!$A:$A,$A488,'yardi_data (2)'!$G:$G)</f>
        <v>0</v>
      </c>
      <c r="H488" s="792"/>
    </row>
    <row r="489" spans="1:8">
      <c r="A489" s="181" t="s">
        <v>971</v>
      </c>
      <c r="B489" s="181" t="s">
        <v>633</v>
      </c>
      <c r="C489" s="791">
        <f>SUMIF('yardi_data (2)'!$A:$A,$A489,'yardi_data (2)'!C:C)</f>
        <v>0</v>
      </c>
      <c r="D489" s="791">
        <f>SUMIF('yardi_data (2)'!$A:$A,$A489,'yardi_data (2)'!$D:$D)</f>
        <v>0</v>
      </c>
      <c r="E489" s="791">
        <f>SUMIF('yardi_data (2)'!$A:$A,$A489,'yardi_data (2)'!$E:$E)</f>
        <v>0</v>
      </c>
      <c r="F489" s="791">
        <f>SUMIF('yardi_data (2)'!$A:$A,$A489,'yardi_data (2)'!$F:$F)</f>
        <v>0</v>
      </c>
      <c r="G489" s="791">
        <f>SUMIF('yardi_data (2)'!$A:$A,$A489,'yardi_data (2)'!$G:$G)</f>
        <v>0</v>
      </c>
      <c r="H489" s="792"/>
    </row>
    <row r="490" spans="1:8">
      <c r="A490" s="182" t="s">
        <v>972</v>
      </c>
      <c r="B490" s="182" t="s">
        <v>973</v>
      </c>
      <c r="C490" s="791">
        <f>SUMIF('yardi_data (2)'!$A:$A,$A490,'yardi_data (2)'!C:C)</f>
        <v>0</v>
      </c>
      <c r="D490" s="791">
        <f>SUMIF('yardi_data (2)'!$A:$A,$A490,'yardi_data (2)'!$D:$D)</f>
        <v>0</v>
      </c>
      <c r="E490" s="791">
        <f>SUMIF('yardi_data (2)'!$A:$A,$A490,'yardi_data (2)'!$E:$E)</f>
        <v>0</v>
      </c>
      <c r="F490" s="791">
        <f>SUMIF('yardi_data (2)'!$A:$A,$A490,'yardi_data (2)'!$F:$F)</f>
        <v>0</v>
      </c>
      <c r="G490" s="791">
        <f>SUMIF('yardi_data (2)'!$A:$A,$A490,'yardi_data (2)'!$G:$G)</f>
        <v>0</v>
      </c>
      <c r="H490" s="792"/>
    </row>
    <row r="491" spans="1:8">
      <c r="A491" s="181" t="s">
        <v>974</v>
      </c>
      <c r="B491" s="181" t="s">
        <v>975</v>
      </c>
      <c r="C491" s="791">
        <f>SUMIF('yardi_data (2)'!$A:$A,$A491,'yardi_data (2)'!C:C)</f>
        <v>3418.68</v>
      </c>
      <c r="D491" s="791">
        <f>SUMIF('yardi_data (2)'!$A:$A,$A491,'yardi_data (2)'!$D:$D)</f>
        <v>31965.7</v>
      </c>
      <c r="E491" s="791">
        <f>SUMIF('yardi_data (2)'!$A:$A,$A491,'yardi_data (2)'!$E:$E)</f>
        <v>0</v>
      </c>
      <c r="F491" s="791">
        <f>SUMIF('yardi_data (2)'!$A:$A,$A491,'yardi_data (2)'!$F:$F)</f>
        <v>3333.36</v>
      </c>
      <c r="G491" s="791">
        <f>SUMIF('yardi_data (2)'!$A:$A,$A491,'yardi_data (2)'!$G:$G)</f>
        <v>5000</v>
      </c>
      <c r="H491" s="792"/>
    </row>
    <row r="492" spans="1:8">
      <c r="A492" s="182" t="s">
        <v>976</v>
      </c>
      <c r="B492" s="182" t="s">
        <v>977</v>
      </c>
      <c r="C492" s="791">
        <f>SUMIF('yardi_data (2)'!$A:$A,$A492,'yardi_data (2)'!C:C)</f>
        <v>0</v>
      </c>
      <c r="D492" s="791">
        <f>SUMIF('yardi_data (2)'!$A:$A,$A492,'yardi_data (2)'!$D:$D)</f>
        <v>0</v>
      </c>
      <c r="E492" s="791">
        <f>SUMIF('yardi_data (2)'!$A:$A,$A492,'yardi_data (2)'!$E:$E)</f>
        <v>0</v>
      </c>
      <c r="F492" s="791">
        <f>SUMIF('yardi_data (2)'!$A:$A,$A492,'yardi_data (2)'!$F:$F)</f>
        <v>0</v>
      </c>
      <c r="G492" s="791">
        <f>SUMIF('yardi_data (2)'!$A:$A,$A492,'yardi_data (2)'!$G:$G)</f>
        <v>0</v>
      </c>
      <c r="H492" s="792"/>
    </row>
    <row r="493" spans="1:8">
      <c r="A493" s="181" t="s">
        <v>978</v>
      </c>
      <c r="B493" s="181" t="s">
        <v>979</v>
      </c>
      <c r="C493" s="791">
        <f>SUMIF('yardi_data (2)'!$A:$A,$A493,'yardi_data (2)'!C:C)</f>
        <v>4344.1099999999997</v>
      </c>
      <c r="D493" s="791">
        <f>SUMIF('yardi_data (2)'!$A:$A,$A493,'yardi_data (2)'!$D:$D)</f>
        <v>0</v>
      </c>
      <c r="E493" s="791">
        <f>SUMIF('yardi_data (2)'!$A:$A,$A493,'yardi_data (2)'!$E:$E)</f>
        <v>1970.64</v>
      </c>
      <c r="F493" s="791">
        <f>SUMIF('yardi_data (2)'!$A:$A,$A493,'yardi_data (2)'!$F:$F)</f>
        <v>2000</v>
      </c>
      <c r="G493" s="791">
        <f>SUMIF('yardi_data (2)'!$A:$A,$A493,'yardi_data (2)'!$G:$G)</f>
        <v>3000</v>
      </c>
      <c r="H493" s="792"/>
    </row>
    <row r="494" spans="1:8">
      <c r="A494" s="182" t="s">
        <v>980</v>
      </c>
      <c r="B494" s="182" t="s">
        <v>981</v>
      </c>
      <c r="C494" s="791">
        <f>SUMIF('yardi_data (2)'!$A:$A,$A494,'yardi_data (2)'!C:C)</f>
        <v>0</v>
      </c>
      <c r="D494" s="791">
        <f>SUMIF('yardi_data (2)'!$A:$A,$A494,'yardi_data (2)'!$D:$D)</f>
        <v>0</v>
      </c>
      <c r="E494" s="791">
        <f>SUMIF('yardi_data (2)'!$A:$A,$A494,'yardi_data (2)'!$E:$E)</f>
        <v>0</v>
      </c>
      <c r="F494" s="791">
        <f>SUMIF('yardi_data (2)'!$A:$A,$A494,'yardi_data (2)'!$F:$F)</f>
        <v>1000</v>
      </c>
      <c r="G494" s="791">
        <f>SUMIF('yardi_data (2)'!$A:$A,$A494,'yardi_data (2)'!$G:$G)</f>
        <v>1500</v>
      </c>
      <c r="H494" s="792"/>
    </row>
    <row r="495" spans="1:8">
      <c r="A495" s="181" t="s">
        <v>982</v>
      </c>
      <c r="B495" s="181" t="s">
        <v>983</v>
      </c>
      <c r="C495" s="791">
        <f>SUMIF('yardi_data (2)'!$A:$A,$A495,'yardi_data (2)'!C:C)</f>
        <v>0</v>
      </c>
      <c r="D495" s="791">
        <f>SUMIF('yardi_data (2)'!$A:$A,$A495,'yardi_data (2)'!$D:$D)</f>
        <v>0</v>
      </c>
      <c r="E495" s="791">
        <f>SUMIF('yardi_data (2)'!$A:$A,$A495,'yardi_data (2)'!$E:$E)</f>
        <v>0</v>
      </c>
      <c r="F495" s="791">
        <f>SUMIF('yardi_data (2)'!$A:$A,$A495,'yardi_data (2)'!$F:$F)</f>
        <v>0</v>
      </c>
      <c r="G495" s="791">
        <f>SUMIF('yardi_data (2)'!$A:$A,$A495,'yardi_data (2)'!$G:$G)</f>
        <v>0</v>
      </c>
      <c r="H495" s="792"/>
    </row>
    <row r="496" spans="1:8">
      <c r="A496" s="182" t="s">
        <v>984</v>
      </c>
      <c r="B496" s="182" t="s">
        <v>985</v>
      </c>
      <c r="C496" s="791">
        <f>SUMIF('yardi_data (2)'!$A:$A,$A496,'yardi_data (2)'!C:C)</f>
        <v>856.21</v>
      </c>
      <c r="D496" s="791">
        <f>SUMIF('yardi_data (2)'!$A:$A,$A496,'yardi_data (2)'!$D:$D)</f>
        <v>7498.38</v>
      </c>
      <c r="E496" s="791">
        <f>SUMIF('yardi_data (2)'!$A:$A,$A496,'yardi_data (2)'!$E:$E)</f>
        <v>3775.79</v>
      </c>
      <c r="F496" s="791">
        <f>SUMIF('yardi_data (2)'!$A:$A,$A496,'yardi_data (2)'!$F:$F)</f>
        <v>6666.64</v>
      </c>
      <c r="G496" s="791">
        <f>SUMIF('yardi_data (2)'!$A:$A,$A496,'yardi_data (2)'!$G:$G)</f>
        <v>10000</v>
      </c>
      <c r="H496" s="792"/>
    </row>
    <row r="497" spans="1:8">
      <c r="A497" s="181" t="s">
        <v>986</v>
      </c>
      <c r="B497" s="181" t="s">
        <v>987</v>
      </c>
      <c r="C497" s="791">
        <f>SUMIF('yardi_data (2)'!$A:$A,$A497,'yardi_data (2)'!C:C)</f>
        <v>0</v>
      </c>
      <c r="D497" s="791">
        <f>SUMIF('yardi_data (2)'!$A:$A,$A497,'yardi_data (2)'!$D:$D)</f>
        <v>0</v>
      </c>
      <c r="E497" s="791">
        <f>SUMIF('yardi_data (2)'!$A:$A,$A497,'yardi_data (2)'!$E:$E)</f>
        <v>0</v>
      </c>
      <c r="F497" s="791">
        <f>SUMIF('yardi_data (2)'!$A:$A,$A497,'yardi_data (2)'!$F:$F)</f>
        <v>0</v>
      </c>
      <c r="G497" s="791">
        <f>SUMIF('yardi_data (2)'!$A:$A,$A497,'yardi_data (2)'!$G:$G)</f>
        <v>0</v>
      </c>
      <c r="H497" s="792"/>
    </row>
    <row r="498" spans="1:8">
      <c r="A498" s="182" t="s">
        <v>988</v>
      </c>
      <c r="B498" s="182" t="s">
        <v>989</v>
      </c>
      <c r="C498" s="791">
        <f>SUMIF('yardi_data (2)'!$A:$A,$A498,'yardi_data (2)'!C:C)</f>
        <v>0</v>
      </c>
      <c r="D498" s="791">
        <f>SUMIF('yardi_data (2)'!$A:$A,$A498,'yardi_data (2)'!$D:$D)</f>
        <v>0</v>
      </c>
      <c r="E498" s="791">
        <f>SUMIF('yardi_data (2)'!$A:$A,$A498,'yardi_data (2)'!$E:$E)</f>
        <v>0</v>
      </c>
      <c r="F498" s="791">
        <f>SUMIF('yardi_data (2)'!$A:$A,$A498,'yardi_data (2)'!$F:$F)</f>
        <v>0</v>
      </c>
      <c r="G498" s="791">
        <f>SUMIF('yardi_data (2)'!$A:$A,$A498,'yardi_data (2)'!$G:$G)</f>
        <v>0</v>
      </c>
      <c r="H498" s="792"/>
    </row>
    <row r="499" spans="1:8">
      <c r="A499" s="181" t="s">
        <v>990</v>
      </c>
      <c r="B499" s="181" t="s">
        <v>991</v>
      </c>
      <c r="C499" s="791">
        <f>SUMIF('yardi_data (2)'!$A:$A,$A499,'yardi_data (2)'!C:C)</f>
        <v>0</v>
      </c>
      <c r="D499" s="791">
        <f>SUMIF('yardi_data (2)'!$A:$A,$A499,'yardi_data (2)'!$D:$D)</f>
        <v>0</v>
      </c>
      <c r="E499" s="791">
        <f>SUMIF('yardi_data (2)'!$A:$A,$A499,'yardi_data (2)'!$E:$E)</f>
        <v>0</v>
      </c>
      <c r="F499" s="791">
        <f>SUMIF('yardi_data (2)'!$A:$A,$A499,'yardi_data (2)'!$F:$F)</f>
        <v>0</v>
      </c>
      <c r="G499" s="791">
        <f>SUMIF('yardi_data (2)'!$A:$A,$A499,'yardi_data (2)'!$G:$G)</f>
        <v>0</v>
      </c>
      <c r="H499" s="792"/>
    </row>
    <row r="500" spans="1:8">
      <c r="A500" s="182" t="s">
        <v>992</v>
      </c>
      <c r="B500" s="182" t="s">
        <v>993</v>
      </c>
      <c r="C500" s="791">
        <f>SUMIF('yardi_data (2)'!$A:$A,$A500,'yardi_data (2)'!C:C)</f>
        <v>0</v>
      </c>
      <c r="D500" s="791">
        <f>SUMIF('yardi_data (2)'!$A:$A,$A500,'yardi_data (2)'!$D:$D)</f>
        <v>0</v>
      </c>
      <c r="E500" s="791">
        <f>SUMIF('yardi_data (2)'!$A:$A,$A500,'yardi_data (2)'!$E:$E)</f>
        <v>0</v>
      </c>
      <c r="F500" s="791">
        <f>SUMIF('yardi_data (2)'!$A:$A,$A500,'yardi_data (2)'!$F:$F)</f>
        <v>0</v>
      </c>
      <c r="G500" s="791">
        <f>SUMIF('yardi_data (2)'!$A:$A,$A500,'yardi_data (2)'!$G:$G)</f>
        <v>0</v>
      </c>
      <c r="H500" s="792"/>
    </row>
    <row r="501" spans="1:8">
      <c r="A501" s="181" t="s">
        <v>994</v>
      </c>
      <c r="B501" s="181" t="s">
        <v>995</v>
      </c>
      <c r="C501" s="791">
        <f>SUMIF('yardi_data (2)'!$A:$A,$A501,'yardi_data (2)'!C:C)</f>
        <v>2972.28</v>
      </c>
      <c r="D501" s="791">
        <f>SUMIF('yardi_data (2)'!$A:$A,$A501,'yardi_data (2)'!$D:$D)</f>
        <v>990.76</v>
      </c>
      <c r="E501" s="791">
        <f>SUMIF('yardi_data (2)'!$A:$A,$A501,'yardi_data (2)'!$E:$E)</f>
        <v>0</v>
      </c>
      <c r="F501" s="791">
        <f>SUMIF('yardi_data (2)'!$A:$A,$A501,'yardi_data (2)'!$F:$F)</f>
        <v>1333.36</v>
      </c>
      <c r="G501" s="791">
        <f>SUMIF('yardi_data (2)'!$A:$A,$A501,'yardi_data (2)'!$G:$G)</f>
        <v>2000</v>
      </c>
      <c r="H501" s="792"/>
    </row>
    <row r="502" spans="1:8">
      <c r="A502" s="182" t="s">
        <v>996</v>
      </c>
      <c r="B502" s="182" t="s">
        <v>997</v>
      </c>
      <c r="C502" s="791">
        <f>SUMIF('yardi_data (2)'!$A:$A,$A502,'yardi_data (2)'!C:C)</f>
        <v>10281.879999999999</v>
      </c>
      <c r="D502" s="791">
        <f>SUMIF('yardi_data (2)'!$A:$A,$A502,'yardi_data (2)'!$D:$D)</f>
        <v>0</v>
      </c>
      <c r="E502" s="791">
        <f>SUMIF('yardi_data (2)'!$A:$A,$A502,'yardi_data (2)'!$E:$E)</f>
        <v>7300</v>
      </c>
      <c r="F502" s="791">
        <f>SUMIF('yardi_data (2)'!$A:$A,$A502,'yardi_data (2)'!$F:$F)</f>
        <v>12333.36</v>
      </c>
      <c r="G502" s="791">
        <f>SUMIF('yardi_data (2)'!$A:$A,$A502,'yardi_data (2)'!$G:$G)</f>
        <v>18500</v>
      </c>
      <c r="H502" s="792"/>
    </row>
    <row r="503" spans="1:8">
      <c r="A503" s="181" t="s">
        <v>998</v>
      </c>
      <c r="B503" s="181" t="s">
        <v>999</v>
      </c>
      <c r="C503" s="791">
        <f>SUMIF('yardi_data (2)'!$A:$A,$A503,'yardi_data (2)'!C:C)</f>
        <v>448042.17</v>
      </c>
      <c r="D503" s="791">
        <f>SUMIF('yardi_data (2)'!$A:$A,$A503,'yardi_data (2)'!$D:$D)</f>
        <v>494941.78</v>
      </c>
      <c r="E503" s="791">
        <f>SUMIF('yardi_data (2)'!$A:$A,$A503,'yardi_data (2)'!$E:$E)</f>
        <v>413860.46</v>
      </c>
      <c r="F503" s="791">
        <f>SUMIF('yardi_data (2)'!$A:$A,$A503,'yardi_data (2)'!$F:$F)</f>
        <v>259500.16</v>
      </c>
      <c r="G503" s="791">
        <f>SUMIF('yardi_data (2)'!$A:$A,$A503,'yardi_data (2)'!$G:$G)</f>
        <v>375500</v>
      </c>
      <c r="H503" s="792"/>
    </row>
    <row r="504" spans="1:8">
      <c r="A504" s="182" t="s">
        <v>1000</v>
      </c>
      <c r="B504" s="182" t="s">
        <v>1001</v>
      </c>
      <c r="C504" s="791">
        <f>SUMIF('yardi_data (2)'!$A:$A,$A504,'yardi_data (2)'!C:C)</f>
        <v>0</v>
      </c>
      <c r="D504" s="791">
        <f>SUMIF('yardi_data (2)'!$A:$A,$A504,'yardi_data (2)'!$D:$D)</f>
        <v>0</v>
      </c>
      <c r="E504" s="791">
        <f>SUMIF('yardi_data (2)'!$A:$A,$A504,'yardi_data (2)'!$E:$E)</f>
        <v>0</v>
      </c>
      <c r="F504" s="791">
        <f>SUMIF('yardi_data (2)'!$A:$A,$A504,'yardi_data (2)'!$F:$F)</f>
        <v>0</v>
      </c>
      <c r="G504" s="791">
        <f>SUMIF('yardi_data (2)'!$A:$A,$A504,'yardi_data (2)'!$G:$G)</f>
        <v>0</v>
      </c>
      <c r="H504" s="792"/>
    </row>
    <row r="505" spans="1:8">
      <c r="A505" s="181" t="s">
        <v>1002</v>
      </c>
      <c r="B505" s="181" t="s">
        <v>1003</v>
      </c>
      <c r="C505" s="791">
        <f>SUMIF('yardi_data (2)'!$A:$A,$A505,'yardi_data (2)'!C:C)</f>
        <v>0</v>
      </c>
      <c r="D505" s="791">
        <f>SUMIF('yardi_data (2)'!$A:$A,$A505,'yardi_data (2)'!$D:$D)</f>
        <v>0</v>
      </c>
      <c r="E505" s="791">
        <f>SUMIF('yardi_data (2)'!$A:$A,$A505,'yardi_data (2)'!$E:$E)</f>
        <v>0</v>
      </c>
      <c r="F505" s="791">
        <f>SUMIF('yardi_data (2)'!$A:$A,$A505,'yardi_data (2)'!$F:$F)</f>
        <v>0</v>
      </c>
      <c r="G505" s="791">
        <f>SUMIF('yardi_data (2)'!$A:$A,$A505,'yardi_data (2)'!$G:$G)</f>
        <v>0</v>
      </c>
      <c r="H505" s="792"/>
    </row>
    <row r="506" spans="1:8">
      <c r="A506" s="182" t="s">
        <v>1004</v>
      </c>
      <c r="B506" s="182" t="s">
        <v>1005</v>
      </c>
      <c r="C506" s="791">
        <f>SUMIF('yardi_data (2)'!$A:$A,$A506,'yardi_data (2)'!C:C)</f>
        <v>0</v>
      </c>
      <c r="D506" s="791">
        <f>SUMIF('yardi_data (2)'!$A:$A,$A506,'yardi_data (2)'!$D:$D)</f>
        <v>0</v>
      </c>
      <c r="E506" s="791">
        <f>SUMIF('yardi_data (2)'!$A:$A,$A506,'yardi_data (2)'!$E:$E)</f>
        <v>0</v>
      </c>
      <c r="F506" s="791">
        <f>SUMIF('yardi_data (2)'!$A:$A,$A506,'yardi_data (2)'!$F:$F)</f>
        <v>0</v>
      </c>
      <c r="G506" s="791">
        <f>SUMIF('yardi_data (2)'!$A:$A,$A506,'yardi_data (2)'!$G:$G)</f>
        <v>0</v>
      </c>
      <c r="H506" s="792"/>
    </row>
    <row r="507" spans="1:8">
      <c r="A507" s="181" t="s">
        <v>1006</v>
      </c>
      <c r="B507" s="181" t="s">
        <v>1007</v>
      </c>
      <c r="C507" s="791">
        <f>SUMIF('yardi_data (2)'!$A:$A,$A507,'yardi_data (2)'!C:C)</f>
        <v>0</v>
      </c>
      <c r="D507" s="791">
        <f>SUMIF('yardi_data (2)'!$A:$A,$A507,'yardi_data (2)'!$D:$D)</f>
        <v>0</v>
      </c>
      <c r="E507" s="791">
        <f>SUMIF('yardi_data (2)'!$A:$A,$A507,'yardi_data (2)'!$E:$E)</f>
        <v>0</v>
      </c>
      <c r="F507" s="791">
        <f>SUMIF('yardi_data (2)'!$A:$A,$A507,'yardi_data (2)'!$F:$F)</f>
        <v>0</v>
      </c>
      <c r="G507" s="791">
        <f>SUMIF('yardi_data (2)'!$A:$A,$A507,'yardi_data (2)'!$G:$G)</f>
        <v>0</v>
      </c>
      <c r="H507" s="792"/>
    </row>
    <row r="508" spans="1:8">
      <c r="A508" s="182" t="s">
        <v>1008</v>
      </c>
      <c r="B508" s="182" t="s">
        <v>1009</v>
      </c>
      <c r="C508" s="791">
        <f>SUMIF('yardi_data (2)'!$A:$A,$A508,'yardi_data (2)'!C:C)</f>
        <v>0</v>
      </c>
      <c r="D508" s="791">
        <f>SUMIF('yardi_data (2)'!$A:$A,$A508,'yardi_data (2)'!$D:$D)</f>
        <v>0</v>
      </c>
      <c r="E508" s="791">
        <f>SUMIF('yardi_data (2)'!$A:$A,$A508,'yardi_data (2)'!$E:$E)</f>
        <v>0</v>
      </c>
      <c r="F508" s="791">
        <f>SUMIF('yardi_data (2)'!$A:$A,$A508,'yardi_data (2)'!$F:$F)</f>
        <v>0</v>
      </c>
      <c r="G508" s="791">
        <f>SUMIF('yardi_data (2)'!$A:$A,$A508,'yardi_data (2)'!$G:$G)</f>
        <v>0</v>
      </c>
      <c r="H508" s="792"/>
    </row>
    <row r="509" spans="1:8">
      <c r="A509" s="181" t="s">
        <v>1010</v>
      </c>
      <c r="B509" s="181" t="s">
        <v>1011</v>
      </c>
      <c r="C509" s="791">
        <f>SUMIF('yardi_data (2)'!$A:$A,$A509,'yardi_data (2)'!C:C)</f>
        <v>0</v>
      </c>
      <c r="D509" s="791">
        <f>SUMIF('yardi_data (2)'!$A:$A,$A509,'yardi_data (2)'!$D:$D)</f>
        <v>0</v>
      </c>
      <c r="E509" s="791">
        <f>SUMIF('yardi_data (2)'!$A:$A,$A509,'yardi_data (2)'!$E:$E)</f>
        <v>0</v>
      </c>
      <c r="F509" s="791">
        <f>SUMIF('yardi_data (2)'!$A:$A,$A509,'yardi_data (2)'!$F:$F)</f>
        <v>0</v>
      </c>
      <c r="G509" s="791">
        <f>SUMIF('yardi_data (2)'!$A:$A,$A509,'yardi_data (2)'!$G:$G)</f>
        <v>0</v>
      </c>
      <c r="H509" s="792"/>
    </row>
    <row r="510" spans="1:8">
      <c r="A510" s="181" t="s">
        <v>1012</v>
      </c>
      <c r="B510" s="181" t="s">
        <v>1013</v>
      </c>
      <c r="C510" s="791">
        <f>SUMIF('yardi_data (2)'!$A:$A,$A510,'yardi_data (2)'!C:C)</f>
        <v>27240.16</v>
      </c>
      <c r="D510" s="791">
        <f>SUMIF('yardi_data (2)'!$A:$A,$A510,'yardi_data (2)'!$D:$D)</f>
        <v>27205.46</v>
      </c>
      <c r="E510" s="791">
        <f>SUMIF('yardi_data (2)'!$A:$A,$A510,'yardi_data (2)'!$E:$E)</f>
        <v>14240.88</v>
      </c>
      <c r="F510" s="791">
        <f>SUMIF('yardi_data (2)'!$A:$A,$A510,'yardi_data (2)'!$F:$F)</f>
        <v>16533.36</v>
      </c>
      <c r="G510" s="791">
        <f>SUMIF('yardi_data (2)'!$A:$A,$A510,'yardi_data (2)'!$G:$G)</f>
        <v>24800</v>
      </c>
      <c r="H510" s="792"/>
    </row>
    <row r="511" spans="1:8">
      <c r="A511" s="182" t="s">
        <v>1014</v>
      </c>
      <c r="B511" s="182" t="s">
        <v>1015</v>
      </c>
      <c r="C511" s="791">
        <f>SUMIF('yardi_data (2)'!$A:$A,$A511,'yardi_data (2)'!C:C)</f>
        <v>40971.839999999997</v>
      </c>
      <c r="D511" s="791">
        <f>SUMIF('yardi_data (2)'!$A:$A,$A511,'yardi_data (2)'!$D:$D)</f>
        <v>42737.56</v>
      </c>
      <c r="E511" s="791">
        <f>SUMIF('yardi_data (2)'!$A:$A,$A511,'yardi_data (2)'!$E:$E)</f>
        <v>29816.959999999999</v>
      </c>
      <c r="F511" s="791">
        <f>SUMIF('yardi_data (2)'!$A:$A,$A511,'yardi_data (2)'!$F:$F)</f>
        <v>26378</v>
      </c>
      <c r="G511" s="791">
        <f>SUMIF('yardi_data (2)'!$A:$A,$A511,'yardi_data (2)'!$G:$G)</f>
        <v>39567</v>
      </c>
      <c r="H511" s="792"/>
    </row>
    <row r="512" spans="1:8">
      <c r="A512" s="181" t="s">
        <v>1016</v>
      </c>
      <c r="B512" s="181" t="s">
        <v>1017</v>
      </c>
      <c r="C512" s="791">
        <f>SUMIF('yardi_data (2)'!$A:$A,$A512,'yardi_data (2)'!C:C)</f>
        <v>1399</v>
      </c>
      <c r="D512" s="791">
        <f>SUMIF('yardi_data (2)'!$A:$A,$A512,'yardi_data (2)'!$D:$D)</f>
        <v>1743.18</v>
      </c>
      <c r="E512" s="791">
        <f>SUMIF('yardi_data (2)'!$A:$A,$A512,'yardi_data (2)'!$E:$E)</f>
        <v>0</v>
      </c>
      <c r="F512" s="791">
        <f>SUMIF('yardi_data (2)'!$A:$A,$A512,'yardi_data (2)'!$F:$F)</f>
        <v>0</v>
      </c>
      <c r="G512" s="791">
        <f>SUMIF('yardi_data (2)'!$A:$A,$A512,'yardi_data (2)'!$G:$G)</f>
        <v>0</v>
      </c>
      <c r="H512" s="792"/>
    </row>
    <row r="513" spans="1:8">
      <c r="A513" s="182" t="s">
        <v>1018</v>
      </c>
      <c r="B513" s="182" t="s">
        <v>1019</v>
      </c>
      <c r="C513" s="791">
        <f>SUMIF('yardi_data (2)'!$A:$A,$A513,'yardi_data (2)'!C:C)</f>
        <v>0</v>
      </c>
      <c r="D513" s="791">
        <f>SUMIF('yardi_data (2)'!$A:$A,$A513,'yardi_data (2)'!$D:$D)</f>
        <v>0</v>
      </c>
      <c r="E513" s="791">
        <f>SUMIF('yardi_data (2)'!$A:$A,$A513,'yardi_data (2)'!$E:$E)</f>
        <v>0</v>
      </c>
      <c r="F513" s="791">
        <f>SUMIF('yardi_data (2)'!$A:$A,$A513,'yardi_data (2)'!$F:$F)</f>
        <v>0</v>
      </c>
      <c r="G513" s="791">
        <f>SUMIF('yardi_data (2)'!$A:$A,$A513,'yardi_data (2)'!$G:$G)</f>
        <v>0</v>
      </c>
      <c r="H513" s="792"/>
    </row>
    <row r="514" spans="1:8">
      <c r="A514" s="181" t="s">
        <v>1020</v>
      </c>
      <c r="B514" s="181" t="s">
        <v>1021</v>
      </c>
      <c r="C514" s="791">
        <f>SUMIF('yardi_data (2)'!$A:$A,$A514,'yardi_data (2)'!C:C)</f>
        <v>2380.12</v>
      </c>
      <c r="D514" s="791">
        <f>SUMIF('yardi_data (2)'!$A:$A,$A514,'yardi_data (2)'!$D:$D)</f>
        <v>6922.12</v>
      </c>
      <c r="E514" s="791">
        <f>SUMIF('yardi_data (2)'!$A:$A,$A514,'yardi_data (2)'!$E:$E)</f>
        <v>0</v>
      </c>
      <c r="F514" s="791">
        <f>SUMIF('yardi_data (2)'!$A:$A,$A514,'yardi_data (2)'!$F:$F)</f>
        <v>2466.64</v>
      </c>
      <c r="G514" s="791">
        <f>SUMIF('yardi_data (2)'!$A:$A,$A514,'yardi_data (2)'!$G:$G)</f>
        <v>3700</v>
      </c>
      <c r="H514" s="792"/>
    </row>
    <row r="515" spans="1:8">
      <c r="A515" s="182" t="s">
        <v>1022</v>
      </c>
      <c r="B515" s="182" t="s">
        <v>1023</v>
      </c>
      <c r="C515" s="791">
        <f>SUMIF('yardi_data (2)'!$A:$A,$A515,'yardi_data (2)'!C:C)</f>
        <v>25922.62</v>
      </c>
      <c r="D515" s="791">
        <f>SUMIF('yardi_data (2)'!$A:$A,$A515,'yardi_data (2)'!$D:$D)</f>
        <v>30860.33</v>
      </c>
      <c r="E515" s="791">
        <f>SUMIF('yardi_data (2)'!$A:$A,$A515,'yardi_data (2)'!$E:$E)</f>
        <v>23690.799999999999</v>
      </c>
      <c r="F515" s="791">
        <f>SUMIF('yardi_data (2)'!$A:$A,$A515,'yardi_data (2)'!$F:$F)</f>
        <v>13333.36</v>
      </c>
      <c r="G515" s="791">
        <f>SUMIF('yardi_data (2)'!$A:$A,$A515,'yardi_data (2)'!$G:$G)</f>
        <v>20000</v>
      </c>
      <c r="H515" s="792"/>
    </row>
    <row r="516" spans="1:8">
      <c r="A516" s="181" t="s">
        <v>1024</v>
      </c>
      <c r="B516" s="181" t="s">
        <v>1025</v>
      </c>
      <c r="C516" s="791">
        <f>SUMIF('yardi_data (2)'!$A:$A,$A516,'yardi_data (2)'!C:C)</f>
        <v>0</v>
      </c>
      <c r="D516" s="791">
        <f>SUMIF('yardi_data (2)'!$A:$A,$A516,'yardi_data (2)'!$D:$D)</f>
        <v>0</v>
      </c>
      <c r="E516" s="791">
        <f>SUMIF('yardi_data (2)'!$A:$A,$A516,'yardi_data (2)'!$E:$E)</f>
        <v>0</v>
      </c>
      <c r="F516" s="791">
        <f>SUMIF('yardi_data (2)'!$A:$A,$A516,'yardi_data (2)'!$F:$F)</f>
        <v>0</v>
      </c>
      <c r="G516" s="791">
        <f>SUMIF('yardi_data (2)'!$A:$A,$A516,'yardi_data (2)'!$G:$G)</f>
        <v>0</v>
      </c>
      <c r="H516" s="792"/>
    </row>
    <row r="517" spans="1:8">
      <c r="A517" s="182" t="s">
        <v>1026</v>
      </c>
      <c r="B517" s="182" t="s">
        <v>1027</v>
      </c>
      <c r="C517" s="791">
        <f>SUMIF('yardi_data (2)'!$A:$A,$A517,'yardi_data (2)'!C:C)</f>
        <v>45798.35</v>
      </c>
      <c r="D517" s="791">
        <f>SUMIF('yardi_data (2)'!$A:$A,$A517,'yardi_data (2)'!$D:$D)</f>
        <v>25619.86</v>
      </c>
      <c r="E517" s="791">
        <f>SUMIF('yardi_data (2)'!$A:$A,$A517,'yardi_data (2)'!$E:$E)</f>
        <v>12906.22</v>
      </c>
      <c r="F517" s="791">
        <f>SUMIF('yardi_data (2)'!$A:$A,$A517,'yardi_data (2)'!$F:$F)</f>
        <v>20666.64</v>
      </c>
      <c r="G517" s="791">
        <f>SUMIF('yardi_data (2)'!$A:$A,$A517,'yardi_data (2)'!$G:$G)</f>
        <v>31000</v>
      </c>
      <c r="H517" s="792"/>
    </row>
    <row r="518" spans="1:8">
      <c r="A518" s="181" t="s">
        <v>1028</v>
      </c>
      <c r="B518" s="181" t="s">
        <v>1029</v>
      </c>
      <c r="C518" s="791">
        <f>SUMIF('yardi_data (2)'!$A:$A,$A518,'yardi_data (2)'!C:C)</f>
        <v>8478.08</v>
      </c>
      <c r="D518" s="791">
        <f>SUMIF('yardi_data (2)'!$A:$A,$A518,'yardi_data (2)'!$D:$D)</f>
        <v>7825.92</v>
      </c>
      <c r="E518" s="791">
        <f>SUMIF('yardi_data (2)'!$A:$A,$A518,'yardi_data (2)'!$E:$E)</f>
        <v>5217.28</v>
      </c>
      <c r="F518" s="791">
        <f>SUMIF('yardi_data (2)'!$A:$A,$A518,'yardi_data (2)'!$F:$F)</f>
        <v>5288.64</v>
      </c>
      <c r="G518" s="791">
        <f>SUMIF('yardi_data (2)'!$A:$A,$A518,'yardi_data (2)'!$G:$G)</f>
        <v>7933</v>
      </c>
      <c r="H518" s="792"/>
    </row>
    <row r="519" spans="1:8">
      <c r="A519" s="182" t="s">
        <v>1030</v>
      </c>
      <c r="B519" s="182" t="s">
        <v>1031</v>
      </c>
      <c r="C519" s="791">
        <f>SUMIF('yardi_data (2)'!$A:$A,$A519,'yardi_data (2)'!C:C)</f>
        <v>8600.76</v>
      </c>
      <c r="D519" s="791">
        <f>SUMIF('yardi_data (2)'!$A:$A,$A519,'yardi_data (2)'!$D:$D)</f>
        <v>1660.35</v>
      </c>
      <c r="E519" s="791">
        <f>SUMIF('yardi_data (2)'!$A:$A,$A519,'yardi_data (2)'!$E:$E)</f>
        <v>3375.13</v>
      </c>
      <c r="F519" s="791">
        <f>SUMIF('yardi_data (2)'!$A:$A,$A519,'yardi_data (2)'!$F:$F)</f>
        <v>1666.64</v>
      </c>
      <c r="G519" s="791">
        <f>SUMIF('yardi_data (2)'!$A:$A,$A519,'yardi_data (2)'!$G:$G)</f>
        <v>2500</v>
      </c>
      <c r="H519" s="792"/>
    </row>
    <row r="520" spans="1:8">
      <c r="A520" s="181" t="s">
        <v>1032</v>
      </c>
      <c r="B520" s="181" t="s">
        <v>1033</v>
      </c>
      <c r="C520" s="791">
        <f>SUMIF('yardi_data (2)'!$A:$A,$A520,'yardi_data (2)'!C:C)</f>
        <v>1469.81</v>
      </c>
      <c r="D520" s="791">
        <f>SUMIF('yardi_data (2)'!$A:$A,$A520,'yardi_data (2)'!$D:$D)</f>
        <v>14494.53</v>
      </c>
      <c r="E520" s="791">
        <f>SUMIF('yardi_data (2)'!$A:$A,$A520,'yardi_data (2)'!$E:$E)</f>
        <v>0</v>
      </c>
      <c r="F520" s="791">
        <f>SUMIF('yardi_data (2)'!$A:$A,$A520,'yardi_data (2)'!$F:$F)</f>
        <v>0</v>
      </c>
      <c r="G520" s="791">
        <f>SUMIF('yardi_data (2)'!$A:$A,$A520,'yardi_data (2)'!$G:$G)</f>
        <v>0</v>
      </c>
      <c r="H520" s="792"/>
    </row>
    <row r="521" spans="1:8">
      <c r="A521" s="182" t="s">
        <v>1034</v>
      </c>
      <c r="B521" s="182" t="s">
        <v>1035</v>
      </c>
      <c r="C521" s="791">
        <f>SUMIF('yardi_data (2)'!$A:$A,$A521,'yardi_data (2)'!C:C)</f>
        <v>0</v>
      </c>
      <c r="D521" s="791">
        <f>SUMIF('yardi_data (2)'!$A:$A,$A521,'yardi_data (2)'!$D:$D)</f>
        <v>0</v>
      </c>
      <c r="E521" s="791">
        <f>SUMIF('yardi_data (2)'!$A:$A,$A521,'yardi_data (2)'!$E:$E)</f>
        <v>0</v>
      </c>
      <c r="F521" s="791">
        <f>SUMIF('yardi_data (2)'!$A:$A,$A521,'yardi_data (2)'!$F:$F)</f>
        <v>0</v>
      </c>
      <c r="G521" s="791">
        <f>SUMIF('yardi_data (2)'!$A:$A,$A521,'yardi_data (2)'!$G:$G)</f>
        <v>0</v>
      </c>
      <c r="H521" s="792"/>
    </row>
    <row r="522" spans="1:8">
      <c r="A522" s="181" t="s">
        <v>1036</v>
      </c>
      <c r="B522" s="181" t="s">
        <v>1037</v>
      </c>
      <c r="C522" s="791">
        <f>SUMIF('yardi_data (2)'!$A:$A,$A522,'yardi_data (2)'!C:C)</f>
        <v>0</v>
      </c>
      <c r="D522" s="791">
        <f>SUMIF('yardi_data (2)'!$A:$A,$A522,'yardi_data (2)'!$D:$D)</f>
        <v>0</v>
      </c>
      <c r="E522" s="791">
        <f>SUMIF('yardi_data (2)'!$A:$A,$A522,'yardi_data (2)'!$E:$E)</f>
        <v>0</v>
      </c>
      <c r="F522" s="791">
        <f>SUMIF('yardi_data (2)'!$A:$A,$A522,'yardi_data (2)'!$F:$F)</f>
        <v>0</v>
      </c>
      <c r="G522" s="791">
        <f>SUMIF('yardi_data (2)'!$A:$A,$A522,'yardi_data (2)'!$G:$G)</f>
        <v>0</v>
      </c>
      <c r="H522" s="792"/>
    </row>
    <row r="523" spans="1:8">
      <c r="A523" s="182" t="s">
        <v>1038</v>
      </c>
      <c r="B523" s="182" t="s">
        <v>1039</v>
      </c>
      <c r="C523" s="791">
        <f>SUMIF('yardi_data (2)'!$A:$A,$A523,'yardi_data (2)'!C:C)</f>
        <v>0</v>
      </c>
      <c r="D523" s="791">
        <f>SUMIF('yardi_data (2)'!$A:$A,$A523,'yardi_data (2)'!$D:$D)</f>
        <v>0</v>
      </c>
      <c r="E523" s="791">
        <f>SUMIF('yardi_data (2)'!$A:$A,$A523,'yardi_data (2)'!$E:$E)</f>
        <v>0</v>
      </c>
      <c r="F523" s="791">
        <f>SUMIF('yardi_data (2)'!$A:$A,$A523,'yardi_data (2)'!$F:$F)</f>
        <v>0</v>
      </c>
      <c r="G523" s="791">
        <f>SUMIF('yardi_data (2)'!$A:$A,$A523,'yardi_data (2)'!$G:$G)</f>
        <v>0</v>
      </c>
      <c r="H523" s="792"/>
    </row>
    <row r="524" spans="1:8">
      <c r="A524" s="181" t="s">
        <v>1040</v>
      </c>
      <c r="B524" s="181" t="s">
        <v>1041</v>
      </c>
      <c r="C524" s="791">
        <f>SUMIF('yardi_data (2)'!$A:$A,$A524,'yardi_data (2)'!C:C)</f>
        <v>8337.65</v>
      </c>
      <c r="D524" s="791">
        <f>SUMIF('yardi_data (2)'!$A:$A,$A524,'yardi_data (2)'!$D:$D)</f>
        <v>9269.6200000000008</v>
      </c>
      <c r="E524" s="791">
        <f>SUMIF('yardi_data (2)'!$A:$A,$A524,'yardi_data (2)'!$E:$E)</f>
        <v>9018.1200000000008</v>
      </c>
      <c r="F524" s="791">
        <f>SUMIF('yardi_data (2)'!$A:$A,$A524,'yardi_data (2)'!$F:$F)</f>
        <v>10000</v>
      </c>
      <c r="G524" s="791">
        <f>SUMIF('yardi_data (2)'!$A:$A,$A524,'yardi_data (2)'!$G:$G)</f>
        <v>10000</v>
      </c>
      <c r="H524" s="792"/>
    </row>
    <row r="525" spans="1:8">
      <c r="A525" s="182" t="s">
        <v>1042</v>
      </c>
      <c r="B525" s="182" t="s">
        <v>1043</v>
      </c>
      <c r="C525" s="791">
        <f>SUMIF('yardi_data (2)'!$A:$A,$A525,'yardi_data (2)'!C:C)</f>
        <v>0</v>
      </c>
      <c r="D525" s="791">
        <f>SUMIF('yardi_data (2)'!$A:$A,$A525,'yardi_data (2)'!$D:$D)</f>
        <v>0</v>
      </c>
      <c r="E525" s="791">
        <f>SUMIF('yardi_data (2)'!$A:$A,$A525,'yardi_data (2)'!$E:$E)</f>
        <v>0</v>
      </c>
      <c r="F525" s="791">
        <f>SUMIF('yardi_data (2)'!$A:$A,$A525,'yardi_data (2)'!$F:$F)</f>
        <v>0</v>
      </c>
      <c r="G525" s="791">
        <f>SUMIF('yardi_data (2)'!$A:$A,$A525,'yardi_data (2)'!$G:$G)</f>
        <v>0</v>
      </c>
      <c r="H525" s="792"/>
    </row>
    <row r="526" spans="1:8">
      <c r="A526" s="181" t="s">
        <v>1044</v>
      </c>
      <c r="B526" s="181" t="s">
        <v>1045</v>
      </c>
      <c r="C526" s="791">
        <f>SUMIF('yardi_data (2)'!$A:$A,$A526,'yardi_data (2)'!C:C)</f>
        <v>0</v>
      </c>
      <c r="D526" s="791">
        <f>SUMIF('yardi_data (2)'!$A:$A,$A526,'yardi_data (2)'!$D:$D)</f>
        <v>22168.32</v>
      </c>
      <c r="E526" s="791">
        <f>SUMIF('yardi_data (2)'!$A:$A,$A526,'yardi_data (2)'!$E:$E)</f>
        <v>23605.32</v>
      </c>
      <c r="F526" s="791">
        <f>SUMIF('yardi_data (2)'!$A:$A,$A526,'yardi_data (2)'!$F:$F)</f>
        <v>25000</v>
      </c>
      <c r="G526" s="791">
        <f>SUMIF('yardi_data (2)'!$A:$A,$A526,'yardi_data (2)'!$G:$G)</f>
        <v>25000</v>
      </c>
      <c r="H526" s="792"/>
    </row>
    <row r="527" spans="1:8">
      <c r="A527" s="182" t="s">
        <v>1046</v>
      </c>
      <c r="B527" s="182" t="s">
        <v>1047</v>
      </c>
      <c r="C527" s="791">
        <f>SUMIF('yardi_data (2)'!$A:$A,$A527,'yardi_data (2)'!C:C)</f>
        <v>0</v>
      </c>
      <c r="D527" s="791">
        <f>SUMIF('yardi_data (2)'!$A:$A,$A527,'yardi_data (2)'!$D:$D)</f>
        <v>0</v>
      </c>
      <c r="E527" s="791">
        <f>SUMIF('yardi_data (2)'!$A:$A,$A527,'yardi_data (2)'!$E:$E)</f>
        <v>0</v>
      </c>
      <c r="F527" s="791">
        <f>SUMIF('yardi_data (2)'!$A:$A,$A527,'yardi_data (2)'!$F:$F)</f>
        <v>0</v>
      </c>
      <c r="G527" s="791">
        <f>SUMIF('yardi_data (2)'!$A:$A,$A527,'yardi_data (2)'!$G:$G)</f>
        <v>0</v>
      </c>
      <c r="H527" s="792"/>
    </row>
    <row r="528" spans="1:8">
      <c r="A528" s="181" t="s">
        <v>1048</v>
      </c>
      <c r="B528" s="181" t="s">
        <v>1049</v>
      </c>
      <c r="C528" s="791">
        <f>SUMIF('yardi_data (2)'!$A:$A,$A528,'yardi_data (2)'!C:C)</f>
        <v>0</v>
      </c>
      <c r="D528" s="791">
        <f>SUMIF('yardi_data (2)'!$A:$A,$A528,'yardi_data (2)'!$D:$D)</f>
        <v>0</v>
      </c>
      <c r="E528" s="791">
        <f>SUMIF('yardi_data (2)'!$A:$A,$A528,'yardi_data (2)'!$E:$E)</f>
        <v>0</v>
      </c>
      <c r="F528" s="791">
        <f>SUMIF('yardi_data (2)'!$A:$A,$A528,'yardi_data (2)'!$F:$F)</f>
        <v>0</v>
      </c>
      <c r="G528" s="791">
        <f>SUMIF('yardi_data (2)'!$A:$A,$A528,'yardi_data (2)'!$G:$G)</f>
        <v>0</v>
      </c>
      <c r="H528" s="792"/>
    </row>
    <row r="529" spans="1:8">
      <c r="A529" s="182" t="s">
        <v>1050</v>
      </c>
      <c r="B529" s="182" t="s">
        <v>1051</v>
      </c>
      <c r="C529" s="791">
        <f>SUMIF('yardi_data (2)'!$A:$A,$A529,'yardi_data (2)'!C:C)</f>
        <v>18345.439999999999</v>
      </c>
      <c r="D529" s="791">
        <f>SUMIF('yardi_data (2)'!$A:$A,$A529,'yardi_data (2)'!$D:$D)</f>
        <v>7212.99</v>
      </c>
      <c r="E529" s="791">
        <f>SUMIF('yardi_data (2)'!$A:$A,$A529,'yardi_data (2)'!$E:$E)</f>
        <v>11411.79</v>
      </c>
      <c r="F529" s="791">
        <f>SUMIF('yardi_data (2)'!$A:$A,$A529,'yardi_data (2)'!$F:$F)</f>
        <v>10000</v>
      </c>
      <c r="G529" s="791">
        <f>SUMIF('yardi_data (2)'!$A:$A,$A529,'yardi_data (2)'!$G:$G)</f>
        <v>10000</v>
      </c>
      <c r="H529" s="792"/>
    </row>
    <row r="530" spans="1:8">
      <c r="A530" s="181" t="s">
        <v>1052</v>
      </c>
      <c r="B530" s="181" t="s">
        <v>1053</v>
      </c>
      <c r="C530" s="791">
        <f>SUMIF('yardi_data (2)'!$A:$A,$A530,'yardi_data (2)'!C:C)</f>
        <v>0</v>
      </c>
      <c r="D530" s="791">
        <f>SUMIF('yardi_data (2)'!$A:$A,$A530,'yardi_data (2)'!$D:$D)</f>
        <v>0</v>
      </c>
      <c r="E530" s="791">
        <f>SUMIF('yardi_data (2)'!$A:$A,$A530,'yardi_data (2)'!$E:$E)</f>
        <v>0</v>
      </c>
      <c r="F530" s="791">
        <f>SUMIF('yardi_data (2)'!$A:$A,$A530,'yardi_data (2)'!$F:$F)</f>
        <v>0</v>
      </c>
      <c r="G530" s="791">
        <f>SUMIF('yardi_data (2)'!$A:$A,$A530,'yardi_data (2)'!$G:$G)</f>
        <v>0</v>
      </c>
      <c r="H530" s="792"/>
    </row>
    <row r="531" spans="1:8">
      <c r="A531" s="182" t="s">
        <v>1054</v>
      </c>
      <c r="B531" s="181" t="s">
        <v>1055</v>
      </c>
      <c r="C531" s="791">
        <f>SUMIF('yardi_data (2)'!$A:$A,$A531,'yardi_data (2)'!C:C)</f>
        <v>0</v>
      </c>
      <c r="D531" s="791">
        <f>SUMIF('yardi_data (2)'!$A:$A,$A531,'yardi_data (2)'!$D:$D)</f>
        <v>0</v>
      </c>
      <c r="E531" s="791">
        <f>SUMIF('yardi_data (2)'!$A:$A,$A531,'yardi_data (2)'!$E:$E)</f>
        <v>0</v>
      </c>
      <c r="F531" s="791">
        <f>SUMIF('yardi_data (2)'!$A:$A,$A531,'yardi_data (2)'!$F:$F)</f>
        <v>0</v>
      </c>
      <c r="G531" s="791">
        <f>SUMIF('yardi_data (2)'!$A:$A,$A531,'yardi_data (2)'!$G:$G)</f>
        <v>0</v>
      </c>
      <c r="H531" s="792"/>
    </row>
    <row r="532" spans="1:8">
      <c r="A532" s="181" t="s">
        <v>1056</v>
      </c>
      <c r="B532" s="181" t="s">
        <v>1057</v>
      </c>
      <c r="C532" s="791">
        <f>SUMIF('yardi_data (2)'!$A:$A,$A532,'yardi_data (2)'!C:C)</f>
        <v>0</v>
      </c>
      <c r="D532" s="791">
        <f>SUMIF('yardi_data (2)'!$A:$A,$A532,'yardi_data (2)'!$D:$D)</f>
        <v>0</v>
      </c>
      <c r="E532" s="791">
        <f>SUMIF('yardi_data (2)'!$A:$A,$A532,'yardi_data (2)'!$E:$E)</f>
        <v>0</v>
      </c>
      <c r="F532" s="791">
        <f>SUMIF('yardi_data (2)'!$A:$A,$A532,'yardi_data (2)'!$F:$F)</f>
        <v>0</v>
      </c>
      <c r="G532" s="791">
        <f>SUMIF('yardi_data (2)'!$A:$A,$A532,'yardi_data (2)'!$G:$G)</f>
        <v>0</v>
      </c>
      <c r="H532" s="792"/>
    </row>
    <row r="533" spans="1:8">
      <c r="A533" s="182" t="s">
        <v>1058</v>
      </c>
      <c r="B533" s="182" t="s">
        <v>1059</v>
      </c>
      <c r="C533" s="791">
        <f>SUMIF('yardi_data (2)'!$A:$A,$A533,'yardi_data (2)'!C:C)</f>
        <v>0</v>
      </c>
      <c r="D533" s="791">
        <f>SUMIF('yardi_data (2)'!$A:$A,$A533,'yardi_data (2)'!$D:$D)</f>
        <v>0</v>
      </c>
      <c r="E533" s="791">
        <f>SUMIF('yardi_data (2)'!$A:$A,$A533,'yardi_data (2)'!$E:$E)</f>
        <v>0</v>
      </c>
      <c r="F533" s="791">
        <f>SUMIF('yardi_data (2)'!$A:$A,$A533,'yardi_data (2)'!$F:$F)</f>
        <v>0</v>
      </c>
      <c r="G533" s="791">
        <f>SUMIF('yardi_data (2)'!$A:$A,$A533,'yardi_data (2)'!$G:$G)</f>
        <v>0</v>
      </c>
      <c r="H533" s="792"/>
    </row>
    <row r="534" spans="1:8">
      <c r="A534" s="181" t="s">
        <v>1060</v>
      </c>
      <c r="B534" s="181" t="s">
        <v>1061</v>
      </c>
      <c r="C534" s="791">
        <f>SUMIF('yardi_data (2)'!$A:$A,$A534,'yardi_data (2)'!C:C)</f>
        <v>188943.83</v>
      </c>
      <c r="D534" s="791">
        <f>SUMIF('yardi_data (2)'!$A:$A,$A534,'yardi_data (2)'!$D:$D)</f>
        <v>197720.24</v>
      </c>
      <c r="E534" s="791">
        <f>SUMIF('yardi_data (2)'!$A:$A,$A534,'yardi_data (2)'!$E:$E)</f>
        <v>133282.5</v>
      </c>
      <c r="F534" s="791">
        <f>SUMIF('yardi_data (2)'!$A:$A,$A534,'yardi_data (2)'!$F:$F)</f>
        <v>131333.28</v>
      </c>
      <c r="G534" s="791">
        <f>SUMIF('yardi_data (2)'!$A:$A,$A534,'yardi_data (2)'!$G:$G)</f>
        <v>174500</v>
      </c>
      <c r="H534" s="792"/>
    </row>
    <row r="535" spans="1:8">
      <c r="A535" s="182" t="s">
        <v>1062</v>
      </c>
      <c r="B535" s="182" t="s">
        <v>1063</v>
      </c>
      <c r="C535" s="791">
        <f>SUMIF('yardi_data (2)'!$A:$A,$A535,'yardi_data (2)'!C:C)</f>
        <v>716128.23</v>
      </c>
      <c r="D535" s="791">
        <f>SUMIF('yardi_data (2)'!$A:$A,$A535,'yardi_data (2)'!$D:$D)</f>
        <v>770260.47</v>
      </c>
      <c r="E535" s="791">
        <f>SUMIF('yardi_data (2)'!$A:$A,$A535,'yardi_data (2)'!$E:$E)</f>
        <v>593039.43000000005</v>
      </c>
      <c r="F535" s="791">
        <f>SUMIF('yardi_data (2)'!$A:$A,$A535,'yardi_data (2)'!$F:$F)</f>
        <v>450833.44</v>
      </c>
      <c r="G535" s="791">
        <f>SUMIF('yardi_data (2)'!$A:$A,$A535,'yardi_data (2)'!$G:$G)</f>
        <v>640000</v>
      </c>
      <c r="H535" s="792"/>
    </row>
    <row r="536" spans="1:8">
      <c r="A536" s="181" t="s">
        <v>1064</v>
      </c>
      <c r="B536" s="181" t="s">
        <v>1065</v>
      </c>
      <c r="C536" s="791">
        <f>SUMIF('yardi_data (2)'!$A:$A,$A536,'yardi_data (2)'!C:C)</f>
        <v>0</v>
      </c>
      <c r="D536" s="791">
        <f>SUMIF('yardi_data (2)'!$A:$A,$A536,'yardi_data (2)'!$D:$D)</f>
        <v>0</v>
      </c>
      <c r="E536" s="791">
        <f>SUMIF('yardi_data (2)'!$A:$A,$A536,'yardi_data (2)'!$E:$E)</f>
        <v>0</v>
      </c>
      <c r="F536" s="791">
        <f>SUMIF('yardi_data (2)'!$A:$A,$A536,'yardi_data (2)'!$F:$F)</f>
        <v>0</v>
      </c>
      <c r="G536" s="791">
        <f>SUMIF('yardi_data (2)'!$A:$A,$A536,'yardi_data (2)'!$G:$G)</f>
        <v>0</v>
      </c>
      <c r="H536" s="792"/>
    </row>
    <row r="537" spans="1:8">
      <c r="A537" s="182" t="s">
        <v>1066</v>
      </c>
      <c r="B537" s="182" t="s">
        <v>1067</v>
      </c>
      <c r="C537" s="791">
        <f>SUMIF('yardi_data (2)'!$A:$A,$A537,'yardi_data (2)'!C:C)</f>
        <v>0</v>
      </c>
      <c r="D537" s="791">
        <f>SUMIF('yardi_data (2)'!$A:$A,$A537,'yardi_data (2)'!$D:$D)</f>
        <v>0</v>
      </c>
      <c r="E537" s="791">
        <f>SUMIF('yardi_data (2)'!$A:$A,$A537,'yardi_data (2)'!$E:$E)</f>
        <v>0</v>
      </c>
      <c r="F537" s="791">
        <f>SUMIF('yardi_data (2)'!$A:$A,$A537,'yardi_data (2)'!$F:$F)</f>
        <v>0</v>
      </c>
      <c r="G537" s="791">
        <f>SUMIF('yardi_data (2)'!$A:$A,$A537,'yardi_data (2)'!$G:$G)</f>
        <v>0</v>
      </c>
      <c r="H537" s="792"/>
    </row>
    <row r="538" spans="1:8">
      <c r="A538" s="181" t="s">
        <v>1068</v>
      </c>
      <c r="B538" s="181" t="s">
        <v>1069</v>
      </c>
      <c r="C538" s="791">
        <f>SUMIF('yardi_data (2)'!$A:$A,$A538,'yardi_data (2)'!C:C)</f>
        <v>267193.02</v>
      </c>
      <c r="D538" s="791">
        <f>SUMIF('yardi_data (2)'!$A:$A,$A538,'yardi_data (2)'!$D:$D)</f>
        <v>303790.88</v>
      </c>
      <c r="E538" s="791">
        <f>SUMIF('yardi_data (2)'!$A:$A,$A538,'yardi_data (2)'!$E:$E)</f>
        <v>466099.93</v>
      </c>
      <c r="F538" s="791">
        <f>SUMIF('yardi_data (2)'!$A:$A,$A538,'yardi_data (2)'!$F:$F)</f>
        <v>425307</v>
      </c>
      <c r="G538" s="791">
        <f>SUMIF('yardi_data (2)'!$A:$A,$A538,'yardi_data (2)'!$G:$G)</f>
        <v>425307</v>
      </c>
      <c r="H538" s="792"/>
    </row>
    <row r="539" spans="1:8">
      <c r="A539" s="182" t="s">
        <v>1070</v>
      </c>
      <c r="B539" s="182" t="s">
        <v>1071</v>
      </c>
      <c r="C539" s="791">
        <f>SUMIF('yardi_data (2)'!$A:$A,$A539,'yardi_data (2)'!C:C)</f>
        <v>0</v>
      </c>
      <c r="D539" s="791">
        <f>SUMIF('yardi_data (2)'!$A:$A,$A539,'yardi_data (2)'!$D:$D)</f>
        <v>0</v>
      </c>
      <c r="E539" s="791">
        <f>SUMIF('yardi_data (2)'!$A:$A,$A539,'yardi_data (2)'!$E:$E)</f>
        <v>14362.32</v>
      </c>
      <c r="F539" s="791">
        <f>SUMIF('yardi_data (2)'!$A:$A,$A539,'yardi_data (2)'!$F:$F)</f>
        <v>0</v>
      </c>
      <c r="G539" s="791">
        <f>SUMIF('yardi_data (2)'!$A:$A,$A539,'yardi_data (2)'!$G:$G)</f>
        <v>0</v>
      </c>
      <c r="H539" s="792"/>
    </row>
    <row r="540" spans="1:8">
      <c r="A540" s="181" t="s">
        <v>1072</v>
      </c>
      <c r="B540" s="181" t="s">
        <v>1073</v>
      </c>
      <c r="C540" s="791">
        <f>SUMIF('yardi_data (2)'!$A:$A,$A540,'yardi_data (2)'!C:C)</f>
        <v>0</v>
      </c>
      <c r="D540" s="791">
        <f>SUMIF('yardi_data (2)'!$A:$A,$A540,'yardi_data (2)'!$D:$D)</f>
        <v>0</v>
      </c>
      <c r="E540" s="791">
        <f>SUMIF('yardi_data (2)'!$A:$A,$A540,'yardi_data (2)'!$E:$E)</f>
        <v>0</v>
      </c>
      <c r="F540" s="791">
        <f>SUMIF('yardi_data (2)'!$A:$A,$A540,'yardi_data (2)'!$F:$F)</f>
        <v>0</v>
      </c>
      <c r="G540" s="791">
        <f>SUMIF('yardi_data (2)'!$A:$A,$A540,'yardi_data (2)'!$G:$G)</f>
        <v>0</v>
      </c>
      <c r="H540" s="792"/>
    </row>
    <row r="541" spans="1:8">
      <c r="A541" s="182" t="s">
        <v>1074</v>
      </c>
      <c r="B541" s="182" t="s">
        <v>1075</v>
      </c>
      <c r="C541" s="791">
        <f>SUMIF('yardi_data (2)'!$A:$A,$A541,'yardi_data (2)'!C:C)</f>
        <v>32643</v>
      </c>
      <c r="D541" s="791">
        <f>SUMIF('yardi_data (2)'!$A:$A,$A541,'yardi_data (2)'!$D:$D)</f>
        <v>39328</v>
      </c>
      <c r="E541" s="791">
        <f>SUMIF('yardi_data (2)'!$A:$A,$A541,'yardi_data (2)'!$E:$E)</f>
        <v>63148.82</v>
      </c>
      <c r="F541" s="791">
        <f>SUMIF('yardi_data (2)'!$A:$A,$A541,'yardi_data (2)'!$F:$F)</f>
        <v>55059</v>
      </c>
      <c r="G541" s="791">
        <f>SUMIF('yardi_data (2)'!$A:$A,$A541,'yardi_data (2)'!$G:$G)</f>
        <v>55059</v>
      </c>
      <c r="H541" s="792"/>
    </row>
    <row r="542" spans="1:8">
      <c r="A542" s="181" t="s">
        <v>1076</v>
      </c>
      <c r="B542" s="181" t="s">
        <v>1077</v>
      </c>
      <c r="C542" s="791">
        <f>SUMIF('yardi_data (2)'!$A:$A,$A542,'yardi_data (2)'!C:C)</f>
        <v>9683</v>
      </c>
      <c r="D542" s="791">
        <f>SUMIF('yardi_data (2)'!$A:$A,$A542,'yardi_data (2)'!$D:$D)</f>
        <v>11252</v>
      </c>
      <c r="E542" s="791">
        <f>SUMIF('yardi_data (2)'!$A:$A,$A542,'yardi_data (2)'!$E:$E)</f>
        <v>12812</v>
      </c>
      <c r="F542" s="791">
        <f>SUMIF('yardi_data (2)'!$A:$A,$A542,'yardi_data (2)'!$F:$F)</f>
        <v>16026</v>
      </c>
      <c r="G542" s="791">
        <f>SUMIF('yardi_data (2)'!$A:$A,$A542,'yardi_data (2)'!$G:$G)</f>
        <v>16026</v>
      </c>
      <c r="H542" s="792"/>
    </row>
    <row r="543" spans="1:8">
      <c r="A543" s="181" t="s">
        <v>1078</v>
      </c>
      <c r="B543" s="181" t="s">
        <v>1079</v>
      </c>
      <c r="C543" s="791">
        <f>SUMIF('yardi_data (2)'!$A:$A,$A543,'yardi_data (2)'!C:C)</f>
        <v>1310</v>
      </c>
      <c r="D543" s="791">
        <f>SUMIF('yardi_data (2)'!$A:$A,$A543,'yardi_data (2)'!$D:$D)</f>
        <v>1310</v>
      </c>
      <c r="E543" s="791">
        <f>SUMIF('yardi_data (2)'!$A:$A,$A543,'yardi_data (2)'!$E:$E)</f>
        <v>1471</v>
      </c>
      <c r="F543" s="791">
        <f>SUMIF('yardi_data (2)'!$A:$A,$A543,'yardi_data (2)'!$F:$F)</f>
        <v>1834</v>
      </c>
      <c r="G543" s="791">
        <f>SUMIF('yardi_data (2)'!$A:$A,$A543,'yardi_data (2)'!$G:$G)</f>
        <v>1834</v>
      </c>
      <c r="H543" s="792"/>
    </row>
    <row r="544" spans="1:8">
      <c r="A544" s="182" t="s">
        <v>1080</v>
      </c>
      <c r="B544" s="182" t="s">
        <v>1081</v>
      </c>
      <c r="C544" s="791">
        <f>SUMIF('yardi_data (2)'!$A:$A,$A544,'yardi_data (2)'!C:C)</f>
        <v>0</v>
      </c>
      <c r="D544" s="791">
        <f>SUMIF('yardi_data (2)'!$A:$A,$A544,'yardi_data (2)'!$D:$D)</f>
        <v>0</v>
      </c>
      <c r="E544" s="791">
        <f>SUMIF('yardi_data (2)'!$A:$A,$A544,'yardi_data (2)'!$E:$E)</f>
        <v>0</v>
      </c>
      <c r="F544" s="791">
        <f>SUMIF('yardi_data (2)'!$A:$A,$A544,'yardi_data (2)'!$F:$F)</f>
        <v>0</v>
      </c>
      <c r="G544" s="791">
        <f>SUMIF('yardi_data (2)'!$A:$A,$A544,'yardi_data (2)'!$G:$G)</f>
        <v>0</v>
      </c>
      <c r="H544" s="792"/>
    </row>
    <row r="545" spans="1:8">
      <c r="A545" s="181" t="s">
        <v>1082</v>
      </c>
      <c r="B545" s="181" t="s">
        <v>1083</v>
      </c>
      <c r="C545" s="791">
        <f>SUMIF('yardi_data (2)'!$A:$A,$A545,'yardi_data (2)'!C:C)</f>
        <v>0</v>
      </c>
      <c r="D545" s="791">
        <f>SUMIF('yardi_data (2)'!$A:$A,$A545,'yardi_data (2)'!$D:$D)</f>
        <v>195.04</v>
      </c>
      <c r="E545" s="791">
        <f>SUMIF('yardi_data (2)'!$A:$A,$A545,'yardi_data (2)'!$E:$E)</f>
        <v>0</v>
      </c>
      <c r="F545" s="791">
        <f>SUMIF('yardi_data (2)'!$A:$A,$A545,'yardi_data (2)'!$F:$F)</f>
        <v>0</v>
      </c>
      <c r="G545" s="791">
        <f>SUMIF('yardi_data (2)'!$A:$A,$A545,'yardi_data (2)'!$G:$G)</f>
        <v>0</v>
      </c>
      <c r="H545" s="792"/>
    </row>
    <row r="546" spans="1:8">
      <c r="A546" s="182" t="s">
        <v>1084</v>
      </c>
      <c r="B546" s="182" t="s">
        <v>1085</v>
      </c>
      <c r="C546" s="791">
        <f>SUMIF('yardi_data (2)'!$A:$A,$A546,'yardi_data (2)'!C:C)</f>
        <v>0</v>
      </c>
      <c r="D546" s="791">
        <f>SUMIF('yardi_data (2)'!$A:$A,$A546,'yardi_data (2)'!$D:$D)</f>
        <v>0</v>
      </c>
      <c r="E546" s="791">
        <f>SUMIF('yardi_data (2)'!$A:$A,$A546,'yardi_data (2)'!$E:$E)</f>
        <v>0</v>
      </c>
      <c r="F546" s="791">
        <f>SUMIF('yardi_data (2)'!$A:$A,$A546,'yardi_data (2)'!$F:$F)</f>
        <v>0</v>
      </c>
      <c r="G546" s="791">
        <f>SUMIF('yardi_data (2)'!$A:$A,$A546,'yardi_data (2)'!$G:$G)</f>
        <v>0</v>
      </c>
      <c r="H546" s="792"/>
    </row>
    <row r="547" spans="1:8">
      <c r="A547" s="181" t="s">
        <v>1086</v>
      </c>
      <c r="B547" s="181" t="s">
        <v>1087</v>
      </c>
      <c r="C547" s="791">
        <f>SUMIF('yardi_data (2)'!$A:$A,$A547,'yardi_data (2)'!C:C)</f>
        <v>0</v>
      </c>
      <c r="D547" s="791">
        <f>SUMIF('yardi_data (2)'!$A:$A,$A547,'yardi_data (2)'!$D:$D)</f>
        <v>0</v>
      </c>
      <c r="E547" s="791">
        <f>SUMIF('yardi_data (2)'!$A:$A,$A547,'yardi_data (2)'!$E:$E)</f>
        <v>0</v>
      </c>
      <c r="F547" s="791">
        <f>SUMIF('yardi_data (2)'!$A:$A,$A547,'yardi_data (2)'!$F:$F)</f>
        <v>0</v>
      </c>
      <c r="G547" s="791">
        <f>SUMIF('yardi_data (2)'!$A:$A,$A547,'yardi_data (2)'!$G:$G)</f>
        <v>0</v>
      </c>
      <c r="H547" s="792"/>
    </row>
    <row r="548" spans="1:8">
      <c r="A548" s="182" t="s">
        <v>1088</v>
      </c>
      <c r="B548" s="182" t="s">
        <v>1089</v>
      </c>
      <c r="C548" s="791">
        <f>SUMIF('yardi_data (2)'!$A:$A,$A548,'yardi_data (2)'!C:C)</f>
        <v>0</v>
      </c>
      <c r="D548" s="791">
        <f>SUMIF('yardi_data (2)'!$A:$A,$A548,'yardi_data (2)'!$D:$D)</f>
        <v>0</v>
      </c>
      <c r="E548" s="791">
        <f>SUMIF('yardi_data (2)'!$A:$A,$A548,'yardi_data (2)'!$E:$E)</f>
        <v>0</v>
      </c>
      <c r="F548" s="791">
        <f>SUMIF('yardi_data (2)'!$A:$A,$A548,'yardi_data (2)'!$F:$F)</f>
        <v>0</v>
      </c>
      <c r="G548" s="791">
        <f>SUMIF('yardi_data (2)'!$A:$A,$A548,'yardi_data (2)'!$G:$G)</f>
        <v>0</v>
      </c>
      <c r="H548" s="792"/>
    </row>
    <row r="549" spans="1:8">
      <c r="A549" s="181" t="s">
        <v>1090</v>
      </c>
      <c r="B549" s="181" t="s">
        <v>1091</v>
      </c>
      <c r="C549" s="791">
        <f>SUMIF('yardi_data (2)'!$A:$A,$A549,'yardi_data (2)'!C:C)</f>
        <v>3000</v>
      </c>
      <c r="D549" s="791">
        <f>SUMIF('yardi_data (2)'!$A:$A,$A549,'yardi_data (2)'!$D:$D)</f>
        <v>3000</v>
      </c>
      <c r="E549" s="791">
        <f>SUMIF('yardi_data (2)'!$A:$A,$A549,'yardi_data (2)'!$E:$E)</f>
        <v>0</v>
      </c>
      <c r="F549" s="791">
        <f>SUMIF('yardi_data (2)'!$A:$A,$A549,'yardi_data (2)'!$F:$F)</f>
        <v>3000</v>
      </c>
      <c r="G549" s="791">
        <f>SUMIF('yardi_data (2)'!$A:$A,$A549,'yardi_data (2)'!$G:$G)</f>
        <v>3000</v>
      </c>
      <c r="H549" s="792"/>
    </row>
    <row r="550" spans="1:8">
      <c r="A550" s="182" t="s">
        <v>1092</v>
      </c>
      <c r="B550" s="182" t="s">
        <v>1093</v>
      </c>
      <c r="C550" s="791">
        <f>SUMIF('yardi_data (2)'!$A:$A,$A550,'yardi_data (2)'!C:C)</f>
        <v>313829.02</v>
      </c>
      <c r="D550" s="791">
        <f>SUMIF('yardi_data (2)'!$A:$A,$A550,'yardi_data (2)'!$D:$D)</f>
        <v>358875.92</v>
      </c>
      <c r="E550" s="791">
        <f>SUMIF('yardi_data (2)'!$A:$A,$A550,'yardi_data (2)'!$E:$E)</f>
        <v>557894.06999999995</v>
      </c>
      <c r="F550" s="791">
        <f>SUMIF('yardi_data (2)'!$A:$A,$A550,'yardi_data (2)'!$F:$F)</f>
        <v>501226</v>
      </c>
      <c r="G550" s="791">
        <f>SUMIF('yardi_data (2)'!$A:$A,$A550,'yardi_data (2)'!$G:$G)</f>
        <v>501226</v>
      </c>
      <c r="H550" s="792"/>
    </row>
    <row r="551" spans="1:8">
      <c r="A551" s="181" t="s">
        <v>1094</v>
      </c>
      <c r="B551" s="181" t="s">
        <v>1095</v>
      </c>
      <c r="C551" s="791">
        <f>SUMIF('yardi_data (2)'!$A:$A,$A551,'yardi_data (2)'!C:C)</f>
        <v>0</v>
      </c>
      <c r="D551" s="791">
        <f>SUMIF('yardi_data (2)'!$A:$A,$A551,'yardi_data (2)'!$D:$D)</f>
        <v>0</v>
      </c>
      <c r="E551" s="791">
        <f>SUMIF('yardi_data (2)'!$A:$A,$A551,'yardi_data (2)'!$E:$E)</f>
        <v>0</v>
      </c>
      <c r="F551" s="791">
        <f>SUMIF('yardi_data (2)'!$A:$A,$A551,'yardi_data (2)'!$F:$F)</f>
        <v>0</v>
      </c>
      <c r="G551" s="791">
        <f>SUMIF('yardi_data (2)'!$A:$A,$A551,'yardi_data (2)'!$G:$G)</f>
        <v>0</v>
      </c>
      <c r="H551" s="792"/>
    </row>
    <row r="552" spans="1:8">
      <c r="A552" s="182" t="s">
        <v>1096</v>
      </c>
      <c r="B552" s="182" t="s">
        <v>685</v>
      </c>
      <c r="C552" s="791">
        <f>SUMIF('yardi_data (2)'!$A:$A,$A552,'yardi_data (2)'!C:C)</f>
        <v>208368.3</v>
      </c>
      <c r="D552" s="791">
        <f>SUMIF('yardi_data (2)'!$A:$A,$A552,'yardi_data (2)'!$D:$D)</f>
        <v>257281.1</v>
      </c>
      <c r="E552" s="791">
        <f>SUMIF('yardi_data (2)'!$A:$A,$A552,'yardi_data (2)'!$E:$E)</f>
        <v>136280.9</v>
      </c>
      <c r="F552" s="791">
        <f>SUMIF('yardi_data (2)'!$A:$A,$A552,'yardi_data (2)'!$F:$F)</f>
        <v>145198</v>
      </c>
      <c r="G552" s="791">
        <f>SUMIF('yardi_data (2)'!$A:$A,$A552,'yardi_data (2)'!$G:$G)</f>
        <v>217797</v>
      </c>
      <c r="H552" s="792"/>
    </row>
    <row r="553" spans="1:8">
      <c r="A553" s="181" t="s">
        <v>1097</v>
      </c>
      <c r="B553" s="181" t="s">
        <v>1098</v>
      </c>
      <c r="C553" s="791">
        <f>SUMIF('yardi_data (2)'!$A:$A,$A553,'yardi_data (2)'!C:C)</f>
        <v>17268</v>
      </c>
      <c r="D553" s="791">
        <f>SUMIF('yardi_data (2)'!$A:$A,$A553,'yardi_data (2)'!$D:$D)</f>
        <v>32746</v>
      </c>
      <c r="E553" s="791">
        <f>SUMIF('yardi_data (2)'!$A:$A,$A553,'yardi_data (2)'!$E:$E)</f>
        <v>19550</v>
      </c>
      <c r="F553" s="791">
        <f>SUMIF('yardi_data (2)'!$A:$A,$A553,'yardi_data (2)'!$F:$F)</f>
        <v>13650</v>
      </c>
      <c r="G553" s="791">
        <f>SUMIF('yardi_data (2)'!$A:$A,$A553,'yardi_data (2)'!$G:$G)</f>
        <v>27300</v>
      </c>
      <c r="H553" s="792"/>
    </row>
    <row r="554" spans="1:8">
      <c r="A554" s="182" t="s">
        <v>1099</v>
      </c>
      <c r="B554" s="182" t="s">
        <v>1100</v>
      </c>
      <c r="C554" s="791">
        <f>SUMIF('yardi_data (2)'!$A:$A,$A554,'yardi_data (2)'!C:C)</f>
        <v>4755486.74</v>
      </c>
      <c r="D554" s="791">
        <f>SUMIF('yardi_data (2)'!$A:$A,$A554,'yardi_data (2)'!$D:$D)</f>
        <v>4927699.59</v>
      </c>
      <c r="E554" s="791">
        <f>SUMIF('yardi_data (2)'!$A:$A,$A554,'yardi_data (2)'!$E:$E)</f>
        <v>3724147.75</v>
      </c>
      <c r="F554" s="791">
        <f>SUMIF('yardi_data (2)'!$A:$A,$A554,'yardi_data (2)'!$F:$F)</f>
        <v>3779281</v>
      </c>
      <c r="G554" s="791">
        <f>SUMIF('yardi_data (2)'!$A:$A,$A554,'yardi_data (2)'!$G:$G)</f>
        <v>5087406</v>
      </c>
      <c r="H554" s="792"/>
    </row>
    <row r="555" spans="1:8">
      <c r="A555" s="181" t="s">
        <v>1101</v>
      </c>
      <c r="B555" s="181" t="s">
        <v>494</v>
      </c>
      <c r="C555" s="791">
        <f>SUMIF('yardi_data (2)'!$A:$A,$A555,'yardi_data (2)'!C:C)</f>
        <v>-746975.56</v>
      </c>
      <c r="D555" s="791">
        <f>SUMIF('yardi_data (2)'!$A:$A,$A555,'yardi_data (2)'!$D:$D)</f>
        <v>-756047.45</v>
      </c>
      <c r="E555" s="791">
        <f>SUMIF('yardi_data (2)'!$A:$A,$A555,'yardi_data (2)'!$E:$E)</f>
        <v>-561767.96</v>
      </c>
      <c r="F555" s="791">
        <f>SUMIF('yardi_data (2)'!$A:$A,$A555,'yardi_data (2)'!$F:$F)</f>
        <v>-587886.75</v>
      </c>
      <c r="G555" s="791">
        <f>SUMIF('yardi_data (2)'!$A:$A,$A555,'yardi_data (2)'!$G:$G)</f>
        <v>-790274</v>
      </c>
      <c r="H555" s="792"/>
    </row>
    <row r="556" spans="1:8">
      <c r="A556" s="182" t="s">
        <v>1102</v>
      </c>
      <c r="B556" s="182" t="s">
        <v>496</v>
      </c>
      <c r="C556" s="791">
        <f>SUMIF('yardi_data (2)'!$A:$A,$A556,'yardi_data (2)'!C:C)</f>
        <v>-21660.82</v>
      </c>
      <c r="D556" s="791">
        <f>SUMIF('yardi_data (2)'!$A:$A,$A556,'yardi_data (2)'!$D:$D)</f>
        <v>-19405.560000000001</v>
      </c>
      <c r="E556" s="791">
        <f>SUMIF('yardi_data (2)'!$A:$A,$A556,'yardi_data (2)'!$E:$E)</f>
        <v>-12828.64</v>
      </c>
      <c r="F556" s="791">
        <f>SUMIF('yardi_data (2)'!$A:$A,$A556,'yardi_data (2)'!$F:$F)</f>
        <v>-16862.75</v>
      </c>
      <c r="G556" s="791">
        <f>SUMIF('yardi_data (2)'!$A:$A,$A556,'yardi_data (2)'!$G:$G)</f>
        <v>-22668</v>
      </c>
      <c r="H556" s="792"/>
    </row>
    <row r="557" spans="1:8">
      <c r="A557" s="181" t="s">
        <v>1103</v>
      </c>
      <c r="B557" s="181" t="s">
        <v>1104</v>
      </c>
      <c r="C557" s="791">
        <f>SUMIF('yardi_data (2)'!$A:$A,$A557,'yardi_data (2)'!C:C)</f>
        <v>-11156.1</v>
      </c>
      <c r="D557" s="791">
        <f>SUMIF('yardi_data (2)'!$A:$A,$A557,'yardi_data (2)'!$D:$D)</f>
        <v>-17310.34</v>
      </c>
      <c r="E557" s="791">
        <f>SUMIF('yardi_data (2)'!$A:$A,$A557,'yardi_data (2)'!$E:$E)</f>
        <v>-16072.74</v>
      </c>
      <c r="F557" s="791">
        <f>SUMIF('yardi_data (2)'!$A:$A,$A557,'yardi_data (2)'!$F:$F)</f>
        <v>-10309</v>
      </c>
      <c r="G557" s="791">
        <f>SUMIF('yardi_data (2)'!$A:$A,$A557,'yardi_data (2)'!$G:$G)</f>
        <v>-13858</v>
      </c>
      <c r="H557" s="792"/>
    </row>
    <row r="558" spans="1:8">
      <c r="A558" s="182" t="s">
        <v>1105</v>
      </c>
      <c r="B558" s="182" t="s">
        <v>1106</v>
      </c>
      <c r="C558" s="791">
        <f>SUMIF('yardi_data (2)'!$A:$A,$A558,'yardi_data (2)'!C:C)</f>
        <v>0</v>
      </c>
      <c r="D558" s="791">
        <f>SUMIF('yardi_data (2)'!$A:$A,$A558,'yardi_data (2)'!$D:$D)</f>
        <v>0</v>
      </c>
      <c r="E558" s="791">
        <f>SUMIF('yardi_data (2)'!$A:$A,$A558,'yardi_data (2)'!$E:$E)</f>
        <v>0</v>
      </c>
      <c r="F558" s="791">
        <f>SUMIF('yardi_data (2)'!$A:$A,$A558,'yardi_data (2)'!$F:$F)</f>
        <v>0</v>
      </c>
      <c r="G558" s="791">
        <f>SUMIF('yardi_data (2)'!$A:$A,$A558,'yardi_data (2)'!$G:$G)</f>
        <v>0</v>
      </c>
      <c r="H558" s="792"/>
    </row>
    <row r="559" spans="1:8">
      <c r="A559" s="181" t="s">
        <v>1107</v>
      </c>
      <c r="B559" s="181" t="s">
        <v>1108</v>
      </c>
      <c r="C559" s="791">
        <f>SUMIF('yardi_data (2)'!$A:$A,$A559,'yardi_data (2)'!C:C)</f>
        <v>-18520.34</v>
      </c>
      <c r="D559" s="791">
        <f>SUMIF('yardi_data (2)'!$A:$A,$A559,'yardi_data (2)'!$D:$D)</f>
        <v>-18958.099999999999</v>
      </c>
      <c r="E559" s="791">
        <f>SUMIF('yardi_data (2)'!$A:$A,$A559,'yardi_data (2)'!$E:$E)</f>
        <v>-17613.509999999998</v>
      </c>
      <c r="F559" s="791">
        <f>SUMIF('yardi_data (2)'!$A:$A,$A559,'yardi_data (2)'!$F:$F)</f>
        <v>-14347.25</v>
      </c>
      <c r="G559" s="791">
        <f>SUMIF('yardi_data (2)'!$A:$A,$A559,'yardi_data (2)'!$G:$G)</f>
        <v>-19193</v>
      </c>
      <c r="H559" s="792"/>
    </row>
    <row r="560" spans="1:8">
      <c r="A560" s="182" t="s">
        <v>1109</v>
      </c>
      <c r="B560" s="182" t="s">
        <v>1110</v>
      </c>
      <c r="C560" s="791">
        <f>SUMIF('yardi_data (2)'!$A:$A,$A560,'yardi_data (2)'!C:C)</f>
        <v>0</v>
      </c>
      <c r="D560" s="791">
        <f>SUMIF('yardi_data (2)'!$A:$A,$A560,'yardi_data (2)'!$D:$D)</f>
        <v>0</v>
      </c>
      <c r="E560" s="791">
        <f>SUMIF('yardi_data (2)'!$A:$A,$A560,'yardi_data (2)'!$E:$E)</f>
        <v>0</v>
      </c>
      <c r="F560" s="791">
        <f>SUMIF('yardi_data (2)'!$A:$A,$A560,'yardi_data (2)'!$F:$F)</f>
        <v>0</v>
      </c>
      <c r="G560" s="791">
        <f>SUMIF('yardi_data (2)'!$A:$A,$A560,'yardi_data (2)'!$G:$G)</f>
        <v>0</v>
      </c>
      <c r="H560" s="792"/>
    </row>
    <row r="561" spans="1:8">
      <c r="A561" s="181" t="s">
        <v>1111</v>
      </c>
      <c r="B561" s="181" t="s">
        <v>1112</v>
      </c>
      <c r="C561" s="791">
        <f>SUMIF('yardi_data (2)'!$A:$A,$A561,'yardi_data (2)'!C:C)</f>
        <v>0</v>
      </c>
      <c r="D561" s="791">
        <f>SUMIF('yardi_data (2)'!$A:$A,$A561,'yardi_data (2)'!$D:$D)</f>
        <v>0</v>
      </c>
      <c r="E561" s="791">
        <f>SUMIF('yardi_data (2)'!$A:$A,$A561,'yardi_data (2)'!$E:$E)</f>
        <v>0</v>
      </c>
      <c r="F561" s="791">
        <f>SUMIF('yardi_data (2)'!$A:$A,$A561,'yardi_data (2)'!$F:$F)</f>
        <v>0</v>
      </c>
      <c r="G561" s="791">
        <f>SUMIF('yardi_data (2)'!$A:$A,$A561,'yardi_data (2)'!$G:$G)</f>
        <v>0</v>
      </c>
      <c r="H561" s="792"/>
    </row>
    <row r="562" spans="1:8">
      <c r="A562" s="182" t="s">
        <v>1113</v>
      </c>
      <c r="B562" s="182" t="s">
        <v>1114</v>
      </c>
      <c r="C562" s="791">
        <f>SUMIF('yardi_data (2)'!$A:$A,$A562,'yardi_data (2)'!C:C)</f>
        <v>0</v>
      </c>
      <c r="D562" s="791">
        <f>SUMIF('yardi_data (2)'!$A:$A,$A562,'yardi_data (2)'!$D:$D)</f>
        <v>0</v>
      </c>
      <c r="E562" s="791">
        <f>SUMIF('yardi_data (2)'!$A:$A,$A562,'yardi_data (2)'!$E:$E)</f>
        <v>0</v>
      </c>
      <c r="F562" s="791">
        <f>SUMIF('yardi_data (2)'!$A:$A,$A562,'yardi_data (2)'!$F:$F)</f>
        <v>0</v>
      </c>
      <c r="G562" s="791">
        <f>SUMIF('yardi_data (2)'!$A:$A,$A562,'yardi_data (2)'!$G:$G)</f>
        <v>0</v>
      </c>
      <c r="H562" s="792"/>
    </row>
    <row r="563" spans="1:8">
      <c r="A563" s="181" t="s">
        <v>1115</v>
      </c>
      <c r="B563" s="181" t="s">
        <v>1116</v>
      </c>
      <c r="C563" s="791">
        <f>SUMIF('yardi_data (2)'!$A:$A,$A563,'yardi_data (2)'!C:C)</f>
        <v>0</v>
      </c>
      <c r="D563" s="791">
        <f>SUMIF('yardi_data (2)'!$A:$A,$A563,'yardi_data (2)'!$D:$D)</f>
        <v>0</v>
      </c>
      <c r="E563" s="791">
        <f>SUMIF('yardi_data (2)'!$A:$A,$A563,'yardi_data (2)'!$E:$E)</f>
        <v>0</v>
      </c>
      <c r="F563" s="791">
        <f>SUMIF('yardi_data (2)'!$A:$A,$A563,'yardi_data (2)'!$F:$F)</f>
        <v>0</v>
      </c>
      <c r="G563" s="791">
        <f>SUMIF('yardi_data (2)'!$A:$A,$A563,'yardi_data (2)'!$G:$G)</f>
        <v>0</v>
      </c>
      <c r="H563" s="792"/>
    </row>
    <row r="564" spans="1:8">
      <c r="A564" s="182" t="s">
        <v>1117</v>
      </c>
      <c r="B564" s="182" t="s">
        <v>1118</v>
      </c>
      <c r="C564" s="791">
        <f>SUMIF('yardi_data (2)'!$A:$A,$A564,'yardi_data (2)'!C:C)</f>
        <v>0</v>
      </c>
      <c r="D564" s="791">
        <f>SUMIF('yardi_data (2)'!$A:$A,$A564,'yardi_data (2)'!$D:$D)</f>
        <v>0</v>
      </c>
      <c r="E564" s="791">
        <f>SUMIF('yardi_data (2)'!$A:$A,$A564,'yardi_data (2)'!$E:$E)</f>
        <v>0</v>
      </c>
      <c r="F564" s="791">
        <f>SUMIF('yardi_data (2)'!$A:$A,$A564,'yardi_data (2)'!$F:$F)</f>
        <v>0</v>
      </c>
      <c r="G564" s="791">
        <f>SUMIF('yardi_data (2)'!$A:$A,$A564,'yardi_data (2)'!$G:$G)</f>
        <v>0</v>
      </c>
      <c r="H564" s="792"/>
    </row>
    <row r="565" spans="1:8">
      <c r="A565" s="181" t="s">
        <v>1119</v>
      </c>
      <c r="B565" s="181" t="s">
        <v>1120</v>
      </c>
      <c r="C565" s="791">
        <f>SUMIF('yardi_data (2)'!$A:$A,$A565,'yardi_data (2)'!C:C)</f>
        <v>0</v>
      </c>
      <c r="D565" s="791">
        <f>SUMIF('yardi_data (2)'!$A:$A,$A565,'yardi_data (2)'!$D:$D)</f>
        <v>0</v>
      </c>
      <c r="E565" s="791">
        <f>SUMIF('yardi_data (2)'!$A:$A,$A565,'yardi_data (2)'!$E:$E)</f>
        <v>0</v>
      </c>
      <c r="F565" s="791">
        <f>SUMIF('yardi_data (2)'!$A:$A,$A565,'yardi_data (2)'!$F:$F)</f>
        <v>0</v>
      </c>
      <c r="G565" s="791">
        <f>SUMIF('yardi_data (2)'!$A:$A,$A565,'yardi_data (2)'!$G:$G)</f>
        <v>0</v>
      </c>
      <c r="H565" s="792"/>
    </row>
    <row r="566" spans="1:8">
      <c r="A566" s="182" t="s">
        <v>1121</v>
      </c>
      <c r="B566" s="182" t="s">
        <v>1122</v>
      </c>
      <c r="C566" s="791">
        <f>SUMIF('yardi_data (2)'!$A:$A,$A566,'yardi_data (2)'!C:C)</f>
        <v>4182810.22</v>
      </c>
      <c r="D566" s="791">
        <f>SUMIF('yardi_data (2)'!$A:$A,$A566,'yardi_data (2)'!$D:$D)</f>
        <v>4406005.24</v>
      </c>
      <c r="E566" s="791">
        <f>SUMIF('yardi_data (2)'!$A:$A,$A566,'yardi_data (2)'!$E:$E)</f>
        <v>3271695.8</v>
      </c>
      <c r="F566" s="791">
        <f>SUMIF('yardi_data (2)'!$A:$A,$A566,'yardi_data (2)'!$F:$F)</f>
        <v>3308723.25</v>
      </c>
      <c r="G566" s="791">
        <f>SUMIF('yardi_data (2)'!$A:$A,$A566,'yardi_data (2)'!$G:$G)</f>
        <v>4486510</v>
      </c>
      <c r="H566" s="792"/>
    </row>
    <row r="567" spans="1:8">
      <c r="A567" s="181" t="s">
        <v>1123</v>
      </c>
      <c r="B567" s="181" t="s">
        <v>1124</v>
      </c>
      <c r="C567" s="791">
        <f>SUMIF('yardi_data (2)'!$A:$A,$A567,'yardi_data (2)'!C:C)</f>
        <v>0</v>
      </c>
      <c r="D567" s="791">
        <f>SUMIF('yardi_data (2)'!$A:$A,$A567,'yardi_data (2)'!$D:$D)</f>
        <v>0</v>
      </c>
      <c r="E567" s="791">
        <f>SUMIF('yardi_data (2)'!$A:$A,$A567,'yardi_data (2)'!$E:$E)</f>
        <v>0</v>
      </c>
      <c r="F567" s="791">
        <f>SUMIF('yardi_data (2)'!$A:$A,$A567,'yardi_data (2)'!$F:$F)</f>
        <v>0</v>
      </c>
      <c r="G567" s="791">
        <f>SUMIF('yardi_data (2)'!$A:$A,$A567,'yardi_data (2)'!$G:$G)</f>
        <v>0</v>
      </c>
      <c r="H567" s="792"/>
    </row>
    <row r="568" spans="1:8">
      <c r="A568" s="182" t="s">
        <v>1125</v>
      </c>
      <c r="B568" s="182" t="s">
        <v>1126</v>
      </c>
      <c r="C568" s="791">
        <f>SUMIF('yardi_data (2)'!$A:$A,$A568,'yardi_data (2)'!C:C)</f>
        <v>10775</v>
      </c>
      <c r="D568" s="791">
        <f>SUMIF('yardi_data (2)'!$A:$A,$A568,'yardi_data (2)'!$D:$D)</f>
        <v>6650</v>
      </c>
      <c r="E568" s="791">
        <f>SUMIF('yardi_data (2)'!$A:$A,$A568,'yardi_data (2)'!$E:$E)</f>
        <v>1500</v>
      </c>
      <c r="F568" s="791">
        <f>SUMIF('yardi_data (2)'!$A:$A,$A568,'yardi_data (2)'!$F:$F)</f>
        <v>3333.36</v>
      </c>
      <c r="G568" s="791">
        <f>SUMIF('yardi_data (2)'!$A:$A,$A568,'yardi_data (2)'!$G:$G)</f>
        <v>5000</v>
      </c>
      <c r="H568" s="792"/>
    </row>
    <row r="569" spans="1:8">
      <c r="A569" s="181" t="s">
        <v>1127</v>
      </c>
      <c r="B569" s="181" t="s">
        <v>592</v>
      </c>
      <c r="C569" s="791">
        <f>SUMIF('yardi_data (2)'!$A:$A,$A569,'yardi_data (2)'!C:C)</f>
        <v>132673.32</v>
      </c>
      <c r="D569" s="791">
        <f>SUMIF('yardi_data (2)'!$A:$A,$A569,'yardi_data (2)'!$D:$D)</f>
        <v>136321.79999999999</v>
      </c>
      <c r="E569" s="791">
        <f>SUMIF('yardi_data (2)'!$A:$A,$A569,'yardi_data (2)'!$E:$E)</f>
        <v>93380.4</v>
      </c>
      <c r="F569" s="791">
        <f>SUMIF('yardi_data (2)'!$A:$A,$A569,'yardi_data (2)'!$F:$F)</f>
        <v>93380.4</v>
      </c>
      <c r="G569" s="791">
        <f>SUMIF('yardi_data (2)'!$A:$A,$A569,'yardi_data (2)'!$G:$G)</f>
        <v>140070.6</v>
      </c>
      <c r="H569" s="792"/>
    </row>
    <row r="570" spans="1:8">
      <c r="A570" s="182" t="s">
        <v>1128</v>
      </c>
      <c r="B570" s="182" t="s">
        <v>610</v>
      </c>
      <c r="C570" s="791">
        <f>SUMIF('yardi_data (2)'!$A:$A,$A570,'yardi_data (2)'!C:C)</f>
        <v>12444.49</v>
      </c>
      <c r="D570" s="791">
        <f>SUMIF('yardi_data (2)'!$A:$A,$A570,'yardi_data (2)'!$D:$D)</f>
        <v>12616.13</v>
      </c>
      <c r="E570" s="791">
        <f>SUMIF('yardi_data (2)'!$A:$A,$A570,'yardi_data (2)'!$E:$E)</f>
        <v>1242.75</v>
      </c>
      <c r="F570" s="791">
        <f>SUMIF('yardi_data (2)'!$A:$A,$A570,'yardi_data (2)'!$F:$F)</f>
        <v>6666.64</v>
      </c>
      <c r="G570" s="791">
        <f>SUMIF('yardi_data (2)'!$A:$A,$A570,'yardi_data (2)'!$G:$G)</f>
        <v>10000</v>
      </c>
      <c r="H570" s="792"/>
    </row>
    <row r="571" spans="1:8">
      <c r="A571" s="182" t="s">
        <v>1129</v>
      </c>
      <c r="B571" s="182" t="s">
        <v>1130</v>
      </c>
      <c r="C571" s="791">
        <f>SUMIF('yardi_data (2)'!$A:$A,$A571,'yardi_data (2)'!C:C)</f>
        <v>0</v>
      </c>
      <c r="D571" s="791">
        <f>SUMIF('yardi_data (2)'!$A:$A,$A571,'yardi_data (2)'!$D:$D)</f>
        <v>0</v>
      </c>
      <c r="E571" s="791">
        <f>SUMIF('yardi_data (2)'!$A:$A,$A571,'yardi_data (2)'!$E:$E)</f>
        <v>0</v>
      </c>
      <c r="F571" s="791">
        <f>SUMIF('yardi_data (2)'!$A:$A,$A571,'yardi_data (2)'!$F:$F)</f>
        <v>0</v>
      </c>
      <c r="G571" s="791">
        <f>SUMIF('yardi_data (2)'!$A:$A,$A571,'yardi_data (2)'!$G:$G)</f>
        <v>0</v>
      </c>
      <c r="H571" s="792"/>
    </row>
    <row r="572" spans="1:8">
      <c r="A572" s="181" t="s">
        <v>1131</v>
      </c>
      <c r="B572" s="181" t="s">
        <v>1132</v>
      </c>
      <c r="C572" s="791">
        <f>SUMIF('yardi_data (2)'!$A:$A,$A572,'yardi_data (2)'!C:C)</f>
        <v>17777.63</v>
      </c>
      <c r="D572" s="791">
        <f>SUMIF('yardi_data (2)'!$A:$A,$A572,'yardi_data (2)'!$D:$D)</f>
        <v>500</v>
      </c>
      <c r="E572" s="791">
        <f>SUMIF('yardi_data (2)'!$A:$A,$A572,'yardi_data (2)'!$E:$E)</f>
        <v>500</v>
      </c>
      <c r="F572" s="791">
        <f>SUMIF('yardi_data (2)'!$A:$A,$A572,'yardi_data (2)'!$F:$F)</f>
        <v>150</v>
      </c>
      <c r="G572" s="791">
        <f>SUMIF('yardi_data (2)'!$A:$A,$A572,'yardi_data (2)'!$G:$G)</f>
        <v>500</v>
      </c>
      <c r="H572" s="792"/>
    </row>
    <row r="573" spans="1:8">
      <c r="A573" s="182" t="s">
        <v>1133</v>
      </c>
      <c r="B573" s="182" t="s">
        <v>731</v>
      </c>
      <c r="C573" s="791">
        <f>SUMIF('yardi_data (2)'!$A:$A,$A573,'yardi_data (2)'!C:C)</f>
        <v>9350</v>
      </c>
      <c r="D573" s="791">
        <f>SUMIF('yardi_data (2)'!$A:$A,$A573,'yardi_data (2)'!$D:$D)</f>
        <v>16750</v>
      </c>
      <c r="E573" s="791">
        <f>SUMIF('yardi_data (2)'!$A:$A,$A573,'yardi_data (2)'!$E:$E)</f>
        <v>17000</v>
      </c>
      <c r="F573" s="791">
        <f>SUMIF('yardi_data (2)'!$A:$A,$A573,'yardi_data (2)'!$F:$F)</f>
        <v>16750</v>
      </c>
      <c r="G573" s="791">
        <f>SUMIF('yardi_data (2)'!$A:$A,$A573,'yardi_data (2)'!$G:$G)</f>
        <v>16750</v>
      </c>
      <c r="H573" s="792"/>
    </row>
    <row r="574" spans="1:8">
      <c r="A574" s="181" t="s">
        <v>1134</v>
      </c>
      <c r="B574" s="181" t="s">
        <v>1135</v>
      </c>
      <c r="C574" s="791">
        <f>SUMIF('yardi_data (2)'!$A:$A,$A574,'yardi_data (2)'!C:C)</f>
        <v>0</v>
      </c>
      <c r="D574" s="791">
        <f>SUMIF('yardi_data (2)'!$A:$A,$A574,'yardi_data (2)'!$D:$D)</f>
        <v>0</v>
      </c>
      <c r="E574" s="791">
        <f>SUMIF('yardi_data (2)'!$A:$A,$A574,'yardi_data (2)'!$E:$E)</f>
        <v>0</v>
      </c>
      <c r="F574" s="791">
        <f>SUMIF('yardi_data (2)'!$A:$A,$A574,'yardi_data (2)'!$F:$F)</f>
        <v>0</v>
      </c>
      <c r="G574" s="791">
        <f>SUMIF('yardi_data (2)'!$A:$A,$A574,'yardi_data (2)'!$G:$G)</f>
        <v>0</v>
      </c>
      <c r="H574" s="792"/>
    </row>
    <row r="575" spans="1:8">
      <c r="A575" s="182" t="s">
        <v>1136</v>
      </c>
      <c r="B575" s="182" t="s">
        <v>1137</v>
      </c>
      <c r="C575" s="791">
        <f>SUMIF('yardi_data (2)'!$A:$A,$A575,'yardi_data (2)'!C:C)</f>
        <v>8991.2900000000009</v>
      </c>
      <c r="D575" s="791">
        <f>SUMIF('yardi_data (2)'!$A:$A,$A575,'yardi_data (2)'!$D:$D)</f>
        <v>9890</v>
      </c>
      <c r="E575" s="791">
        <f>SUMIF('yardi_data (2)'!$A:$A,$A575,'yardi_data (2)'!$E:$E)</f>
        <v>4505</v>
      </c>
      <c r="F575" s="791">
        <f>SUMIF('yardi_data (2)'!$A:$A,$A575,'yardi_data (2)'!$F:$F)</f>
        <v>2333.36</v>
      </c>
      <c r="G575" s="791">
        <f>SUMIF('yardi_data (2)'!$A:$A,$A575,'yardi_data (2)'!$G:$G)</f>
        <v>3500</v>
      </c>
      <c r="H575" s="792"/>
    </row>
    <row r="576" spans="1:8">
      <c r="A576" s="181" t="s">
        <v>1138</v>
      </c>
      <c r="B576" s="181" t="s">
        <v>1139</v>
      </c>
      <c r="C576" s="791">
        <f>SUMIF('yardi_data (2)'!$A:$A,$A576,'yardi_data (2)'!C:C)</f>
        <v>192011.73</v>
      </c>
      <c r="D576" s="791">
        <f>SUMIF('yardi_data (2)'!$A:$A,$A576,'yardi_data (2)'!$D:$D)</f>
        <v>182727.93</v>
      </c>
      <c r="E576" s="791">
        <f>SUMIF('yardi_data (2)'!$A:$A,$A576,'yardi_data (2)'!$E:$E)</f>
        <v>118128.15</v>
      </c>
      <c r="F576" s="791">
        <f>SUMIF('yardi_data (2)'!$A:$A,$A576,'yardi_data (2)'!$F:$F)</f>
        <v>122613.75999999999</v>
      </c>
      <c r="G576" s="791">
        <f>SUMIF('yardi_data (2)'!$A:$A,$A576,'yardi_data (2)'!$G:$G)</f>
        <v>175820.6</v>
      </c>
      <c r="H576" s="792"/>
    </row>
    <row r="577" spans="1:8">
      <c r="A577" s="182" t="s">
        <v>1140</v>
      </c>
      <c r="B577" s="182" t="s">
        <v>1141</v>
      </c>
      <c r="C577" s="791">
        <f>SUMIF('yardi_data (2)'!$A:$A,$A577,'yardi_data (2)'!C:C)</f>
        <v>0</v>
      </c>
      <c r="D577" s="791">
        <f>SUMIF('yardi_data (2)'!$A:$A,$A577,'yardi_data (2)'!$D:$D)</f>
        <v>0</v>
      </c>
      <c r="E577" s="791">
        <f>SUMIF('yardi_data (2)'!$A:$A,$A577,'yardi_data (2)'!$E:$E)</f>
        <v>0</v>
      </c>
      <c r="F577" s="791">
        <f>SUMIF('yardi_data (2)'!$A:$A,$A577,'yardi_data (2)'!$F:$F)</f>
        <v>0</v>
      </c>
      <c r="G577" s="791">
        <f>SUMIF('yardi_data (2)'!$A:$A,$A577,'yardi_data (2)'!$G:$G)</f>
        <v>0</v>
      </c>
      <c r="H577" s="792"/>
    </row>
    <row r="578" spans="1:8">
      <c r="A578" s="181" t="s">
        <v>1142</v>
      </c>
      <c r="B578" s="181" t="s">
        <v>1143</v>
      </c>
      <c r="C578" s="791">
        <f>SUMIF('yardi_data (2)'!$A:$A,$A578,'yardi_data (2)'!C:C)</f>
        <v>0</v>
      </c>
      <c r="D578" s="791">
        <f>SUMIF('yardi_data (2)'!$A:$A,$A578,'yardi_data (2)'!$D:$D)</f>
        <v>0</v>
      </c>
      <c r="E578" s="791">
        <f>SUMIF('yardi_data (2)'!$A:$A,$A578,'yardi_data (2)'!$E:$E)</f>
        <v>0</v>
      </c>
      <c r="F578" s="791">
        <f>SUMIF('yardi_data (2)'!$A:$A,$A578,'yardi_data (2)'!$F:$F)</f>
        <v>0</v>
      </c>
      <c r="G578" s="791">
        <f>SUMIF('yardi_data (2)'!$A:$A,$A578,'yardi_data (2)'!$G:$G)</f>
        <v>0</v>
      </c>
      <c r="H578" s="792"/>
    </row>
    <row r="579" spans="1:8">
      <c r="A579" s="182" t="s">
        <v>1144</v>
      </c>
      <c r="B579" s="182" t="s">
        <v>1145</v>
      </c>
      <c r="C579" s="791">
        <f>SUMIF('yardi_data (2)'!$A:$A,$A579,'yardi_data (2)'!C:C)</f>
        <v>0</v>
      </c>
      <c r="D579" s="791">
        <f>SUMIF('yardi_data (2)'!$A:$A,$A579,'yardi_data (2)'!$D:$D)</f>
        <v>0</v>
      </c>
      <c r="E579" s="791">
        <f>SUMIF('yardi_data (2)'!$A:$A,$A579,'yardi_data (2)'!$E:$E)</f>
        <v>0</v>
      </c>
      <c r="F579" s="791">
        <f>SUMIF('yardi_data (2)'!$A:$A,$A579,'yardi_data (2)'!$F:$F)</f>
        <v>0</v>
      </c>
      <c r="G579" s="791">
        <f>SUMIF('yardi_data (2)'!$A:$A,$A579,'yardi_data (2)'!$G:$G)</f>
        <v>0</v>
      </c>
      <c r="H579" s="792"/>
    </row>
    <row r="580" spans="1:8">
      <c r="A580" s="181" t="s">
        <v>1146</v>
      </c>
      <c r="B580" s="181" t="s">
        <v>1147</v>
      </c>
      <c r="C580" s="791">
        <f>SUMIF('yardi_data (2)'!$A:$A,$A580,'yardi_data (2)'!C:C)</f>
        <v>0</v>
      </c>
      <c r="D580" s="791">
        <f>SUMIF('yardi_data (2)'!$A:$A,$A580,'yardi_data (2)'!$D:$D)</f>
        <v>0</v>
      </c>
      <c r="E580" s="791">
        <f>SUMIF('yardi_data (2)'!$A:$A,$A580,'yardi_data (2)'!$E:$E)</f>
        <v>0</v>
      </c>
      <c r="F580" s="791">
        <f>SUMIF('yardi_data (2)'!$A:$A,$A580,'yardi_data (2)'!$F:$F)</f>
        <v>0</v>
      </c>
      <c r="G580" s="791">
        <f>SUMIF('yardi_data (2)'!$A:$A,$A580,'yardi_data (2)'!$G:$G)</f>
        <v>0</v>
      </c>
      <c r="H580" s="792"/>
    </row>
    <row r="581" spans="1:8">
      <c r="A581" s="182" t="s">
        <v>1148</v>
      </c>
      <c r="B581" s="182" t="s">
        <v>1149</v>
      </c>
      <c r="C581" s="791">
        <f>SUMIF('yardi_data (2)'!$A:$A,$A581,'yardi_data (2)'!C:C)</f>
        <v>0</v>
      </c>
      <c r="D581" s="791">
        <f>SUMIF('yardi_data (2)'!$A:$A,$A581,'yardi_data (2)'!$D:$D)</f>
        <v>0</v>
      </c>
      <c r="E581" s="791">
        <f>SUMIF('yardi_data (2)'!$A:$A,$A581,'yardi_data (2)'!$E:$E)</f>
        <v>0</v>
      </c>
      <c r="F581" s="791">
        <f>SUMIF('yardi_data (2)'!$A:$A,$A581,'yardi_data (2)'!$F:$F)</f>
        <v>0</v>
      </c>
      <c r="G581" s="791">
        <f>SUMIF('yardi_data (2)'!$A:$A,$A581,'yardi_data (2)'!$G:$G)</f>
        <v>0</v>
      </c>
      <c r="H581" s="792"/>
    </row>
    <row r="582" spans="1:8">
      <c r="A582" s="181" t="s">
        <v>1150</v>
      </c>
      <c r="B582" s="181" t="s">
        <v>1151</v>
      </c>
      <c r="C582" s="791">
        <f>SUMIF('yardi_data (2)'!$A:$A,$A582,'yardi_data (2)'!C:C)</f>
        <v>0</v>
      </c>
      <c r="D582" s="791">
        <f>SUMIF('yardi_data (2)'!$A:$A,$A582,'yardi_data (2)'!$D:$D)</f>
        <v>0</v>
      </c>
      <c r="E582" s="791">
        <f>SUMIF('yardi_data (2)'!$A:$A,$A582,'yardi_data (2)'!$E:$E)</f>
        <v>0</v>
      </c>
      <c r="F582" s="791">
        <f>SUMIF('yardi_data (2)'!$A:$A,$A582,'yardi_data (2)'!$F:$F)</f>
        <v>0</v>
      </c>
      <c r="G582" s="791">
        <f>SUMIF('yardi_data (2)'!$A:$A,$A582,'yardi_data (2)'!$G:$G)</f>
        <v>0</v>
      </c>
      <c r="H582" s="792"/>
    </row>
    <row r="583" spans="1:8">
      <c r="A583" s="182" t="s">
        <v>1152</v>
      </c>
      <c r="B583" s="182" t="s">
        <v>1153</v>
      </c>
      <c r="C583" s="791">
        <f>SUMIF('yardi_data (2)'!$A:$A,$A583,'yardi_data (2)'!C:C)</f>
        <v>0</v>
      </c>
      <c r="D583" s="791">
        <f>SUMIF('yardi_data (2)'!$A:$A,$A583,'yardi_data (2)'!$D:$D)</f>
        <v>0</v>
      </c>
      <c r="E583" s="791">
        <f>SUMIF('yardi_data (2)'!$A:$A,$A583,'yardi_data (2)'!$E:$E)</f>
        <v>0</v>
      </c>
      <c r="F583" s="791">
        <f>SUMIF('yardi_data (2)'!$A:$A,$A583,'yardi_data (2)'!$F:$F)</f>
        <v>0</v>
      </c>
      <c r="G583" s="791">
        <f>SUMIF('yardi_data (2)'!$A:$A,$A583,'yardi_data (2)'!$G:$G)</f>
        <v>0</v>
      </c>
      <c r="H583" s="792"/>
    </row>
    <row r="584" spans="1:8">
      <c r="A584" s="181" t="s">
        <v>1154</v>
      </c>
      <c r="B584" s="181" t="s">
        <v>1155</v>
      </c>
      <c r="C584" s="791">
        <f>SUMIF('yardi_data (2)'!$A:$A,$A584,'yardi_data (2)'!C:C)</f>
        <v>0</v>
      </c>
      <c r="D584" s="791">
        <f>SUMIF('yardi_data (2)'!$A:$A,$A584,'yardi_data (2)'!$D:$D)</f>
        <v>0</v>
      </c>
      <c r="E584" s="791">
        <f>SUMIF('yardi_data (2)'!$A:$A,$A584,'yardi_data (2)'!$E:$E)</f>
        <v>0</v>
      </c>
      <c r="F584" s="791">
        <f>SUMIF('yardi_data (2)'!$A:$A,$A584,'yardi_data (2)'!$F:$F)</f>
        <v>0</v>
      </c>
      <c r="G584" s="791">
        <f>SUMIF('yardi_data (2)'!$A:$A,$A584,'yardi_data (2)'!$G:$G)</f>
        <v>0</v>
      </c>
      <c r="H584" s="792"/>
    </row>
    <row r="585" spans="1:8">
      <c r="A585" s="182" t="s">
        <v>1156</v>
      </c>
      <c r="B585" s="182" t="s">
        <v>1157</v>
      </c>
      <c r="C585" s="791">
        <f>SUMIF('yardi_data (2)'!$A:$A,$A585,'yardi_data (2)'!C:C)</f>
        <v>0</v>
      </c>
      <c r="D585" s="791">
        <f>SUMIF('yardi_data (2)'!$A:$A,$A585,'yardi_data (2)'!$D:$D)</f>
        <v>0</v>
      </c>
      <c r="E585" s="791">
        <f>SUMIF('yardi_data (2)'!$A:$A,$A585,'yardi_data (2)'!$E:$E)</f>
        <v>0</v>
      </c>
      <c r="F585" s="791">
        <f>SUMIF('yardi_data (2)'!$A:$A,$A585,'yardi_data (2)'!$F:$F)</f>
        <v>0</v>
      </c>
      <c r="G585" s="791">
        <f>SUMIF('yardi_data (2)'!$A:$A,$A585,'yardi_data (2)'!$G:$G)</f>
        <v>0</v>
      </c>
      <c r="H585" s="792"/>
    </row>
    <row r="586" spans="1:8">
      <c r="A586" s="181" t="s">
        <v>1158</v>
      </c>
      <c r="B586" s="181" t="s">
        <v>699</v>
      </c>
      <c r="C586" s="791">
        <f>SUMIF('yardi_data (2)'!$A:$A,$A586,'yardi_data (2)'!C:C)</f>
        <v>0</v>
      </c>
      <c r="D586" s="791">
        <f>SUMIF('yardi_data (2)'!$A:$A,$A586,'yardi_data (2)'!$D:$D)</f>
        <v>0</v>
      </c>
      <c r="E586" s="791">
        <f>SUMIF('yardi_data (2)'!$A:$A,$A586,'yardi_data (2)'!$E:$E)</f>
        <v>0</v>
      </c>
      <c r="F586" s="791">
        <f>SUMIF('yardi_data (2)'!$A:$A,$A586,'yardi_data (2)'!$F:$F)</f>
        <v>0</v>
      </c>
      <c r="G586" s="791">
        <f>SUMIF('yardi_data (2)'!$A:$A,$A586,'yardi_data (2)'!$G:$G)</f>
        <v>0</v>
      </c>
      <c r="H586" s="792"/>
    </row>
    <row r="587" spans="1:8">
      <c r="A587" s="182" t="s">
        <v>1159</v>
      </c>
      <c r="B587" s="182" t="s">
        <v>1160</v>
      </c>
      <c r="C587" s="791">
        <f>SUMIF('yardi_data (2)'!$A:$A,$A587,'yardi_data (2)'!C:C)</f>
        <v>1417.57</v>
      </c>
      <c r="D587" s="791">
        <f>SUMIF('yardi_data (2)'!$A:$A,$A587,'yardi_data (2)'!$D:$D)</f>
        <v>1765.81</v>
      </c>
      <c r="E587" s="791">
        <f>SUMIF('yardi_data (2)'!$A:$A,$A587,'yardi_data (2)'!$E:$E)</f>
        <v>1447.55</v>
      </c>
      <c r="F587" s="791">
        <f>SUMIF('yardi_data (2)'!$A:$A,$A587,'yardi_data (2)'!$F:$F)</f>
        <v>1600</v>
      </c>
      <c r="G587" s="791">
        <f>SUMIF('yardi_data (2)'!$A:$A,$A587,'yardi_data (2)'!$G:$G)</f>
        <v>2400</v>
      </c>
      <c r="H587" s="792"/>
    </row>
    <row r="588" spans="1:8">
      <c r="A588" s="181" t="s">
        <v>1161</v>
      </c>
      <c r="B588" s="181" t="s">
        <v>1162</v>
      </c>
      <c r="C588" s="791">
        <f>SUMIF('yardi_data (2)'!$A:$A,$A588,'yardi_data (2)'!C:C)</f>
        <v>0</v>
      </c>
      <c r="D588" s="791">
        <f>SUMIF('yardi_data (2)'!$A:$A,$A588,'yardi_data (2)'!$D:$D)</f>
        <v>0</v>
      </c>
      <c r="E588" s="791">
        <f>SUMIF('yardi_data (2)'!$A:$A,$A588,'yardi_data (2)'!$E:$E)</f>
        <v>0</v>
      </c>
      <c r="F588" s="791">
        <f>SUMIF('yardi_data (2)'!$A:$A,$A588,'yardi_data (2)'!$F:$F)</f>
        <v>0</v>
      </c>
      <c r="G588" s="791">
        <f>SUMIF('yardi_data (2)'!$A:$A,$A588,'yardi_data (2)'!$G:$G)</f>
        <v>0</v>
      </c>
      <c r="H588" s="792"/>
    </row>
    <row r="589" spans="1:8">
      <c r="A589" s="182" t="s">
        <v>1163</v>
      </c>
      <c r="B589" s="182" t="s">
        <v>1164</v>
      </c>
      <c r="C589" s="791">
        <f>SUMIF('yardi_data (2)'!$A:$A,$A589,'yardi_data (2)'!C:C)</f>
        <v>722.13</v>
      </c>
      <c r="D589" s="791">
        <f>SUMIF('yardi_data (2)'!$A:$A,$A589,'yardi_data (2)'!$D:$D)</f>
        <v>636.44000000000005</v>
      </c>
      <c r="E589" s="791">
        <f>SUMIF('yardi_data (2)'!$A:$A,$A589,'yardi_data (2)'!$E:$E)</f>
        <v>436.3</v>
      </c>
      <c r="F589" s="791">
        <f>SUMIF('yardi_data (2)'!$A:$A,$A589,'yardi_data (2)'!$F:$F)</f>
        <v>183.36</v>
      </c>
      <c r="G589" s="791">
        <f>SUMIF('yardi_data (2)'!$A:$A,$A589,'yardi_data (2)'!$G:$G)</f>
        <v>275</v>
      </c>
      <c r="H589" s="792"/>
    </row>
    <row r="590" spans="1:8">
      <c r="A590" s="181" t="s">
        <v>1165</v>
      </c>
      <c r="B590" s="181" t="s">
        <v>186</v>
      </c>
      <c r="C590" s="791">
        <f>SUMIF('yardi_data (2)'!$A:$A,$A590,'yardi_data (2)'!C:C)</f>
        <v>0</v>
      </c>
      <c r="D590" s="791">
        <f>SUMIF('yardi_data (2)'!$A:$A,$A590,'yardi_data (2)'!$D:$D)</f>
        <v>0</v>
      </c>
      <c r="E590" s="791">
        <f>SUMIF('yardi_data (2)'!$A:$A,$A590,'yardi_data (2)'!$E:$E)</f>
        <v>0</v>
      </c>
      <c r="F590" s="791">
        <f>SUMIF('yardi_data (2)'!$A:$A,$A590,'yardi_data (2)'!$F:$F)</f>
        <v>0</v>
      </c>
      <c r="G590" s="791">
        <f>SUMIF('yardi_data (2)'!$A:$A,$A590,'yardi_data (2)'!$G:$G)</f>
        <v>0</v>
      </c>
      <c r="H590" s="792"/>
    </row>
    <row r="591" spans="1:8">
      <c r="A591" s="182" t="s">
        <v>1166</v>
      </c>
      <c r="B591" s="182" t="s">
        <v>1167</v>
      </c>
      <c r="C591" s="791">
        <f>SUMIF('yardi_data (2)'!$A:$A,$A591,'yardi_data (2)'!C:C)</f>
        <v>0</v>
      </c>
      <c r="D591" s="791">
        <f>SUMIF('yardi_data (2)'!$A:$A,$A591,'yardi_data (2)'!$D:$D)</f>
        <v>0</v>
      </c>
      <c r="E591" s="791">
        <f>SUMIF('yardi_data (2)'!$A:$A,$A591,'yardi_data (2)'!$E:$E)</f>
        <v>0</v>
      </c>
      <c r="F591" s="791">
        <f>SUMIF('yardi_data (2)'!$A:$A,$A591,'yardi_data (2)'!$F:$F)</f>
        <v>0</v>
      </c>
      <c r="G591" s="791">
        <f>SUMIF('yardi_data (2)'!$A:$A,$A591,'yardi_data (2)'!$G:$G)</f>
        <v>0</v>
      </c>
      <c r="H591" s="792"/>
    </row>
    <row r="592" spans="1:8">
      <c r="A592" s="181" t="s">
        <v>1168</v>
      </c>
      <c r="B592" s="181" t="s">
        <v>1169</v>
      </c>
      <c r="C592" s="791">
        <f>SUMIF('yardi_data (2)'!$A:$A,$A592,'yardi_data (2)'!C:C)</f>
        <v>0</v>
      </c>
      <c r="D592" s="791">
        <f>SUMIF('yardi_data (2)'!$A:$A,$A592,'yardi_data (2)'!$D:$D)</f>
        <v>0</v>
      </c>
      <c r="E592" s="791">
        <f>SUMIF('yardi_data (2)'!$A:$A,$A592,'yardi_data (2)'!$E:$E)</f>
        <v>0</v>
      </c>
      <c r="F592" s="791">
        <f>SUMIF('yardi_data (2)'!$A:$A,$A592,'yardi_data (2)'!$F:$F)</f>
        <v>0</v>
      </c>
      <c r="G592" s="791">
        <f>SUMIF('yardi_data (2)'!$A:$A,$A592,'yardi_data (2)'!$G:$G)</f>
        <v>0</v>
      </c>
      <c r="H592" s="792"/>
    </row>
    <row r="593" spans="1:8">
      <c r="A593" s="182" t="s">
        <v>1170</v>
      </c>
      <c r="B593" s="182" t="s">
        <v>1171</v>
      </c>
      <c r="C593" s="791">
        <f>SUMIF('yardi_data (2)'!$A:$A,$A593,'yardi_data (2)'!C:C)</f>
        <v>0</v>
      </c>
      <c r="D593" s="791">
        <f>SUMIF('yardi_data (2)'!$A:$A,$A593,'yardi_data (2)'!$D:$D)</f>
        <v>0</v>
      </c>
      <c r="E593" s="791">
        <f>SUMIF('yardi_data (2)'!$A:$A,$A593,'yardi_data (2)'!$E:$E)</f>
        <v>0</v>
      </c>
      <c r="F593" s="791">
        <f>SUMIF('yardi_data (2)'!$A:$A,$A593,'yardi_data (2)'!$F:$F)</f>
        <v>0</v>
      </c>
      <c r="G593" s="791">
        <f>SUMIF('yardi_data (2)'!$A:$A,$A593,'yardi_data (2)'!$G:$G)</f>
        <v>0</v>
      </c>
      <c r="H593" s="792"/>
    </row>
    <row r="594" spans="1:8">
      <c r="A594" s="181" t="s">
        <v>1172</v>
      </c>
      <c r="B594" s="181" t="s">
        <v>1173</v>
      </c>
      <c r="C594" s="791">
        <f>SUMIF('yardi_data (2)'!$A:$A,$A594,'yardi_data (2)'!C:C)</f>
        <v>0</v>
      </c>
      <c r="D594" s="791">
        <f>SUMIF('yardi_data (2)'!$A:$A,$A594,'yardi_data (2)'!$D:$D)</f>
        <v>0</v>
      </c>
      <c r="E594" s="791">
        <f>SUMIF('yardi_data (2)'!$A:$A,$A594,'yardi_data (2)'!$E:$E)</f>
        <v>0</v>
      </c>
      <c r="F594" s="791">
        <f>SUMIF('yardi_data (2)'!$A:$A,$A594,'yardi_data (2)'!$F:$F)</f>
        <v>0</v>
      </c>
      <c r="G594" s="791">
        <f>SUMIF('yardi_data (2)'!$A:$A,$A594,'yardi_data (2)'!$G:$G)</f>
        <v>0</v>
      </c>
      <c r="H594" s="792"/>
    </row>
    <row r="595" spans="1:8">
      <c r="A595" s="182" t="s">
        <v>1174</v>
      </c>
      <c r="B595" s="182" t="s">
        <v>1175</v>
      </c>
      <c r="C595" s="791">
        <f>SUMIF('yardi_data (2)'!$A:$A,$A595,'yardi_data (2)'!C:C)</f>
        <v>350</v>
      </c>
      <c r="D595" s="791">
        <f>SUMIF('yardi_data (2)'!$A:$A,$A595,'yardi_data (2)'!$D:$D)</f>
        <v>600</v>
      </c>
      <c r="E595" s="791">
        <f>SUMIF('yardi_data (2)'!$A:$A,$A595,'yardi_data (2)'!$E:$E)</f>
        <v>400</v>
      </c>
      <c r="F595" s="791">
        <f>SUMIF('yardi_data (2)'!$A:$A,$A595,'yardi_data (2)'!$F:$F)</f>
        <v>666.64</v>
      </c>
      <c r="G595" s="791">
        <f>SUMIF('yardi_data (2)'!$A:$A,$A595,'yardi_data (2)'!$G:$G)</f>
        <v>1000</v>
      </c>
      <c r="H595" s="792"/>
    </row>
    <row r="596" spans="1:8">
      <c r="A596" s="181" t="s">
        <v>1176</v>
      </c>
      <c r="B596" s="181" t="s">
        <v>1177</v>
      </c>
      <c r="C596" s="791">
        <f>SUMIF('yardi_data (2)'!$A:$A,$A596,'yardi_data (2)'!C:C)</f>
        <v>0</v>
      </c>
      <c r="D596" s="791">
        <f>SUMIF('yardi_data (2)'!$A:$A,$A596,'yardi_data (2)'!$D:$D)</f>
        <v>0</v>
      </c>
      <c r="E596" s="791">
        <f>SUMIF('yardi_data (2)'!$A:$A,$A596,'yardi_data (2)'!$E:$E)</f>
        <v>0</v>
      </c>
      <c r="F596" s="791">
        <f>SUMIF('yardi_data (2)'!$A:$A,$A596,'yardi_data (2)'!$F:$F)</f>
        <v>0</v>
      </c>
      <c r="G596" s="791">
        <f>SUMIF('yardi_data (2)'!$A:$A,$A596,'yardi_data (2)'!$G:$G)</f>
        <v>0</v>
      </c>
      <c r="H596" s="792"/>
    </row>
    <row r="597" spans="1:8">
      <c r="A597" s="182" t="s">
        <v>1178</v>
      </c>
      <c r="B597" s="182" t="s">
        <v>1179</v>
      </c>
      <c r="C597" s="791">
        <f>SUMIF('yardi_data (2)'!$A:$A,$A597,'yardi_data (2)'!C:C)</f>
        <v>0</v>
      </c>
      <c r="D597" s="791">
        <f>SUMIF('yardi_data (2)'!$A:$A,$A597,'yardi_data (2)'!$D:$D)</f>
        <v>0</v>
      </c>
      <c r="E597" s="791">
        <f>SUMIF('yardi_data (2)'!$A:$A,$A597,'yardi_data (2)'!$E:$E)</f>
        <v>0</v>
      </c>
      <c r="F597" s="791">
        <f>SUMIF('yardi_data (2)'!$A:$A,$A597,'yardi_data (2)'!$F:$F)</f>
        <v>0</v>
      </c>
      <c r="G597" s="791">
        <f>SUMIF('yardi_data (2)'!$A:$A,$A597,'yardi_data (2)'!$G:$G)</f>
        <v>0</v>
      </c>
      <c r="H597" s="792"/>
    </row>
    <row r="598" spans="1:8">
      <c r="A598" s="181" t="s">
        <v>1180</v>
      </c>
      <c r="B598" s="181" t="s">
        <v>1181</v>
      </c>
      <c r="C598" s="791">
        <f>SUMIF('yardi_data (2)'!$A:$A,$A598,'yardi_data (2)'!C:C)</f>
        <v>9312.01</v>
      </c>
      <c r="D598" s="791">
        <f>SUMIF('yardi_data (2)'!$A:$A,$A598,'yardi_data (2)'!$D:$D)</f>
        <v>9124.41</v>
      </c>
      <c r="E598" s="791">
        <f>SUMIF('yardi_data (2)'!$A:$A,$A598,'yardi_data (2)'!$E:$E)</f>
        <v>6353.92</v>
      </c>
      <c r="F598" s="791">
        <f>SUMIF('yardi_data (2)'!$A:$A,$A598,'yardi_data (2)'!$F:$F)</f>
        <v>5866.64</v>
      </c>
      <c r="G598" s="791">
        <f>SUMIF('yardi_data (2)'!$A:$A,$A598,'yardi_data (2)'!$G:$G)</f>
        <v>8800</v>
      </c>
      <c r="H598" s="792"/>
    </row>
    <row r="599" spans="1:8">
      <c r="A599" s="182" t="s">
        <v>1182</v>
      </c>
      <c r="B599" s="182" t="s">
        <v>1183</v>
      </c>
      <c r="C599" s="791">
        <f>SUMIF('yardi_data (2)'!$A:$A,$A599,'yardi_data (2)'!C:C)</f>
        <v>2942.2</v>
      </c>
      <c r="D599" s="791">
        <f>SUMIF('yardi_data (2)'!$A:$A,$A599,'yardi_data (2)'!$D:$D)</f>
        <v>2989.9</v>
      </c>
      <c r="E599" s="791">
        <f>SUMIF('yardi_data (2)'!$A:$A,$A599,'yardi_data (2)'!$E:$E)</f>
        <v>2014.3</v>
      </c>
      <c r="F599" s="791">
        <f>SUMIF('yardi_data (2)'!$A:$A,$A599,'yardi_data (2)'!$F:$F)</f>
        <v>2666.64</v>
      </c>
      <c r="G599" s="791">
        <f>SUMIF('yardi_data (2)'!$A:$A,$A599,'yardi_data (2)'!$G:$G)</f>
        <v>4000</v>
      </c>
      <c r="H599" s="792"/>
    </row>
    <row r="600" spans="1:8">
      <c r="A600" s="181" t="s">
        <v>1184</v>
      </c>
      <c r="B600" s="181" t="s">
        <v>1185</v>
      </c>
      <c r="C600" s="791">
        <f>SUMIF('yardi_data (2)'!$A:$A,$A600,'yardi_data (2)'!C:C)</f>
        <v>0</v>
      </c>
      <c r="D600" s="791">
        <f>SUMIF('yardi_data (2)'!$A:$A,$A600,'yardi_data (2)'!$D:$D)</f>
        <v>0</v>
      </c>
      <c r="E600" s="791">
        <f>SUMIF('yardi_data (2)'!$A:$A,$A600,'yardi_data (2)'!$E:$E)</f>
        <v>0</v>
      </c>
      <c r="F600" s="791">
        <f>SUMIF('yardi_data (2)'!$A:$A,$A600,'yardi_data (2)'!$F:$F)</f>
        <v>0</v>
      </c>
      <c r="G600" s="791">
        <f>SUMIF('yardi_data (2)'!$A:$A,$A600,'yardi_data (2)'!$G:$G)</f>
        <v>0</v>
      </c>
      <c r="H600" s="792"/>
    </row>
    <row r="601" spans="1:8">
      <c r="A601" s="182" t="s">
        <v>1186</v>
      </c>
      <c r="B601" s="182" t="s">
        <v>1187</v>
      </c>
      <c r="C601" s="791">
        <f>SUMIF('yardi_data (2)'!$A:$A,$A601,'yardi_data (2)'!C:C)</f>
        <v>14437.39</v>
      </c>
      <c r="D601" s="791">
        <f>SUMIF('yardi_data (2)'!$A:$A,$A601,'yardi_data (2)'!$D:$D)</f>
        <v>15112.8</v>
      </c>
      <c r="E601" s="791">
        <f>SUMIF('yardi_data (2)'!$A:$A,$A601,'yardi_data (2)'!$E:$E)</f>
        <v>17328.560000000001</v>
      </c>
      <c r="F601" s="791">
        <f>SUMIF('yardi_data (2)'!$A:$A,$A601,'yardi_data (2)'!$F:$F)</f>
        <v>12000</v>
      </c>
      <c r="G601" s="791">
        <f>SUMIF('yardi_data (2)'!$A:$A,$A601,'yardi_data (2)'!$G:$G)</f>
        <v>16000</v>
      </c>
      <c r="H601" s="792"/>
    </row>
    <row r="602" spans="1:8">
      <c r="A602" s="181" t="s">
        <v>1188</v>
      </c>
      <c r="B602" s="181" t="s">
        <v>1189</v>
      </c>
      <c r="C602" s="791">
        <f>SUMIF('yardi_data (2)'!$A:$A,$A602,'yardi_data (2)'!C:C)</f>
        <v>1300</v>
      </c>
      <c r="D602" s="791">
        <f>SUMIF('yardi_data (2)'!$A:$A,$A602,'yardi_data (2)'!$D:$D)</f>
        <v>1200</v>
      </c>
      <c r="E602" s="791">
        <f>SUMIF('yardi_data (2)'!$A:$A,$A602,'yardi_data (2)'!$E:$E)</f>
        <v>0</v>
      </c>
      <c r="F602" s="791">
        <f>SUMIF('yardi_data (2)'!$A:$A,$A602,'yardi_data (2)'!$F:$F)</f>
        <v>0</v>
      </c>
      <c r="G602" s="791">
        <f>SUMIF('yardi_data (2)'!$A:$A,$A602,'yardi_data (2)'!$G:$G)</f>
        <v>1500</v>
      </c>
      <c r="H602" s="792"/>
    </row>
    <row r="603" spans="1:8">
      <c r="A603" s="182" t="s">
        <v>1190</v>
      </c>
      <c r="B603" s="182" t="s">
        <v>1191</v>
      </c>
      <c r="C603" s="791">
        <f>SUMIF('yardi_data (2)'!$A:$A,$A603,'yardi_data (2)'!C:C)</f>
        <v>0</v>
      </c>
      <c r="D603" s="791">
        <f>SUMIF('yardi_data (2)'!$A:$A,$A603,'yardi_data (2)'!$D:$D)</f>
        <v>0</v>
      </c>
      <c r="E603" s="791">
        <f>SUMIF('yardi_data (2)'!$A:$A,$A603,'yardi_data (2)'!$E:$E)</f>
        <v>0</v>
      </c>
      <c r="F603" s="791">
        <f>SUMIF('yardi_data (2)'!$A:$A,$A603,'yardi_data (2)'!$F:$F)</f>
        <v>0</v>
      </c>
      <c r="G603" s="791">
        <f>SUMIF('yardi_data (2)'!$A:$A,$A603,'yardi_data (2)'!$G:$G)</f>
        <v>0</v>
      </c>
      <c r="H603" s="792"/>
    </row>
    <row r="604" spans="1:8">
      <c r="A604" s="181" t="s">
        <v>1192</v>
      </c>
      <c r="B604" s="181" t="s">
        <v>1193</v>
      </c>
      <c r="C604" s="791">
        <f>SUMIF('yardi_data (2)'!$A:$A,$A604,'yardi_data (2)'!C:C)</f>
        <v>6724.2</v>
      </c>
      <c r="D604" s="791">
        <f>SUMIF('yardi_data (2)'!$A:$A,$A604,'yardi_data (2)'!$D:$D)</f>
        <v>7208</v>
      </c>
      <c r="E604" s="791">
        <f>SUMIF('yardi_data (2)'!$A:$A,$A604,'yardi_data (2)'!$E:$E)</f>
        <v>4239.1000000000004</v>
      </c>
      <c r="F604" s="791">
        <f>SUMIF('yardi_data (2)'!$A:$A,$A604,'yardi_data (2)'!$F:$F)</f>
        <v>4000</v>
      </c>
      <c r="G604" s="791">
        <f>SUMIF('yardi_data (2)'!$A:$A,$A604,'yardi_data (2)'!$G:$G)</f>
        <v>6000</v>
      </c>
      <c r="H604" s="792"/>
    </row>
    <row r="605" spans="1:8">
      <c r="A605" s="182" t="s">
        <v>1194</v>
      </c>
      <c r="B605" s="182" t="s">
        <v>639</v>
      </c>
      <c r="C605" s="791">
        <f>SUMIF('yardi_data (2)'!$A:$A,$A605,'yardi_data (2)'!C:C)</f>
        <v>5516.06</v>
      </c>
      <c r="D605" s="791">
        <f>SUMIF('yardi_data (2)'!$A:$A,$A605,'yardi_data (2)'!$D:$D)</f>
        <v>11821.28</v>
      </c>
      <c r="E605" s="791">
        <f>SUMIF('yardi_data (2)'!$A:$A,$A605,'yardi_data (2)'!$E:$E)</f>
        <v>3060</v>
      </c>
      <c r="F605" s="791">
        <f>SUMIF('yardi_data (2)'!$A:$A,$A605,'yardi_data (2)'!$F:$F)</f>
        <v>7416.64</v>
      </c>
      <c r="G605" s="791">
        <f>SUMIF('yardi_data (2)'!$A:$A,$A605,'yardi_data (2)'!$G:$G)</f>
        <v>11125</v>
      </c>
      <c r="H605" s="792"/>
    </row>
    <row r="606" spans="1:8">
      <c r="A606" s="181" t="s">
        <v>1195</v>
      </c>
      <c r="B606" s="181" t="s">
        <v>1196</v>
      </c>
      <c r="C606" s="791">
        <f>SUMIF('yardi_data (2)'!$A:$A,$A606,'yardi_data (2)'!C:C)</f>
        <v>0</v>
      </c>
      <c r="D606" s="791">
        <f>SUMIF('yardi_data (2)'!$A:$A,$A606,'yardi_data (2)'!$D:$D)</f>
        <v>0</v>
      </c>
      <c r="E606" s="791">
        <f>SUMIF('yardi_data (2)'!$A:$A,$A606,'yardi_data (2)'!$E:$E)</f>
        <v>0</v>
      </c>
      <c r="F606" s="791">
        <f>SUMIF('yardi_data (2)'!$A:$A,$A606,'yardi_data (2)'!$F:$F)</f>
        <v>0</v>
      </c>
      <c r="G606" s="791">
        <f>SUMIF('yardi_data (2)'!$A:$A,$A606,'yardi_data (2)'!$G:$G)</f>
        <v>0</v>
      </c>
      <c r="H606" s="792"/>
    </row>
    <row r="607" spans="1:8">
      <c r="A607" s="182" t="s">
        <v>1197</v>
      </c>
      <c r="B607" s="182" t="s">
        <v>1198</v>
      </c>
      <c r="C607" s="791">
        <f>SUMIF('yardi_data (2)'!$A:$A,$A607,'yardi_data (2)'!C:C)</f>
        <v>895</v>
      </c>
      <c r="D607" s="791">
        <f>SUMIF('yardi_data (2)'!$A:$A,$A607,'yardi_data (2)'!$D:$D)</f>
        <v>910</v>
      </c>
      <c r="E607" s="791">
        <f>SUMIF('yardi_data (2)'!$A:$A,$A607,'yardi_data (2)'!$E:$E)</f>
        <v>690</v>
      </c>
      <c r="F607" s="791">
        <f>SUMIF('yardi_data (2)'!$A:$A,$A607,'yardi_data (2)'!$F:$F)</f>
        <v>690</v>
      </c>
      <c r="G607" s="791">
        <f>SUMIF('yardi_data (2)'!$A:$A,$A607,'yardi_data (2)'!$G:$G)</f>
        <v>1000</v>
      </c>
      <c r="H607" s="792"/>
    </row>
    <row r="608" spans="1:8">
      <c r="A608" s="182" t="s">
        <v>1199</v>
      </c>
      <c r="B608" s="181" t="s">
        <v>1200</v>
      </c>
      <c r="C608" s="791">
        <f>SUMIF('yardi_data (2)'!$A:$A,$A608,'yardi_data (2)'!C:C)</f>
        <v>3840.25</v>
      </c>
      <c r="D608" s="791">
        <f>SUMIF('yardi_data (2)'!$A:$A,$A608,'yardi_data (2)'!$D:$D)</f>
        <v>4110.3100000000004</v>
      </c>
      <c r="E608" s="791">
        <f>SUMIF('yardi_data (2)'!$A:$A,$A608,'yardi_data (2)'!$E:$E)</f>
        <v>0</v>
      </c>
      <c r="F608" s="791">
        <f>SUMIF('yardi_data (2)'!$A:$A,$A608,'yardi_data (2)'!$F:$F)</f>
        <v>0</v>
      </c>
      <c r="G608" s="791">
        <f>SUMIF('yardi_data (2)'!$A:$A,$A608,'yardi_data (2)'!$G:$G)</f>
        <v>1000</v>
      </c>
      <c r="H608" s="792"/>
    </row>
    <row r="609" spans="1:8">
      <c r="A609" s="182" t="s">
        <v>1201</v>
      </c>
      <c r="B609" s="182" t="s">
        <v>1202</v>
      </c>
      <c r="C609" s="791">
        <f>SUMIF('yardi_data (2)'!$A:$A,$A609,'yardi_data (2)'!C:C)</f>
        <v>300</v>
      </c>
      <c r="D609" s="791">
        <f>SUMIF('yardi_data (2)'!$A:$A,$A609,'yardi_data (2)'!$D:$D)</f>
        <v>0</v>
      </c>
      <c r="E609" s="791">
        <f>SUMIF('yardi_data (2)'!$A:$A,$A609,'yardi_data (2)'!$E:$E)</f>
        <v>0</v>
      </c>
      <c r="F609" s="791">
        <f>SUMIF('yardi_data (2)'!$A:$A,$A609,'yardi_data (2)'!$F:$F)</f>
        <v>0</v>
      </c>
      <c r="G609" s="791">
        <f>SUMIF('yardi_data (2)'!$A:$A,$A609,'yardi_data (2)'!$G:$G)</f>
        <v>0</v>
      </c>
      <c r="H609" s="792"/>
    </row>
    <row r="610" spans="1:8">
      <c r="A610" s="181" t="s">
        <v>1203</v>
      </c>
      <c r="B610" s="181" t="s">
        <v>1204</v>
      </c>
      <c r="C610" s="791">
        <f>SUMIF('yardi_data (2)'!$A:$A,$A610,'yardi_data (2)'!C:C)</f>
        <v>1062.8499999999999</v>
      </c>
      <c r="D610" s="791">
        <f>SUMIF('yardi_data (2)'!$A:$A,$A610,'yardi_data (2)'!$D:$D)</f>
        <v>0</v>
      </c>
      <c r="E610" s="791">
        <f>SUMIF('yardi_data (2)'!$A:$A,$A610,'yardi_data (2)'!$E:$E)</f>
        <v>0</v>
      </c>
      <c r="F610" s="791">
        <f>SUMIF('yardi_data (2)'!$A:$A,$A610,'yardi_data (2)'!$F:$F)</f>
        <v>1200</v>
      </c>
      <c r="G610" s="791">
        <f>SUMIF('yardi_data (2)'!$A:$A,$A610,'yardi_data (2)'!$G:$G)</f>
        <v>1200</v>
      </c>
      <c r="H610" s="792"/>
    </row>
    <row r="611" spans="1:8">
      <c r="A611" s="182" t="s">
        <v>1205</v>
      </c>
      <c r="B611" s="182" t="s">
        <v>1206</v>
      </c>
      <c r="C611" s="791">
        <f>SUMIF('yardi_data (2)'!$A:$A,$A611,'yardi_data (2)'!C:C)</f>
        <v>0</v>
      </c>
      <c r="D611" s="791">
        <f>SUMIF('yardi_data (2)'!$A:$A,$A611,'yardi_data (2)'!$D:$D)</f>
        <v>0</v>
      </c>
      <c r="E611" s="791">
        <f>SUMIF('yardi_data (2)'!$A:$A,$A611,'yardi_data (2)'!$E:$E)</f>
        <v>0</v>
      </c>
      <c r="F611" s="791">
        <f>SUMIF('yardi_data (2)'!$A:$A,$A611,'yardi_data (2)'!$F:$F)</f>
        <v>0</v>
      </c>
      <c r="G611" s="791">
        <f>SUMIF('yardi_data (2)'!$A:$A,$A611,'yardi_data (2)'!$G:$G)</f>
        <v>0</v>
      </c>
      <c r="H611" s="792"/>
    </row>
    <row r="612" spans="1:8">
      <c r="A612" s="181" t="s">
        <v>1207</v>
      </c>
      <c r="B612" s="181" t="s">
        <v>1208</v>
      </c>
      <c r="C612" s="791">
        <f>SUMIF('yardi_data (2)'!$A:$A,$A612,'yardi_data (2)'!C:C)</f>
        <v>0</v>
      </c>
      <c r="D612" s="791">
        <f>SUMIF('yardi_data (2)'!$A:$A,$A612,'yardi_data (2)'!$D:$D)</f>
        <v>0</v>
      </c>
      <c r="E612" s="791">
        <f>SUMIF('yardi_data (2)'!$A:$A,$A612,'yardi_data (2)'!$E:$E)</f>
        <v>0</v>
      </c>
      <c r="F612" s="791">
        <f>SUMIF('yardi_data (2)'!$A:$A,$A612,'yardi_data (2)'!$F:$F)</f>
        <v>0</v>
      </c>
      <c r="G612" s="791">
        <f>SUMIF('yardi_data (2)'!$A:$A,$A612,'yardi_data (2)'!$G:$G)</f>
        <v>0</v>
      </c>
      <c r="H612" s="792"/>
    </row>
    <row r="613" spans="1:8">
      <c r="A613" s="182" t="s">
        <v>1209</v>
      </c>
      <c r="B613" s="182" t="s">
        <v>1210</v>
      </c>
      <c r="C613" s="791">
        <f>SUMIF('yardi_data (2)'!$A:$A,$A613,'yardi_data (2)'!C:C)</f>
        <v>0</v>
      </c>
      <c r="D613" s="791">
        <f>SUMIF('yardi_data (2)'!$A:$A,$A613,'yardi_data (2)'!$D:$D)</f>
        <v>0</v>
      </c>
      <c r="E613" s="791">
        <f>SUMIF('yardi_data (2)'!$A:$A,$A613,'yardi_data (2)'!$E:$E)</f>
        <v>0</v>
      </c>
      <c r="F613" s="791">
        <f>SUMIF('yardi_data (2)'!$A:$A,$A613,'yardi_data (2)'!$F:$F)</f>
        <v>0</v>
      </c>
      <c r="G613" s="791">
        <f>SUMIF('yardi_data (2)'!$A:$A,$A613,'yardi_data (2)'!$G:$G)</f>
        <v>0</v>
      </c>
      <c r="H613" s="792"/>
    </row>
    <row r="614" spans="1:8">
      <c r="A614" s="181" t="s">
        <v>1211</v>
      </c>
      <c r="B614" s="181" t="s">
        <v>1212</v>
      </c>
      <c r="C614" s="791">
        <f>SUMIF('yardi_data (2)'!$A:$A,$A614,'yardi_data (2)'!C:C)</f>
        <v>0</v>
      </c>
      <c r="D614" s="791">
        <f>SUMIF('yardi_data (2)'!$A:$A,$A614,'yardi_data (2)'!$D:$D)</f>
        <v>0</v>
      </c>
      <c r="E614" s="791">
        <f>SUMIF('yardi_data (2)'!$A:$A,$A614,'yardi_data (2)'!$E:$E)</f>
        <v>0</v>
      </c>
      <c r="F614" s="791">
        <f>SUMIF('yardi_data (2)'!$A:$A,$A614,'yardi_data (2)'!$F:$F)</f>
        <v>0</v>
      </c>
      <c r="G614" s="791">
        <f>SUMIF('yardi_data (2)'!$A:$A,$A614,'yardi_data (2)'!$G:$G)</f>
        <v>0</v>
      </c>
      <c r="H614" s="792"/>
    </row>
    <row r="615" spans="1:8">
      <c r="A615" s="182" t="s">
        <v>1213</v>
      </c>
      <c r="B615" s="182" t="s">
        <v>1214</v>
      </c>
      <c r="C615" s="791">
        <f>SUMIF('yardi_data (2)'!$A:$A,$A615,'yardi_data (2)'!C:C)</f>
        <v>0</v>
      </c>
      <c r="D615" s="791">
        <f>SUMIF('yardi_data (2)'!$A:$A,$A615,'yardi_data (2)'!$D:$D)</f>
        <v>0</v>
      </c>
      <c r="E615" s="791">
        <f>SUMIF('yardi_data (2)'!$A:$A,$A615,'yardi_data (2)'!$E:$E)</f>
        <v>0</v>
      </c>
      <c r="F615" s="791">
        <f>SUMIF('yardi_data (2)'!$A:$A,$A615,'yardi_data (2)'!$F:$F)</f>
        <v>0</v>
      </c>
      <c r="G615" s="791">
        <f>SUMIF('yardi_data (2)'!$A:$A,$A615,'yardi_data (2)'!$G:$G)</f>
        <v>0</v>
      </c>
      <c r="H615" s="792"/>
    </row>
    <row r="616" spans="1:8">
      <c r="A616" s="181" t="s">
        <v>1215</v>
      </c>
      <c r="B616" s="181" t="s">
        <v>1216</v>
      </c>
      <c r="C616" s="791">
        <f>SUMIF('yardi_data (2)'!$A:$A,$A616,'yardi_data (2)'!C:C)</f>
        <v>0</v>
      </c>
      <c r="D616" s="791">
        <f>SUMIF('yardi_data (2)'!$A:$A,$A616,'yardi_data (2)'!$D:$D)</f>
        <v>0</v>
      </c>
      <c r="E616" s="791">
        <f>SUMIF('yardi_data (2)'!$A:$A,$A616,'yardi_data (2)'!$E:$E)</f>
        <v>0</v>
      </c>
      <c r="F616" s="791">
        <f>SUMIF('yardi_data (2)'!$A:$A,$A616,'yardi_data (2)'!$F:$F)</f>
        <v>0</v>
      </c>
      <c r="G616" s="791">
        <f>SUMIF('yardi_data (2)'!$A:$A,$A616,'yardi_data (2)'!$G:$G)</f>
        <v>0</v>
      </c>
      <c r="H616" s="792"/>
    </row>
    <row r="617" spans="1:8">
      <c r="A617" s="182" t="s">
        <v>1217</v>
      </c>
      <c r="B617" s="182" t="s">
        <v>1218</v>
      </c>
      <c r="C617" s="791">
        <f>SUMIF('yardi_data (2)'!$A:$A,$A617,'yardi_data (2)'!C:C)</f>
        <v>0</v>
      </c>
      <c r="D617" s="791">
        <f>SUMIF('yardi_data (2)'!$A:$A,$A617,'yardi_data (2)'!$D:$D)</f>
        <v>0</v>
      </c>
      <c r="E617" s="791">
        <f>SUMIF('yardi_data (2)'!$A:$A,$A617,'yardi_data (2)'!$E:$E)</f>
        <v>0</v>
      </c>
      <c r="F617" s="791">
        <f>SUMIF('yardi_data (2)'!$A:$A,$A617,'yardi_data (2)'!$F:$F)</f>
        <v>0</v>
      </c>
      <c r="G617" s="791">
        <f>SUMIF('yardi_data (2)'!$A:$A,$A617,'yardi_data (2)'!$G:$G)</f>
        <v>0</v>
      </c>
      <c r="H617" s="792"/>
    </row>
    <row r="618" spans="1:8">
      <c r="A618" s="181" t="s">
        <v>1219</v>
      </c>
      <c r="B618" s="181" t="s">
        <v>1220</v>
      </c>
      <c r="C618" s="791">
        <f>SUMIF('yardi_data (2)'!$A:$A,$A618,'yardi_data (2)'!C:C)</f>
        <v>0</v>
      </c>
      <c r="D618" s="791">
        <f>SUMIF('yardi_data (2)'!$A:$A,$A618,'yardi_data (2)'!$D:$D)</f>
        <v>0</v>
      </c>
      <c r="E618" s="791">
        <f>SUMIF('yardi_data (2)'!$A:$A,$A618,'yardi_data (2)'!$E:$E)</f>
        <v>0</v>
      </c>
      <c r="F618" s="791">
        <f>SUMIF('yardi_data (2)'!$A:$A,$A618,'yardi_data (2)'!$F:$F)</f>
        <v>0</v>
      </c>
      <c r="G618" s="791">
        <f>SUMIF('yardi_data (2)'!$A:$A,$A618,'yardi_data (2)'!$G:$G)</f>
        <v>0</v>
      </c>
      <c r="H618" s="792"/>
    </row>
    <row r="619" spans="1:8">
      <c r="A619" s="182" t="s">
        <v>1221</v>
      </c>
      <c r="B619" s="182" t="s">
        <v>1222</v>
      </c>
      <c r="C619" s="791">
        <f>SUMIF('yardi_data (2)'!$A:$A,$A619,'yardi_data (2)'!C:C)</f>
        <v>6334.7</v>
      </c>
      <c r="D619" s="791">
        <f>SUMIF('yardi_data (2)'!$A:$A,$A619,'yardi_data (2)'!$D:$D)</f>
        <v>5977.42</v>
      </c>
      <c r="E619" s="791">
        <f>SUMIF('yardi_data (2)'!$A:$A,$A619,'yardi_data (2)'!$E:$E)</f>
        <v>2585.9</v>
      </c>
      <c r="F619" s="791">
        <f>SUMIF('yardi_data (2)'!$A:$A,$A619,'yardi_data (2)'!$F:$F)</f>
        <v>3000</v>
      </c>
      <c r="G619" s="791">
        <f>SUMIF('yardi_data (2)'!$A:$A,$A619,'yardi_data (2)'!$G:$G)</f>
        <v>4500</v>
      </c>
      <c r="H619" s="792"/>
    </row>
    <row r="620" spans="1:8">
      <c r="A620" s="181" t="s">
        <v>1223</v>
      </c>
      <c r="B620" s="181" t="s">
        <v>1224</v>
      </c>
      <c r="C620" s="791">
        <f>SUMIF('yardi_data (2)'!$A:$A,$A620,'yardi_data (2)'!C:C)</f>
        <v>0</v>
      </c>
      <c r="D620" s="791">
        <f>SUMIF('yardi_data (2)'!$A:$A,$A620,'yardi_data (2)'!$D:$D)</f>
        <v>0</v>
      </c>
      <c r="E620" s="791">
        <f>SUMIF('yardi_data (2)'!$A:$A,$A620,'yardi_data (2)'!$E:$E)</f>
        <v>0</v>
      </c>
      <c r="F620" s="791">
        <f>SUMIF('yardi_data (2)'!$A:$A,$A620,'yardi_data (2)'!$F:$F)</f>
        <v>0</v>
      </c>
      <c r="G620" s="791">
        <f>SUMIF('yardi_data (2)'!$A:$A,$A620,'yardi_data (2)'!$G:$G)</f>
        <v>500</v>
      </c>
      <c r="H620" s="792"/>
    </row>
    <row r="621" spans="1:8">
      <c r="A621" s="182" t="s">
        <v>1225</v>
      </c>
      <c r="B621" s="182" t="s">
        <v>1226</v>
      </c>
      <c r="C621" s="791">
        <f>SUMIF('yardi_data (2)'!$A:$A,$A621,'yardi_data (2)'!C:C)</f>
        <v>0</v>
      </c>
      <c r="D621" s="791">
        <f>SUMIF('yardi_data (2)'!$A:$A,$A621,'yardi_data (2)'!$D:$D)</f>
        <v>0</v>
      </c>
      <c r="E621" s="791">
        <f>SUMIF('yardi_data (2)'!$A:$A,$A621,'yardi_data (2)'!$E:$E)</f>
        <v>0</v>
      </c>
      <c r="F621" s="791">
        <f>SUMIF('yardi_data (2)'!$A:$A,$A621,'yardi_data (2)'!$F:$F)</f>
        <v>0</v>
      </c>
      <c r="G621" s="791">
        <f>SUMIF('yardi_data (2)'!$A:$A,$A621,'yardi_data (2)'!$G:$G)</f>
        <v>0</v>
      </c>
      <c r="H621" s="792"/>
    </row>
    <row r="622" spans="1:8">
      <c r="A622" s="181" t="s">
        <v>1227</v>
      </c>
      <c r="B622" s="181" t="s">
        <v>1228</v>
      </c>
      <c r="C622" s="791">
        <f>SUMIF('yardi_data (2)'!$A:$A,$A622,'yardi_data (2)'!C:C)</f>
        <v>0</v>
      </c>
      <c r="D622" s="791">
        <f>SUMIF('yardi_data (2)'!$A:$A,$A622,'yardi_data (2)'!$D:$D)</f>
        <v>0</v>
      </c>
      <c r="E622" s="791">
        <f>SUMIF('yardi_data (2)'!$A:$A,$A622,'yardi_data (2)'!$E:$E)</f>
        <v>0</v>
      </c>
      <c r="F622" s="791">
        <f>SUMIF('yardi_data (2)'!$A:$A,$A622,'yardi_data (2)'!$F:$F)</f>
        <v>0</v>
      </c>
      <c r="G622" s="791">
        <f>SUMIF('yardi_data (2)'!$A:$A,$A622,'yardi_data (2)'!$G:$G)</f>
        <v>0</v>
      </c>
      <c r="H622" s="792"/>
    </row>
    <row r="623" spans="1:8">
      <c r="A623" s="182" t="s">
        <v>1229</v>
      </c>
      <c r="B623" s="182" t="s">
        <v>1230</v>
      </c>
      <c r="C623" s="791">
        <f>SUMIF('yardi_data (2)'!$A:$A,$A623,'yardi_data (2)'!C:C)</f>
        <v>0</v>
      </c>
      <c r="D623" s="791">
        <f>SUMIF('yardi_data (2)'!$A:$A,$A623,'yardi_data (2)'!$D:$D)</f>
        <v>155.69</v>
      </c>
      <c r="E623" s="791">
        <f>SUMIF('yardi_data (2)'!$A:$A,$A623,'yardi_data (2)'!$E:$E)</f>
        <v>0</v>
      </c>
      <c r="F623" s="791">
        <f>SUMIF('yardi_data (2)'!$A:$A,$A623,'yardi_data (2)'!$F:$F)</f>
        <v>333.36</v>
      </c>
      <c r="G623" s="791">
        <f>SUMIF('yardi_data (2)'!$A:$A,$A623,'yardi_data (2)'!$G:$G)</f>
        <v>500</v>
      </c>
      <c r="H623" s="792"/>
    </row>
    <row r="624" spans="1:8">
      <c r="A624" s="181" t="s">
        <v>1231</v>
      </c>
      <c r="B624" s="181" t="s">
        <v>723</v>
      </c>
      <c r="C624" s="791">
        <f>SUMIF('yardi_data (2)'!$A:$A,$A624,'yardi_data (2)'!C:C)</f>
        <v>0</v>
      </c>
      <c r="D624" s="791">
        <f>SUMIF('yardi_data (2)'!$A:$A,$A624,'yardi_data (2)'!$D:$D)</f>
        <v>0</v>
      </c>
      <c r="E624" s="791">
        <f>SUMIF('yardi_data (2)'!$A:$A,$A624,'yardi_data (2)'!$E:$E)</f>
        <v>0</v>
      </c>
      <c r="F624" s="791">
        <f>SUMIF('yardi_data (2)'!$A:$A,$A624,'yardi_data (2)'!$F:$F)</f>
        <v>0</v>
      </c>
      <c r="G624" s="791">
        <f>SUMIF('yardi_data (2)'!$A:$A,$A624,'yardi_data (2)'!$G:$G)</f>
        <v>0</v>
      </c>
      <c r="H624" s="792"/>
    </row>
    <row r="625" spans="1:8">
      <c r="A625" s="182" t="s">
        <v>1232</v>
      </c>
      <c r="B625" s="182" t="s">
        <v>725</v>
      </c>
      <c r="C625" s="791">
        <f>SUMIF('yardi_data (2)'!$A:$A,$A625,'yardi_data (2)'!C:C)</f>
        <v>0</v>
      </c>
      <c r="D625" s="791">
        <f>SUMIF('yardi_data (2)'!$A:$A,$A625,'yardi_data (2)'!$D:$D)</f>
        <v>0</v>
      </c>
      <c r="E625" s="791">
        <f>SUMIF('yardi_data (2)'!$A:$A,$A625,'yardi_data (2)'!$E:$E)</f>
        <v>0</v>
      </c>
      <c r="F625" s="791">
        <f>SUMIF('yardi_data (2)'!$A:$A,$A625,'yardi_data (2)'!$F:$F)</f>
        <v>0</v>
      </c>
      <c r="G625" s="791">
        <f>SUMIF('yardi_data (2)'!$A:$A,$A625,'yardi_data (2)'!$G:$G)</f>
        <v>0</v>
      </c>
      <c r="H625" s="792"/>
    </row>
    <row r="626" spans="1:8">
      <c r="A626" s="181" t="s">
        <v>1233</v>
      </c>
      <c r="B626" s="181" t="s">
        <v>727</v>
      </c>
      <c r="C626" s="791">
        <f>SUMIF('yardi_data (2)'!$A:$A,$A626,'yardi_data (2)'!C:C)</f>
        <v>0</v>
      </c>
      <c r="D626" s="791">
        <f>SUMIF('yardi_data (2)'!$A:$A,$A626,'yardi_data (2)'!$D:$D)</f>
        <v>0</v>
      </c>
      <c r="E626" s="791">
        <f>SUMIF('yardi_data (2)'!$A:$A,$A626,'yardi_data (2)'!$E:$E)</f>
        <v>0</v>
      </c>
      <c r="F626" s="791">
        <f>SUMIF('yardi_data (2)'!$A:$A,$A626,'yardi_data (2)'!$F:$F)</f>
        <v>0</v>
      </c>
      <c r="G626" s="791">
        <f>SUMIF('yardi_data (2)'!$A:$A,$A626,'yardi_data (2)'!$G:$G)</f>
        <v>0</v>
      </c>
      <c r="H626" s="792"/>
    </row>
    <row r="627" spans="1:8">
      <c r="A627" s="182" t="s">
        <v>1234</v>
      </c>
      <c r="B627" s="182" t="s">
        <v>1235</v>
      </c>
      <c r="C627" s="791">
        <f>SUMIF('yardi_data (2)'!$A:$A,$A627,'yardi_data (2)'!C:C)</f>
        <v>0</v>
      </c>
      <c r="D627" s="791">
        <f>SUMIF('yardi_data (2)'!$A:$A,$A627,'yardi_data (2)'!$D:$D)</f>
        <v>0</v>
      </c>
      <c r="E627" s="791">
        <f>SUMIF('yardi_data (2)'!$A:$A,$A627,'yardi_data (2)'!$E:$E)</f>
        <v>0</v>
      </c>
      <c r="F627" s="791">
        <f>SUMIF('yardi_data (2)'!$A:$A,$A627,'yardi_data (2)'!$F:$F)</f>
        <v>0</v>
      </c>
      <c r="G627" s="791">
        <f>SUMIF('yardi_data (2)'!$A:$A,$A627,'yardi_data (2)'!$G:$G)</f>
        <v>0</v>
      </c>
      <c r="H627" s="792"/>
    </row>
    <row r="628" spans="1:8">
      <c r="A628" s="181" t="s">
        <v>1236</v>
      </c>
      <c r="B628" s="181" t="s">
        <v>1237</v>
      </c>
      <c r="C628" s="791">
        <f>SUMIF('yardi_data (2)'!$A:$A,$A628,'yardi_data (2)'!C:C)</f>
        <v>4056</v>
      </c>
      <c r="D628" s="791">
        <f>SUMIF('yardi_data (2)'!$A:$A,$A628,'yardi_data (2)'!$D:$D)</f>
        <v>3972</v>
      </c>
      <c r="E628" s="791">
        <f>SUMIF('yardi_data (2)'!$A:$A,$A628,'yardi_data (2)'!$E:$E)</f>
        <v>4965</v>
      </c>
      <c r="F628" s="791">
        <f>SUMIF('yardi_data (2)'!$A:$A,$A628,'yardi_data (2)'!$F:$F)</f>
        <v>4965</v>
      </c>
      <c r="G628" s="791">
        <f>SUMIF('yardi_data (2)'!$A:$A,$A628,'yardi_data (2)'!$G:$G)</f>
        <v>4965</v>
      </c>
      <c r="H628" s="792"/>
    </row>
    <row r="629" spans="1:8">
      <c r="A629" s="181" t="s">
        <v>1238</v>
      </c>
      <c r="B629" s="181" t="s">
        <v>1239</v>
      </c>
      <c r="C629" s="791">
        <f>SUMIF('yardi_data (2)'!$A:$A,$A629,'yardi_data (2)'!C:C)</f>
        <v>6320</v>
      </c>
      <c r="D629" s="791">
        <f>SUMIF('yardi_data (2)'!$A:$A,$A629,'yardi_data (2)'!$D:$D)</f>
        <v>7584</v>
      </c>
      <c r="E629" s="791">
        <f>SUMIF('yardi_data (2)'!$A:$A,$A629,'yardi_data (2)'!$E:$E)</f>
        <v>7584</v>
      </c>
      <c r="F629" s="791">
        <f>SUMIF('yardi_data (2)'!$A:$A,$A629,'yardi_data (2)'!$F:$F)</f>
        <v>7560</v>
      </c>
      <c r="G629" s="791">
        <f>SUMIF('yardi_data (2)'!$A:$A,$A629,'yardi_data (2)'!$G:$G)</f>
        <v>7560</v>
      </c>
      <c r="H629" s="792"/>
    </row>
    <row r="630" spans="1:8">
      <c r="A630" s="182" t="s">
        <v>1240</v>
      </c>
      <c r="B630" s="182" t="s">
        <v>1241</v>
      </c>
      <c r="C630" s="791">
        <f>SUMIF('yardi_data (2)'!$A:$A,$A630,'yardi_data (2)'!C:C)</f>
        <v>1575</v>
      </c>
      <c r="D630" s="791">
        <f>SUMIF('yardi_data (2)'!$A:$A,$A630,'yardi_data (2)'!$D:$D)</f>
        <v>1575</v>
      </c>
      <c r="E630" s="791">
        <f>SUMIF('yardi_data (2)'!$A:$A,$A630,'yardi_data (2)'!$E:$E)</f>
        <v>1575</v>
      </c>
      <c r="F630" s="791">
        <f>SUMIF('yardi_data (2)'!$A:$A,$A630,'yardi_data (2)'!$F:$F)</f>
        <v>1575</v>
      </c>
      <c r="G630" s="791">
        <f>SUMIF('yardi_data (2)'!$A:$A,$A630,'yardi_data (2)'!$G:$G)</f>
        <v>1575</v>
      </c>
      <c r="H630" s="792"/>
    </row>
    <row r="631" spans="1:8">
      <c r="A631" s="181" t="s">
        <v>1242</v>
      </c>
      <c r="B631" s="181" t="s">
        <v>735</v>
      </c>
      <c r="C631" s="791">
        <f>SUMIF('yardi_data (2)'!$A:$A,$A631,'yardi_data (2)'!C:C)</f>
        <v>0</v>
      </c>
      <c r="D631" s="791">
        <f>SUMIF('yardi_data (2)'!$A:$A,$A631,'yardi_data (2)'!$D:$D)</f>
        <v>0</v>
      </c>
      <c r="E631" s="791">
        <f>SUMIF('yardi_data (2)'!$A:$A,$A631,'yardi_data (2)'!$E:$E)</f>
        <v>0</v>
      </c>
      <c r="F631" s="791">
        <f>SUMIF('yardi_data (2)'!$A:$A,$A631,'yardi_data (2)'!$F:$F)</f>
        <v>0</v>
      </c>
      <c r="G631" s="791">
        <f>SUMIF('yardi_data (2)'!$A:$A,$A631,'yardi_data (2)'!$G:$G)</f>
        <v>0</v>
      </c>
      <c r="H631" s="792"/>
    </row>
    <row r="632" spans="1:8">
      <c r="A632" s="182" t="s">
        <v>1243</v>
      </c>
      <c r="B632" s="182" t="s">
        <v>713</v>
      </c>
      <c r="C632" s="791">
        <f>SUMIF('yardi_data (2)'!$A:$A,$A632,'yardi_data (2)'!C:C)</f>
        <v>625</v>
      </c>
      <c r="D632" s="791">
        <f>SUMIF('yardi_data (2)'!$A:$A,$A632,'yardi_data (2)'!$D:$D)</f>
        <v>125</v>
      </c>
      <c r="E632" s="791">
        <f>SUMIF('yardi_data (2)'!$A:$A,$A632,'yardi_data (2)'!$E:$E)</f>
        <v>125</v>
      </c>
      <c r="F632" s="791">
        <f>SUMIF('yardi_data (2)'!$A:$A,$A632,'yardi_data (2)'!$F:$F)</f>
        <v>250</v>
      </c>
      <c r="G632" s="791">
        <f>SUMIF('yardi_data (2)'!$A:$A,$A632,'yardi_data (2)'!$G:$G)</f>
        <v>500</v>
      </c>
      <c r="H632" s="792"/>
    </row>
    <row r="633" spans="1:8">
      <c r="A633" s="181" t="s">
        <v>1244</v>
      </c>
      <c r="B633" s="181" t="s">
        <v>1245</v>
      </c>
      <c r="C633" s="791">
        <f>SUMIF('yardi_data (2)'!$A:$A,$A633,'yardi_data (2)'!C:C)</f>
        <v>0</v>
      </c>
      <c r="D633" s="791">
        <f>SUMIF('yardi_data (2)'!$A:$A,$A633,'yardi_data (2)'!$D:$D)</f>
        <v>0</v>
      </c>
      <c r="E633" s="791">
        <f>SUMIF('yardi_data (2)'!$A:$A,$A633,'yardi_data (2)'!$E:$E)</f>
        <v>0</v>
      </c>
      <c r="F633" s="791">
        <f>SUMIF('yardi_data (2)'!$A:$A,$A633,'yardi_data (2)'!$F:$F)</f>
        <v>0</v>
      </c>
      <c r="G633" s="791">
        <f>SUMIF('yardi_data (2)'!$A:$A,$A633,'yardi_data (2)'!$G:$G)</f>
        <v>0</v>
      </c>
      <c r="H633" s="792"/>
    </row>
    <row r="634" spans="1:8">
      <c r="A634" s="182" t="s">
        <v>1246</v>
      </c>
      <c r="B634" s="182" t="s">
        <v>1247</v>
      </c>
      <c r="C634" s="791">
        <f>SUMIF('yardi_data (2)'!$A:$A,$A634,'yardi_data (2)'!C:C)</f>
        <v>0</v>
      </c>
      <c r="D634" s="791">
        <f>SUMIF('yardi_data (2)'!$A:$A,$A634,'yardi_data (2)'!$D:$D)</f>
        <v>0</v>
      </c>
      <c r="E634" s="791">
        <f>SUMIF('yardi_data (2)'!$A:$A,$A634,'yardi_data (2)'!$E:$E)</f>
        <v>0</v>
      </c>
      <c r="F634" s="791">
        <f>SUMIF('yardi_data (2)'!$A:$A,$A634,'yardi_data (2)'!$F:$F)</f>
        <v>0</v>
      </c>
      <c r="G634" s="791">
        <f>SUMIF('yardi_data (2)'!$A:$A,$A634,'yardi_data (2)'!$G:$G)</f>
        <v>0</v>
      </c>
      <c r="H634" s="792"/>
    </row>
    <row r="635" spans="1:8">
      <c r="A635" s="181" t="s">
        <v>1248</v>
      </c>
      <c r="B635" s="181" t="s">
        <v>1249</v>
      </c>
      <c r="C635" s="791">
        <f>SUMIF('yardi_data (2)'!$A:$A,$A635,'yardi_data (2)'!C:C)</f>
        <v>1052.3499999999999</v>
      </c>
      <c r="D635" s="791">
        <f>SUMIF('yardi_data (2)'!$A:$A,$A635,'yardi_data (2)'!$D:$D)</f>
        <v>1272.54</v>
      </c>
      <c r="E635" s="791">
        <f>SUMIF('yardi_data (2)'!$A:$A,$A635,'yardi_data (2)'!$E:$E)</f>
        <v>880.83</v>
      </c>
      <c r="F635" s="791">
        <f>SUMIF('yardi_data (2)'!$A:$A,$A635,'yardi_data (2)'!$F:$F)</f>
        <v>866.64</v>
      </c>
      <c r="G635" s="791">
        <f>SUMIF('yardi_data (2)'!$A:$A,$A635,'yardi_data (2)'!$G:$G)</f>
        <v>1300</v>
      </c>
      <c r="H635" s="792"/>
    </row>
    <row r="636" spans="1:8">
      <c r="A636" s="182" t="s">
        <v>1250</v>
      </c>
      <c r="B636" s="182" t="s">
        <v>596</v>
      </c>
      <c r="C636" s="791">
        <f>SUMIF('yardi_data (2)'!$A:$A,$A636,'yardi_data (2)'!C:C)</f>
        <v>0</v>
      </c>
      <c r="D636" s="791">
        <f>SUMIF('yardi_data (2)'!$A:$A,$A636,'yardi_data (2)'!$D:$D)</f>
        <v>0</v>
      </c>
      <c r="E636" s="791">
        <f>SUMIF('yardi_data (2)'!$A:$A,$A636,'yardi_data (2)'!$E:$E)</f>
        <v>0</v>
      </c>
      <c r="F636" s="791">
        <f>SUMIF('yardi_data (2)'!$A:$A,$A636,'yardi_data (2)'!$F:$F)</f>
        <v>0</v>
      </c>
      <c r="G636" s="791">
        <f>SUMIF('yardi_data (2)'!$A:$A,$A636,'yardi_data (2)'!$G:$G)</f>
        <v>0</v>
      </c>
      <c r="H636" s="792"/>
    </row>
    <row r="637" spans="1:8">
      <c r="A637" s="181" t="s">
        <v>1251</v>
      </c>
      <c r="B637" s="181" t="s">
        <v>1252</v>
      </c>
      <c r="C637" s="791">
        <f>SUMIF('yardi_data (2)'!$A:$A,$A637,'yardi_data (2)'!C:C)</f>
        <v>0</v>
      </c>
      <c r="D637" s="791">
        <f>SUMIF('yardi_data (2)'!$A:$A,$A637,'yardi_data (2)'!$D:$D)</f>
        <v>0</v>
      </c>
      <c r="E637" s="791">
        <f>SUMIF('yardi_data (2)'!$A:$A,$A637,'yardi_data (2)'!$E:$E)</f>
        <v>0</v>
      </c>
      <c r="F637" s="791">
        <f>SUMIF('yardi_data (2)'!$A:$A,$A637,'yardi_data (2)'!$F:$F)</f>
        <v>0</v>
      </c>
      <c r="G637" s="791">
        <f>SUMIF('yardi_data (2)'!$A:$A,$A637,'yardi_data (2)'!$G:$G)</f>
        <v>0</v>
      </c>
      <c r="H637" s="792"/>
    </row>
    <row r="638" spans="1:8">
      <c r="A638" s="182" t="s">
        <v>1253</v>
      </c>
      <c r="B638" s="182" t="s">
        <v>1254</v>
      </c>
      <c r="C638" s="791">
        <f>SUMIF('yardi_data (2)'!$A:$A,$A638,'yardi_data (2)'!C:C)</f>
        <v>0</v>
      </c>
      <c r="D638" s="791">
        <f>SUMIF('yardi_data (2)'!$A:$A,$A638,'yardi_data (2)'!$D:$D)</f>
        <v>0</v>
      </c>
      <c r="E638" s="791">
        <f>SUMIF('yardi_data (2)'!$A:$A,$A638,'yardi_data (2)'!$E:$E)</f>
        <v>0</v>
      </c>
      <c r="F638" s="791">
        <f>SUMIF('yardi_data (2)'!$A:$A,$A638,'yardi_data (2)'!$F:$F)</f>
        <v>0</v>
      </c>
      <c r="G638" s="791">
        <f>SUMIF('yardi_data (2)'!$A:$A,$A638,'yardi_data (2)'!$G:$G)</f>
        <v>0</v>
      </c>
      <c r="H638" s="792"/>
    </row>
    <row r="639" spans="1:8">
      <c r="A639" s="181" t="s">
        <v>1255</v>
      </c>
      <c r="B639" s="181" t="s">
        <v>1256</v>
      </c>
      <c r="C639" s="791">
        <f>SUMIF('yardi_data (2)'!$A:$A,$A639,'yardi_data (2)'!C:C)</f>
        <v>0</v>
      </c>
      <c r="D639" s="791">
        <f>SUMIF('yardi_data (2)'!$A:$A,$A639,'yardi_data (2)'!$D:$D)</f>
        <v>0</v>
      </c>
      <c r="E639" s="791">
        <f>SUMIF('yardi_data (2)'!$A:$A,$A639,'yardi_data (2)'!$E:$E)</f>
        <v>0</v>
      </c>
      <c r="F639" s="791">
        <f>SUMIF('yardi_data (2)'!$A:$A,$A639,'yardi_data (2)'!$F:$F)</f>
        <v>0</v>
      </c>
      <c r="G639" s="791">
        <f>SUMIF('yardi_data (2)'!$A:$A,$A639,'yardi_data (2)'!$G:$G)</f>
        <v>0</v>
      </c>
      <c r="H639" s="792"/>
    </row>
    <row r="640" spans="1:8">
      <c r="A640" s="182" t="s">
        <v>1257</v>
      </c>
      <c r="B640" s="182" t="s">
        <v>1258</v>
      </c>
      <c r="C640" s="791">
        <f>SUMIF('yardi_data (2)'!$A:$A,$A640,'yardi_data (2)'!C:C)</f>
        <v>0</v>
      </c>
      <c r="D640" s="791">
        <f>SUMIF('yardi_data (2)'!$A:$A,$A640,'yardi_data (2)'!$D:$D)</f>
        <v>0</v>
      </c>
      <c r="E640" s="791">
        <f>SUMIF('yardi_data (2)'!$A:$A,$A640,'yardi_data (2)'!$E:$E)</f>
        <v>0</v>
      </c>
      <c r="F640" s="791">
        <f>SUMIF('yardi_data (2)'!$A:$A,$A640,'yardi_data (2)'!$F:$F)</f>
        <v>0</v>
      </c>
      <c r="G640" s="791">
        <f>SUMIF('yardi_data (2)'!$A:$A,$A640,'yardi_data (2)'!$G:$G)</f>
        <v>0</v>
      </c>
      <c r="H640" s="792"/>
    </row>
    <row r="641" spans="1:8">
      <c r="A641" s="181" t="s">
        <v>1259</v>
      </c>
      <c r="B641" s="181" t="s">
        <v>1260</v>
      </c>
      <c r="C641" s="791">
        <f>SUMIF('yardi_data (2)'!$A:$A,$A641,'yardi_data (2)'!C:C)</f>
        <v>0</v>
      </c>
      <c r="D641" s="791">
        <f>SUMIF('yardi_data (2)'!$A:$A,$A641,'yardi_data (2)'!$D:$D)</f>
        <v>0</v>
      </c>
      <c r="E641" s="791">
        <f>SUMIF('yardi_data (2)'!$A:$A,$A641,'yardi_data (2)'!$E:$E)</f>
        <v>0</v>
      </c>
      <c r="F641" s="791">
        <f>SUMIF('yardi_data (2)'!$A:$A,$A641,'yardi_data (2)'!$F:$F)</f>
        <v>0</v>
      </c>
      <c r="G641" s="791">
        <f>SUMIF('yardi_data (2)'!$A:$A,$A641,'yardi_data (2)'!$G:$G)</f>
        <v>0</v>
      </c>
      <c r="H641" s="792"/>
    </row>
    <row r="642" spans="1:8">
      <c r="A642" s="182" t="s">
        <v>1261</v>
      </c>
      <c r="B642" s="182" t="s">
        <v>578</v>
      </c>
      <c r="C642" s="791">
        <f>SUMIF('yardi_data (2)'!$A:$A,$A642,'yardi_data (2)'!C:C)</f>
        <v>0</v>
      </c>
      <c r="D642" s="791">
        <f>SUMIF('yardi_data (2)'!$A:$A,$A642,'yardi_data (2)'!$D:$D)</f>
        <v>0</v>
      </c>
      <c r="E642" s="791">
        <f>SUMIF('yardi_data (2)'!$A:$A,$A642,'yardi_data (2)'!$E:$E)</f>
        <v>0</v>
      </c>
      <c r="F642" s="791">
        <f>SUMIF('yardi_data (2)'!$A:$A,$A642,'yardi_data (2)'!$F:$F)</f>
        <v>0</v>
      </c>
      <c r="G642" s="791">
        <f>SUMIF('yardi_data (2)'!$A:$A,$A642,'yardi_data (2)'!$G:$G)</f>
        <v>0</v>
      </c>
      <c r="H642" s="792"/>
    </row>
    <row r="643" spans="1:8">
      <c r="A643" s="181" t="s">
        <v>1262</v>
      </c>
      <c r="B643" s="181" t="s">
        <v>1263</v>
      </c>
      <c r="C643" s="791">
        <f>SUMIF('yardi_data (2)'!$A:$A,$A643,'yardi_data (2)'!C:C)</f>
        <v>0</v>
      </c>
      <c r="D643" s="791">
        <f>SUMIF('yardi_data (2)'!$A:$A,$A643,'yardi_data (2)'!$D:$D)</f>
        <v>0</v>
      </c>
      <c r="E643" s="791">
        <f>SUMIF('yardi_data (2)'!$A:$A,$A643,'yardi_data (2)'!$E:$E)</f>
        <v>0</v>
      </c>
      <c r="F643" s="791">
        <f>SUMIF('yardi_data (2)'!$A:$A,$A643,'yardi_data (2)'!$F:$F)</f>
        <v>0</v>
      </c>
      <c r="G643" s="791">
        <f>SUMIF('yardi_data (2)'!$A:$A,$A643,'yardi_data (2)'!$G:$G)</f>
        <v>0</v>
      </c>
      <c r="H643" s="792"/>
    </row>
    <row r="644" spans="1:8">
      <c r="A644" s="182" t="s">
        <v>1264</v>
      </c>
      <c r="B644" s="182" t="s">
        <v>1265</v>
      </c>
      <c r="C644" s="791">
        <f>SUMIF('yardi_data (2)'!$A:$A,$A644,'yardi_data (2)'!C:C)</f>
        <v>0</v>
      </c>
      <c r="D644" s="791">
        <f>SUMIF('yardi_data (2)'!$A:$A,$A644,'yardi_data (2)'!$D:$D)</f>
        <v>0</v>
      </c>
      <c r="E644" s="791">
        <f>SUMIF('yardi_data (2)'!$A:$A,$A644,'yardi_data (2)'!$E:$E)</f>
        <v>0</v>
      </c>
      <c r="F644" s="791">
        <f>SUMIF('yardi_data (2)'!$A:$A,$A644,'yardi_data (2)'!$F:$F)</f>
        <v>0</v>
      </c>
      <c r="G644" s="791">
        <f>SUMIF('yardi_data (2)'!$A:$A,$A644,'yardi_data (2)'!$G:$G)</f>
        <v>0</v>
      </c>
      <c r="H644" s="792"/>
    </row>
    <row r="645" spans="1:8">
      <c r="A645" s="181" t="s">
        <v>1266</v>
      </c>
      <c r="B645" s="181" t="s">
        <v>1267</v>
      </c>
      <c r="C645" s="791">
        <f>SUMIF('yardi_data (2)'!$A:$A,$A645,'yardi_data (2)'!C:C)</f>
        <v>0</v>
      </c>
      <c r="D645" s="791">
        <f>SUMIF('yardi_data (2)'!$A:$A,$A645,'yardi_data (2)'!$D:$D)</f>
        <v>0</v>
      </c>
      <c r="E645" s="791">
        <f>SUMIF('yardi_data (2)'!$A:$A,$A645,'yardi_data (2)'!$E:$E)</f>
        <v>0</v>
      </c>
      <c r="F645" s="791">
        <f>SUMIF('yardi_data (2)'!$A:$A,$A645,'yardi_data (2)'!$F:$F)</f>
        <v>0</v>
      </c>
      <c r="G645" s="791">
        <f>SUMIF('yardi_data (2)'!$A:$A,$A645,'yardi_data (2)'!$G:$G)</f>
        <v>0</v>
      </c>
      <c r="H645" s="792"/>
    </row>
    <row r="646" spans="1:8">
      <c r="A646" s="182" t="s">
        <v>1268</v>
      </c>
      <c r="B646" s="182" t="s">
        <v>1269</v>
      </c>
      <c r="C646" s="791">
        <f>SUMIF('yardi_data (2)'!$A:$A,$A646,'yardi_data (2)'!C:C)</f>
        <v>2661.79</v>
      </c>
      <c r="D646" s="791">
        <f>SUMIF('yardi_data (2)'!$A:$A,$A646,'yardi_data (2)'!$D:$D)</f>
        <v>8854.25</v>
      </c>
      <c r="E646" s="791">
        <f>SUMIF('yardi_data (2)'!$A:$A,$A646,'yardi_data (2)'!$E:$E)</f>
        <v>3547.09</v>
      </c>
      <c r="F646" s="791">
        <f>SUMIF('yardi_data (2)'!$A:$A,$A646,'yardi_data (2)'!$F:$F)</f>
        <v>800</v>
      </c>
      <c r="G646" s="791">
        <f>SUMIF('yardi_data (2)'!$A:$A,$A646,'yardi_data (2)'!$G:$G)</f>
        <v>1200</v>
      </c>
      <c r="H646" s="792"/>
    </row>
    <row r="647" spans="1:8">
      <c r="A647" s="181" t="s">
        <v>1270</v>
      </c>
      <c r="B647" s="181" t="s">
        <v>1271</v>
      </c>
      <c r="C647" s="791">
        <f>SUMIF('yardi_data (2)'!$A:$A,$A647,'yardi_data (2)'!C:C)</f>
        <v>71444.5</v>
      </c>
      <c r="D647" s="791">
        <f>SUMIF('yardi_data (2)'!$A:$A,$A647,'yardi_data (2)'!$D:$D)</f>
        <v>84994.85</v>
      </c>
      <c r="E647" s="791">
        <f>SUMIF('yardi_data (2)'!$A:$A,$A647,'yardi_data (2)'!$E:$E)</f>
        <v>57232.55</v>
      </c>
      <c r="F647" s="791">
        <f>SUMIF('yardi_data (2)'!$A:$A,$A647,'yardi_data (2)'!$F:$F)</f>
        <v>55639.92</v>
      </c>
      <c r="G647" s="791">
        <f>SUMIF('yardi_data (2)'!$A:$A,$A647,'yardi_data (2)'!$G:$G)</f>
        <v>76900</v>
      </c>
      <c r="H647" s="792"/>
    </row>
    <row r="648" spans="1:8">
      <c r="A648" s="182" t="s">
        <v>1272</v>
      </c>
      <c r="B648" s="182" t="s">
        <v>1273</v>
      </c>
      <c r="C648" s="791">
        <f>SUMIF('yardi_data (2)'!$A:$A,$A648,'yardi_data (2)'!C:C)</f>
        <v>0</v>
      </c>
      <c r="D648" s="791">
        <f>SUMIF('yardi_data (2)'!$A:$A,$A648,'yardi_data (2)'!$D:$D)</f>
        <v>0</v>
      </c>
      <c r="E648" s="791">
        <f>SUMIF('yardi_data (2)'!$A:$A,$A648,'yardi_data (2)'!$E:$E)</f>
        <v>0</v>
      </c>
      <c r="F648" s="791">
        <f>SUMIF('yardi_data (2)'!$A:$A,$A648,'yardi_data (2)'!$F:$F)</f>
        <v>0</v>
      </c>
      <c r="G648" s="791">
        <f>SUMIF('yardi_data (2)'!$A:$A,$A648,'yardi_data (2)'!$G:$G)</f>
        <v>0</v>
      </c>
      <c r="H648" s="792"/>
    </row>
    <row r="649" spans="1:8">
      <c r="A649" s="181" t="s">
        <v>1274</v>
      </c>
      <c r="B649" s="181" t="s">
        <v>1275</v>
      </c>
      <c r="C649" s="791">
        <f>SUMIF('yardi_data (2)'!$A:$A,$A649,'yardi_data (2)'!C:C)</f>
        <v>588409.25</v>
      </c>
      <c r="D649" s="791">
        <f>SUMIF('yardi_data (2)'!$A:$A,$A649,'yardi_data (2)'!$D:$D)</f>
        <v>582446.37</v>
      </c>
      <c r="E649" s="791">
        <f>SUMIF('yardi_data (2)'!$A:$A,$A649,'yardi_data (2)'!$E:$E)</f>
        <v>382336.38</v>
      </c>
      <c r="F649" s="791">
        <f>SUMIF('yardi_data (2)'!$A:$A,$A649,'yardi_data (2)'!$F:$F)</f>
        <v>382336.38</v>
      </c>
      <c r="G649" s="791">
        <f>SUMIF('yardi_data (2)'!$A:$A,$A649,'yardi_data (2)'!$G:$G)</f>
        <v>572950.62</v>
      </c>
      <c r="H649" s="792"/>
    </row>
    <row r="650" spans="1:8">
      <c r="A650" s="182" t="s">
        <v>1276</v>
      </c>
      <c r="B650" s="182" t="s">
        <v>1277</v>
      </c>
      <c r="C650" s="791">
        <f>SUMIF('yardi_data (2)'!$A:$A,$A650,'yardi_data (2)'!C:C)</f>
        <v>0</v>
      </c>
      <c r="D650" s="791">
        <f>SUMIF('yardi_data (2)'!$A:$A,$A650,'yardi_data (2)'!$D:$D)</f>
        <v>0</v>
      </c>
      <c r="E650" s="791">
        <f>SUMIF('yardi_data (2)'!$A:$A,$A650,'yardi_data (2)'!$E:$E)</f>
        <v>0</v>
      </c>
      <c r="F650" s="791">
        <f>SUMIF('yardi_data (2)'!$A:$A,$A650,'yardi_data (2)'!$F:$F)</f>
        <v>0</v>
      </c>
      <c r="G650" s="791">
        <f>SUMIF('yardi_data (2)'!$A:$A,$A650,'yardi_data (2)'!$G:$G)</f>
        <v>0</v>
      </c>
      <c r="H650" s="792"/>
    </row>
    <row r="651" spans="1:8">
      <c r="A651" s="181" t="s">
        <v>1278</v>
      </c>
      <c r="B651" s="181" t="s">
        <v>1279</v>
      </c>
      <c r="C651" s="791">
        <f>SUMIF('yardi_data (2)'!$A:$A,$A651,'yardi_data (2)'!C:C)</f>
        <v>0</v>
      </c>
      <c r="D651" s="791">
        <f>SUMIF('yardi_data (2)'!$A:$A,$A651,'yardi_data (2)'!$D:$D)</f>
        <v>0</v>
      </c>
      <c r="E651" s="791">
        <f>SUMIF('yardi_data (2)'!$A:$A,$A651,'yardi_data (2)'!$E:$E)</f>
        <v>0</v>
      </c>
      <c r="F651" s="791">
        <f>SUMIF('yardi_data (2)'!$A:$A,$A651,'yardi_data (2)'!$F:$F)</f>
        <v>0</v>
      </c>
      <c r="G651" s="791">
        <f>SUMIF('yardi_data (2)'!$A:$A,$A651,'yardi_data (2)'!$G:$G)</f>
        <v>0</v>
      </c>
      <c r="H651" s="792"/>
    </row>
    <row r="652" spans="1:8">
      <c r="A652" s="182" t="s">
        <v>1280</v>
      </c>
      <c r="B652" s="182" t="s">
        <v>1281</v>
      </c>
      <c r="C652" s="791">
        <f>SUMIF('yardi_data (2)'!$A:$A,$A652,'yardi_data (2)'!C:C)</f>
        <v>0</v>
      </c>
      <c r="D652" s="791">
        <f>SUMIF('yardi_data (2)'!$A:$A,$A652,'yardi_data (2)'!$D:$D)</f>
        <v>0</v>
      </c>
      <c r="E652" s="791">
        <f>SUMIF('yardi_data (2)'!$A:$A,$A652,'yardi_data (2)'!$E:$E)</f>
        <v>0</v>
      </c>
      <c r="F652" s="791">
        <f>SUMIF('yardi_data (2)'!$A:$A,$A652,'yardi_data (2)'!$F:$F)</f>
        <v>0</v>
      </c>
      <c r="G652" s="791">
        <f>SUMIF('yardi_data (2)'!$A:$A,$A652,'yardi_data (2)'!$G:$G)</f>
        <v>0</v>
      </c>
      <c r="H652" s="792"/>
    </row>
    <row r="653" spans="1:8">
      <c r="A653" s="181" t="s">
        <v>1282</v>
      </c>
      <c r="B653" s="181" t="s">
        <v>1283</v>
      </c>
      <c r="C653" s="791">
        <f>SUMIF('yardi_data (2)'!$A:$A,$A653,'yardi_data (2)'!C:C)</f>
        <v>0</v>
      </c>
      <c r="D653" s="791">
        <f>SUMIF('yardi_data (2)'!$A:$A,$A653,'yardi_data (2)'!$D:$D)</f>
        <v>0</v>
      </c>
      <c r="E653" s="791">
        <f>SUMIF('yardi_data (2)'!$A:$A,$A653,'yardi_data (2)'!$E:$E)</f>
        <v>0</v>
      </c>
      <c r="F653" s="791">
        <f>SUMIF('yardi_data (2)'!$A:$A,$A653,'yardi_data (2)'!$F:$F)</f>
        <v>0</v>
      </c>
      <c r="G653" s="791">
        <f>SUMIF('yardi_data (2)'!$A:$A,$A653,'yardi_data (2)'!$G:$G)</f>
        <v>0</v>
      </c>
      <c r="H653" s="792"/>
    </row>
    <row r="654" spans="1:8">
      <c r="A654" s="182" t="s">
        <v>1284</v>
      </c>
      <c r="B654" s="182" t="s">
        <v>1285</v>
      </c>
      <c r="C654" s="791">
        <f>SUMIF('yardi_data (2)'!$A:$A,$A654,'yardi_data (2)'!C:C)</f>
        <v>0</v>
      </c>
      <c r="D654" s="791">
        <f>SUMIF('yardi_data (2)'!$A:$A,$A654,'yardi_data (2)'!$D:$D)</f>
        <v>0</v>
      </c>
      <c r="E654" s="791">
        <f>SUMIF('yardi_data (2)'!$A:$A,$A654,'yardi_data (2)'!$E:$E)</f>
        <v>74857.759999999995</v>
      </c>
      <c r="F654" s="791">
        <f>SUMIF('yardi_data (2)'!$A:$A,$A654,'yardi_data (2)'!$F:$F)</f>
        <v>74858</v>
      </c>
      <c r="G654" s="791">
        <f>SUMIF('yardi_data (2)'!$A:$A,$A654,'yardi_data (2)'!$G:$G)</f>
        <v>112287</v>
      </c>
      <c r="H654" s="792"/>
    </row>
    <row r="655" spans="1:8">
      <c r="A655" s="181" t="s">
        <v>1286</v>
      </c>
      <c r="B655" s="181" t="s">
        <v>1287</v>
      </c>
      <c r="C655" s="791">
        <f>SUMIF('yardi_data (2)'!$A:$A,$A655,'yardi_data (2)'!C:C)</f>
        <v>0</v>
      </c>
      <c r="D655" s="791">
        <f>SUMIF('yardi_data (2)'!$A:$A,$A655,'yardi_data (2)'!$D:$D)</f>
        <v>0</v>
      </c>
      <c r="E655" s="791">
        <f>SUMIF('yardi_data (2)'!$A:$A,$A655,'yardi_data (2)'!$E:$E)</f>
        <v>0</v>
      </c>
      <c r="F655" s="791">
        <f>SUMIF('yardi_data (2)'!$A:$A,$A655,'yardi_data (2)'!$F:$F)</f>
        <v>0</v>
      </c>
      <c r="G655" s="791">
        <f>SUMIF('yardi_data (2)'!$A:$A,$A655,'yardi_data (2)'!$G:$G)</f>
        <v>0</v>
      </c>
      <c r="H655" s="792"/>
    </row>
    <row r="656" spans="1:8">
      <c r="A656" s="182" t="s">
        <v>1288</v>
      </c>
      <c r="B656" s="182" t="s">
        <v>1289</v>
      </c>
      <c r="C656" s="791">
        <f>SUMIF('yardi_data (2)'!$A:$A,$A656,'yardi_data (2)'!C:C)</f>
        <v>0</v>
      </c>
      <c r="D656" s="791">
        <f>SUMIF('yardi_data (2)'!$A:$A,$A656,'yardi_data (2)'!$D:$D)</f>
        <v>0</v>
      </c>
      <c r="E656" s="791">
        <f>SUMIF('yardi_data (2)'!$A:$A,$A656,'yardi_data (2)'!$E:$E)</f>
        <v>0</v>
      </c>
      <c r="F656" s="791">
        <f>SUMIF('yardi_data (2)'!$A:$A,$A656,'yardi_data (2)'!$F:$F)</f>
        <v>0</v>
      </c>
      <c r="G656" s="791">
        <f>SUMIF('yardi_data (2)'!$A:$A,$A656,'yardi_data (2)'!$G:$G)</f>
        <v>0</v>
      </c>
      <c r="H656" s="792"/>
    </row>
    <row r="657" spans="1:8">
      <c r="A657" s="181" t="s">
        <v>1290</v>
      </c>
      <c r="B657" s="181" t="s">
        <v>1291</v>
      </c>
      <c r="C657" s="791">
        <f>SUMIF('yardi_data (2)'!$A:$A,$A657,'yardi_data (2)'!C:C)</f>
        <v>0</v>
      </c>
      <c r="D657" s="791">
        <f>SUMIF('yardi_data (2)'!$A:$A,$A657,'yardi_data (2)'!$D:$D)</f>
        <v>0</v>
      </c>
      <c r="E657" s="791">
        <f>SUMIF('yardi_data (2)'!$A:$A,$A657,'yardi_data (2)'!$E:$E)</f>
        <v>0</v>
      </c>
      <c r="F657" s="791">
        <f>SUMIF('yardi_data (2)'!$A:$A,$A657,'yardi_data (2)'!$F:$F)</f>
        <v>0</v>
      </c>
      <c r="G657" s="791">
        <f>SUMIF('yardi_data (2)'!$A:$A,$A657,'yardi_data (2)'!$G:$G)</f>
        <v>0</v>
      </c>
      <c r="H657" s="792"/>
    </row>
    <row r="658" spans="1:8">
      <c r="A658" s="182" t="s">
        <v>1292</v>
      </c>
      <c r="B658" s="182" t="s">
        <v>1293</v>
      </c>
      <c r="C658" s="791">
        <f>SUMIF('yardi_data (2)'!$A:$A,$A658,'yardi_data (2)'!C:C)</f>
        <v>0</v>
      </c>
      <c r="D658" s="791">
        <f>SUMIF('yardi_data (2)'!$A:$A,$A658,'yardi_data (2)'!$D:$D)</f>
        <v>0</v>
      </c>
      <c r="E658" s="791">
        <f>SUMIF('yardi_data (2)'!$A:$A,$A658,'yardi_data (2)'!$E:$E)</f>
        <v>0</v>
      </c>
      <c r="F658" s="791">
        <f>SUMIF('yardi_data (2)'!$A:$A,$A658,'yardi_data (2)'!$F:$F)</f>
        <v>0</v>
      </c>
      <c r="G658" s="791">
        <f>SUMIF('yardi_data (2)'!$A:$A,$A658,'yardi_data (2)'!$G:$G)</f>
        <v>0</v>
      </c>
      <c r="H658" s="792"/>
    </row>
    <row r="659" spans="1:8">
      <c r="A659" s="181" t="s">
        <v>1294</v>
      </c>
      <c r="B659" s="181" t="s">
        <v>1295</v>
      </c>
      <c r="C659" s="791">
        <f>SUMIF('yardi_data (2)'!$A:$A,$A659,'yardi_data (2)'!C:C)</f>
        <v>0</v>
      </c>
      <c r="D659" s="791">
        <f>SUMIF('yardi_data (2)'!$A:$A,$A659,'yardi_data (2)'!$D:$D)</f>
        <v>0</v>
      </c>
      <c r="E659" s="791">
        <f>SUMIF('yardi_data (2)'!$A:$A,$A659,'yardi_data (2)'!$E:$E)</f>
        <v>0</v>
      </c>
      <c r="F659" s="791">
        <f>SUMIF('yardi_data (2)'!$A:$A,$A659,'yardi_data (2)'!$F:$F)</f>
        <v>0</v>
      </c>
      <c r="G659" s="791">
        <f>SUMIF('yardi_data (2)'!$A:$A,$A659,'yardi_data (2)'!$G:$G)</f>
        <v>0</v>
      </c>
      <c r="H659" s="792"/>
    </row>
    <row r="660" spans="1:8">
      <c r="A660" s="182" t="s">
        <v>1296</v>
      </c>
      <c r="B660" s="182" t="s">
        <v>1297</v>
      </c>
      <c r="C660" s="791">
        <f>SUMIF('yardi_data (2)'!$A:$A,$A660,'yardi_data (2)'!C:C)</f>
        <v>0</v>
      </c>
      <c r="D660" s="791">
        <f>SUMIF('yardi_data (2)'!$A:$A,$A660,'yardi_data (2)'!$D:$D)</f>
        <v>0</v>
      </c>
      <c r="E660" s="791">
        <f>SUMIF('yardi_data (2)'!$A:$A,$A660,'yardi_data (2)'!$E:$E)</f>
        <v>0</v>
      </c>
      <c r="F660" s="791">
        <f>SUMIF('yardi_data (2)'!$A:$A,$A660,'yardi_data (2)'!$F:$F)</f>
        <v>0</v>
      </c>
      <c r="G660" s="791">
        <f>SUMIF('yardi_data (2)'!$A:$A,$A660,'yardi_data (2)'!$G:$G)</f>
        <v>0</v>
      </c>
      <c r="H660" s="792"/>
    </row>
    <row r="661" spans="1:8">
      <c r="A661" s="181" t="s">
        <v>1298</v>
      </c>
      <c r="B661" s="181" t="s">
        <v>1299</v>
      </c>
      <c r="C661" s="791">
        <f>SUMIF('yardi_data (2)'!$A:$A,$A661,'yardi_data (2)'!C:C)</f>
        <v>0</v>
      </c>
      <c r="D661" s="791">
        <f>SUMIF('yardi_data (2)'!$A:$A,$A661,'yardi_data (2)'!$D:$D)</f>
        <v>0</v>
      </c>
      <c r="E661" s="791">
        <f>SUMIF('yardi_data (2)'!$A:$A,$A661,'yardi_data (2)'!$E:$E)</f>
        <v>0</v>
      </c>
      <c r="F661" s="791">
        <f>SUMIF('yardi_data (2)'!$A:$A,$A661,'yardi_data (2)'!$F:$F)</f>
        <v>0</v>
      </c>
      <c r="G661" s="791">
        <f>SUMIF('yardi_data (2)'!$A:$A,$A661,'yardi_data (2)'!$G:$G)</f>
        <v>0</v>
      </c>
      <c r="H661" s="792"/>
    </row>
    <row r="662" spans="1:8">
      <c r="A662" s="182" t="s">
        <v>1300</v>
      </c>
      <c r="B662" s="182" t="s">
        <v>1301</v>
      </c>
      <c r="C662" s="791">
        <f>SUMIF('yardi_data (2)'!$A:$A,$A662,'yardi_data (2)'!C:C)</f>
        <v>0</v>
      </c>
      <c r="D662" s="791">
        <f>SUMIF('yardi_data (2)'!$A:$A,$A662,'yardi_data (2)'!$D:$D)</f>
        <v>0</v>
      </c>
      <c r="E662" s="791">
        <f>SUMIF('yardi_data (2)'!$A:$A,$A662,'yardi_data (2)'!$E:$E)</f>
        <v>0</v>
      </c>
      <c r="F662" s="791">
        <f>SUMIF('yardi_data (2)'!$A:$A,$A662,'yardi_data (2)'!$F:$F)</f>
        <v>0</v>
      </c>
      <c r="G662" s="791">
        <f>SUMIF('yardi_data (2)'!$A:$A,$A662,'yardi_data (2)'!$G:$G)</f>
        <v>0</v>
      </c>
      <c r="H662" s="792"/>
    </row>
    <row r="663" spans="1:8">
      <c r="A663" s="181" t="s">
        <v>1302</v>
      </c>
      <c r="B663" s="181" t="s">
        <v>1303</v>
      </c>
      <c r="C663" s="791">
        <f>SUMIF('yardi_data (2)'!$A:$A,$A663,'yardi_data (2)'!C:C)</f>
        <v>0</v>
      </c>
      <c r="D663" s="791">
        <f>SUMIF('yardi_data (2)'!$A:$A,$A663,'yardi_data (2)'!$D:$D)</f>
        <v>0</v>
      </c>
      <c r="E663" s="791">
        <f>SUMIF('yardi_data (2)'!$A:$A,$A663,'yardi_data (2)'!$E:$E)</f>
        <v>1250</v>
      </c>
      <c r="F663" s="791">
        <f>SUMIF('yardi_data (2)'!$A:$A,$A663,'yardi_data (2)'!$F:$F)</f>
        <v>0</v>
      </c>
      <c r="G663" s="791">
        <f>SUMIF('yardi_data (2)'!$A:$A,$A663,'yardi_data (2)'!$G:$G)</f>
        <v>0</v>
      </c>
      <c r="H663" s="792"/>
    </row>
    <row r="664" spans="1:8">
      <c r="A664" s="182" t="s">
        <v>1304</v>
      </c>
      <c r="B664" s="182" t="s">
        <v>1305</v>
      </c>
      <c r="C664" s="791">
        <f>SUMIF('yardi_data (2)'!$A:$A,$A664,'yardi_data (2)'!C:C)</f>
        <v>778133.48</v>
      </c>
      <c r="D664" s="791">
        <f>SUMIF('yardi_data (2)'!$A:$A,$A664,'yardi_data (2)'!$D:$D)</f>
        <v>778133.48</v>
      </c>
      <c r="E664" s="791">
        <f>SUMIF('yardi_data (2)'!$A:$A,$A664,'yardi_data (2)'!$E:$E)</f>
        <v>594030.07999999996</v>
      </c>
      <c r="F664" s="791">
        <f>SUMIF('yardi_data (2)'!$A:$A,$A664,'yardi_data (2)'!$F:$F)</f>
        <v>594030.31999999995</v>
      </c>
      <c r="G664" s="791">
        <f>SUMIF('yardi_data (2)'!$A:$A,$A664,'yardi_data (2)'!$G:$G)</f>
        <v>890420.48</v>
      </c>
      <c r="H664" s="792"/>
    </row>
    <row r="665" spans="1:8">
      <c r="A665" s="181" t="s">
        <v>1306</v>
      </c>
      <c r="B665" s="181" t="s">
        <v>1307</v>
      </c>
      <c r="C665" s="791">
        <f>SUMIF('yardi_data (2)'!$A:$A,$A665,'yardi_data (2)'!C:C)</f>
        <v>5538228.9500000002</v>
      </c>
      <c r="D665" s="791">
        <f>SUMIF('yardi_data (2)'!$A:$A,$A665,'yardi_data (2)'!$D:$D)</f>
        <v>5810737.4199999999</v>
      </c>
      <c r="E665" s="791">
        <f>SUMIF('yardi_data (2)'!$A:$A,$A665,'yardi_data (2)'!$E:$E)</f>
        <v>4598980.6500000004</v>
      </c>
      <c r="F665" s="791">
        <f>SUMIF('yardi_data (2)'!$A:$A,$A665,'yardi_data (2)'!$F:$F)</f>
        <v>4582233.25</v>
      </c>
      <c r="G665" s="791">
        <f>SUMIF('yardi_data (2)'!$A:$A,$A665,'yardi_data (2)'!$G:$G)</f>
        <v>6130877.0800000001</v>
      </c>
      <c r="H665" s="792"/>
    </row>
    <row r="666" spans="1:8">
      <c r="A666" s="182" t="s">
        <v>1308</v>
      </c>
      <c r="B666" s="182" t="s">
        <v>1063</v>
      </c>
      <c r="C666" s="791">
        <f>SUMIF('yardi_data (2)'!$A:$A,$A666,'yardi_data (2)'!C:C)</f>
        <v>0</v>
      </c>
      <c r="D666" s="791">
        <f>SUMIF('yardi_data (2)'!$A:$A,$A666,'yardi_data (2)'!$D:$D)</f>
        <v>0</v>
      </c>
      <c r="E666" s="791">
        <f>SUMIF('yardi_data (2)'!$A:$A,$A666,'yardi_data (2)'!$E:$E)</f>
        <v>0</v>
      </c>
      <c r="F666" s="791">
        <f>SUMIF('yardi_data (2)'!$A:$A,$A666,'yardi_data (2)'!$F:$F)</f>
        <v>0</v>
      </c>
      <c r="G666" s="791">
        <f>SUMIF('yardi_data (2)'!$A:$A,$A666,'yardi_data (2)'!$G:$G)</f>
        <v>0</v>
      </c>
      <c r="H666" s="792"/>
    </row>
    <row r="667" spans="1:8">
      <c r="A667" s="181" t="s">
        <v>1309</v>
      </c>
      <c r="B667" s="181" t="s">
        <v>1310</v>
      </c>
      <c r="C667" s="791">
        <f>SUMIF('yardi_data (2)'!$A:$A,$A667,'yardi_data (2)'!C:C)</f>
        <v>11359193.15</v>
      </c>
      <c r="D667" s="791">
        <f>SUMIF('yardi_data (2)'!$A:$A,$A667,'yardi_data (2)'!$D:$D)</f>
        <v>11601950.960000001</v>
      </c>
      <c r="E667" s="791">
        <f>SUMIF('yardi_data (2)'!$A:$A,$A667,'yardi_data (2)'!$E:$E)</f>
        <v>8776440.6699999999</v>
      </c>
      <c r="F667" s="791">
        <f>SUMIF('yardi_data (2)'!$A:$A,$A667,'yardi_data (2)'!$F:$F)</f>
        <v>8610629.5700000003</v>
      </c>
      <c r="G667" s="791">
        <f>SUMIF('yardi_data (2)'!$A:$A,$A667,'yardi_data (2)'!$G:$G)</f>
        <v>12101847.08</v>
      </c>
      <c r="H667" s="792"/>
    </row>
    <row r="668" spans="1:8">
      <c r="A668" s="182" t="s">
        <v>1311</v>
      </c>
      <c r="B668" s="182" t="s">
        <v>1312</v>
      </c>
      <c r="C668" s="791">
        <f>SUMIF('yardi_data (2)'!$A:$A,$A668,'yardi_data (2)'!C:C)</f>
        <v>11359193.15</v>
      </c>
      <c r="D668" s="791">
        <f>SUMIF('yardi_data (2)'!$A:$A,$A668,'yardi_data (2)'!$D:$D)</f>
        <v>11601950.960000001</v>
      </c>
      <c r="E668" s="791">
        <f>SUMIF('yardi_data (2)'!$A:$A,$A668,'yardi_data (2)'!$E:$E)</f>
        <v>8776440.6699999999</v>
      </c>
      <c r="F668" s="791">
        <f>SUMIF('yardi_data (2)'!$A:$A,$A668,'yardi_data (2)'!$F:$F)</f>
        <v>8610629.5700000003</v>
      </c>
      <c r="G668" s="791">
        <f>SUMIF('yardi_data (2)'!$A:$A,$A668,'yardi_data (2)'!$G:$G)</f>
        <v>12101847.08</v>
      </c>
      <c r="H668" s="792"/>
    </row>
    <row r="669" spans="1:8">
      <c r="A669" s="181" t="s">
        <v>1313</v>
      </c>
      <c r="B669" s="181" t="s">
        <v>1314</v>
      </c>
      <c r="C669" s="791">
        <f>SUMIF('yardi_data (2)'!$A:$A,$A669,'yardi_data (2)'!C:C)</f>
        <v>0</v>
      </c>
      <c r="D669" s="791">
        <f>SUMIF('yardi_data (2)'!$A:$A,$A669,'yardi_data (2)'!$D:$D)</f>
        <v>0</v>
      </c>
      <c r="E669" s="791">
        <f>SUMIF('yardi_data (2)'!$A:$A,$A669,'yardi_data (2)'!$E:$E)</f>
        <v>0</v>
      </c>
      <c r="F669" s="791">
        <f>SUMIF('yardi_data (2)'!$A:$A,$A669,'yardi_data (2)'!$F:$F)</f>
        <v>0</v>
      </c>
      <c r="G669" s="791">
        <f>SUMIF('yardi_data (2)'!$A:$A,$A669,'yardi_data (2)'!$G:$G)</f>
        <v>0</v>
      </c>
      <c r="H669" s="792"/>
    </row>
    <row r="670" spans="1:8">
      <c r="A670" s="182" t="s">
        <v>1315</v>
      </c>
      <c r="B670" s="182" t="s">
        <v>1316</v>
      </c>
      <c r="C670" s="791">
        <f>SUMIF('yardi_data (2)'!$A:$A,$A670,'yardi_data (2)'!C:C)</f>
        <v>0</v>
      </c>
      <c r="D670" s="791">
        <f>SUMIF('yardi_data (2)'!$A:$A,$A670,'yardi_data (2)'!$D:$D)</f>
        <v>0</v>
      </c>
      <c r="E670" s="791">
        <f>SUMIF('yardi_data (2)'!$A:$A,$A670,'yardi_data (2)'!$E:$E)</f>
        <v>0</v>
      </c>
      <c r="F670" s="791">
        <f>SUMIF('yardi_data (2)'!$A:$A,$A670,'yardi_data (2)'!$F:$F)</f>
        <v>0</v>
      </c>
      <c r="G670" s="791">
        <f>SUMIF('yardi_data (2)'!$A:$A,$A670,'yardi_data (2)'!$G:$G)</f>
        <v>0</v>
      </c>
      <c r="H670" s="792"/>
    </row>
    <row r="671" spans="1:8">
      <c r="A671" s="181" t="s">
        <v>1317</v>
      </c>
      <c r="B671" s="181" t="s">
        <v>1318</v>
      </c>
      <c r="C671" s="791">
        <f>SUMIF('yardi_data (2)'!$A:$A,$A671,'yardi_data (2)'!C:C)</f>
        <v>0</v>
      </c>
      <c r="D671" s="791">
        <f>SUMIF('yardi_data (2)'!$A:$A,$A671,'yardi_data (2)'!$D:$D)</f>
        <v>0</v>
      </c>
      <c r="E671" s="791">
        <f>SUMIF('yardi_data (2)'!$A:$A,$A671,'yardi_data (2)'!$E:$E)</f>
        <v>0</v>
      </c>
      <c r="F671" s="791">
        <f>SUMIF('yardi_data (2)'!$A:$A,$A671,'yardi_data (2)'!$F:$F)</f>
        <v>0</v>
      </c>
      <c r="G671" s="791">
        <f>SUMIF('yardi_data (2)'!$A:$A,$A671,'yardi_data (2)'!$G:$G)</f>
        <v>0</v>
      </c>
      <c r="H671" s="792"/>
    </row>
    <row r="672" spans="1:8">
      <c r="A672" s="182" t="s">
        <v>1319</v>
      </c>
      <c r="B672" s="182" t="s">
        <v>1320</v>
      </c>
      <c r="C672" s="791">
        <f>SUMIF('yardi_data (2)'!$A:$A,$A672,'yardi_data (2)'!C:C)</f>
        <v>0</v>
      </c>
      <c r="D672" s="791">
        <f>SUMIF('yardi_data (2)'!$A:$A,$A672,'yardi_data (2)'!$D:$D)</f>
        <v>0</v>
      </c>
      <c r="E672" s="791">
        <f>SUMIF('yardi_data (2)'!$A:$A,$A672,'yardi_data (2)'!$E:$E)</f>
        <v>0</v>
      </c>
      <c r="F672" s="791">
        <f>SUMIF('yardi_data (2)'!$A:$A,$A672,'yardi_data (2)'!$F:$F)</f>
        <v>0</v>
      </c>
      <c r="G672" s="791">
        <f>SUMIF('yardi_data (2)'!$A:$A,$A672,'yardi_data (2)'!$G:$G)</f>
        <v>0</v>
      </c>
      <c r="H672" s="792"/>
    </row>
    <row r="673" spans="1:8">
      <c r="A673" s="181" t="s">
        <v>1321</v>
      </c>
      <c r="B673" s="181" t="s">
        <v>1322</v>
      </c>
      <c r="C673" s="791">
        <f>SUMIF('yardi_data (2)'!$A:$A,$A673,'yardi_data (2)'!C:C)</f>
        <v>0</v>
      </c>
      <c r="D673" s="791">
        <f>SUMIF('yardi_data (2)'!$A:$A,$A673,'yardi_data (2)'!$D:$D)</f>
        <v>0</v>
      </c>
      <c r="E673" s="791">
        <f>SUMIF('yardi_data (2)'!$A:$A,$A673,'yardi_data (2)'!$E:$E)</f>
        <v>0</v>
      </c>
      <c r="F673" s="791">
        <f>SUMIF('yardi_data (2)'!$A:$A,$A673,'yardi_data (2)'!$F:$F)</f>
        <v>0</v>
      </c>
      <c r="G673" s="791">
        <f>SUMIF('yardi_data (2)'!$A:$A,$A673,'yardi_data (2)'!$G:$G)</f>
        <v>0</v>
      </c>
      <c r="H673" s="792"/>
    </row>
    <row r="674" spans="1:8">
      <c r="A674" s="182" t="s">
        <v>1323</v>
      </c>
      <c r="B674" s="182" t="s">
        <v>1324</v>
      </c>
      <c r="C674" s="791">
        <f>SUMIF('yardi_data (2)'!$A:$A,$A674,'yardi_data (2)'!C:C)</f>
        <v>0</v>
      </c>
      <c r="D674" s="791">
        <f>SUMIF('yardi_data (2)'!$A:$A,$A674,'yardi_data (2)'!$D:$D)</f>
        <v>0</v>
      </c>
      <c r="E674" s="791">
        <f>SUMIF('yardi_data (2)'!$A:$A,$A674,'yardi_data (2)'!$E:$E)</f>
        <v>0</v>
      </c>
      <c r="F674" s="791">
        <f>SUMIF('yardi_data (2)'!$A:$A,$A674,'yardi_data (2)'!$F:$F)</f>
        <v>0</v>
      </c>
      <c r="G674" s="791">
        <f>SUMIF('yardi_data (2)'!$A:$A,$A674,'yardi_data (2)'!$G:$G)</f>
        <v>0</v>
      </c>
      <c r="H674" s="792"/>
    </row>
    <row r="675" spans="1:8">
      <c r="A675" s="181" t="s">
        <v>1325</v>
      </c>
      <c r="B675" s="181" t="s">
        <v>1326</v>
      </c>
      <c r="C675" s="791">
        <f>SUMIF('yardi_data (2)'!$A:$A,$A675,'yardi_data (2)'!C:C)</f>
        <v>0</v>
      </c>
      <c r="D675" s="791">
        <f>SUMIF('yardi_data (2)'!$A:$A,$A675,'yardi_data (2)'!$D:$D)</f>
        <v>0</v>
      </c>
      <c r="E675" s="791">
        <f>SUMIF('yardi_data (2)'!$A:$A,$A675,'yardi_data (2)'!$E:$E)</f>
        <v>0</v>
      </c>
      <c r="F675" s="791">
        <f>SUMIF('yardi_data (2)'!$A:$A,$A675,'yardi_data (2)'!$F:$F)</f>
        <v>0</v>
      </c>
      <c r="G675" s="791">
        <f>SUMIF('yardi_data (2)'!$A:$A,$A675,'yardi_data (2)'!$G:$G)</f>
        <v>0</v>
      </c>
      <c r="H675" s="792"/>
    </row>
    <row r="676" spans="1:8">
      <c r="A676" s="182" t="s">
        <v>1327</v>
      </c>
      <c r="B676" s="182" t="s">
        <v>1328</v>
      </c>
      <c r="C676" s="791">
        <f>SUMIF('yardi_data (2)'!$A:$A,$A676,'yardi_data (2)'!C:C)</f>
        <v>0</v>
      </c>
      <c r="D676" s="791">
        <f>SUMIF('yardi_data (2)'!$A:$A,$A676,'yardi_data (2)'!$D:$D)</f>
        <v>0</v>
      </c>
      <c r="E676" s="791">
        <f>SUMIF('yardi_data (2)'!$A:$A,$A676,'yardi_data (2)'!$E:$E)</f>
        <v>0</v>
      </c>
      <c r="F676" s="791">
        <f>SUMIF('yardi_data (2)'!$A:$A,$A676,'yardi_data (2)'!$F:$F)</f>
        <v>0</v>
      </c>
      <c r="G676" s="791">
        <f>SUMIF('yardi_data (2)'!$A:$A,$A676,'yardi_data (2)'!$G:$G)</f>
        <v>0</v>
      </c>
      <c r="H676" s="792"/>
    </row>
    <row r="677" spans="1:8">
      <c r="A677" s="182" t="s">
        <v>1329</v>
      </c>
      <c r="B677" s="182" t="s">
        <v>1330</v>
      </c>
      <c r="C677" s="791">
        <f>SUMIF('yardi_data (2)'!$A:$A,$A677,'yardi_data (2)'!C:C)</f>
        <v>0</v>
      </c>
      <c r="D677" s="791">
        <f>SUMIF('yardi_data (2)'!$A:$A,$A677,'yardi_data (2)'!$D:$D)</f>
        <v>-1010715.88</v>
      </c>
      <c r="E677" s="791">
        <f>SUMIF('yardi_data (2)'!$A:$A,$A677,'yardi_data (2)'!$E:$E)</f>
        <v>-22958.17</v>
      </c>
      <c r="F677" s="791">
        <f>SUMIF('yardi_data (2)'!$A:$A,$A677,'yardi_data (2)'!$F:$F)</f>
        <v>0</v>
      </c>
      <c r="G677" s="791">
        <f>SUMIF('yardi_data (2)'!$A:$A,$A677,'yardi_data (2)'!$G:$G)</f>
        <v>0</v>
      </c>
      <c r="H677" s="792"/>
    </row>
    <row r="678" spans="1:8">
      <c r="A678" s="181" t="s">
        <v>1331</v>
      </c>
      <c r="B678" s="181" t="s">
        <v>1332</v>
      </c>
      <c r="C678" s="791">
        <f>SUMIF('yardi_data (2)'!$A:$A,$A678,'yardi_data (2)'!C:C)</f>
        <v>0</v>
      </c>
      <c r="D678" s="791">
        <f>SUMIF('yardi_data (2)'!$A:$A,$A678,'yardi_data (2)'!$D:$D)</f>
        <v>0</v>
      </c>
      <c r="E678" s="791">
        <f>SUMIF('yardi_data (2)'!$A:$A,$A678,'yardi_data (2)'!$E:$E)</f>
        <v>0</v>
      </c>
      <c r="F678" s="791">
        <f>SUMIF('yardi_data (2)'!$A:$A,$A678,'yardi_data (2)'!$F:$F)</f>
        <v>0</v>
      </c>
      <c r="G678" s="791">
        <f>SUMIF('yardi_data (2)'!$A:$A,$A678,'yardi_data (2)'!$G:$G)</f>
        <v>0</v>
      </c>
      <c r="H678" s="792"/>
    </row>
    <row r="679" spans="1:8">
      <c r="A679" s="182" t="s">
        <v>1333</v>
      </c>
      <c r="B679" s="182" t="s">
        <v>1334</v>
      </c>
      <c r="C679" s="791">
        <f>SUMIF('yardi_data (2)'!$A:$A,$A679,'yardi_data (2)'!C:C)</f>
        <v>0</v>
      </c>
      <c r="D679" s="791">
        <f>SUMIF('yardi_data (2)'!$A:$A,$A679,'yardi_data (2)'!$D:$D)</f>
        <v>1010715.88</v>
      </c>
      <c r="E679" s="791">
        <f>SUMIF('yardi_data (2)'!$A:$A,$A679,'yardi_data (2)'!$E:$E)</f>
        <v>22958.17</v>
      </c>
      <c r="F679" s="791">
        <f>SUMIF('yardi_data (2)'!$A:$A,$A679,'yardi_data (2)'!$F:$F)</f>
        <v>0</v>
      </c>
      <c r="G679" s="791">
        <f>SUMIF('yardi_data (2)'!$A:$A,$A679,'yardi_data (2)'!$G:$G)</f>
        <v>0</v>
      </c>
      <c r="H679" s="792"/>
    </row>
    <row r="680" spans="1:8">
      <c r="A680" s="181" t="s">
        <v>1335</v>
      </c>
      <c r="B680" s="181" t="s">
        <v>1336</v>
      </c>
      <c r="C680" s="791">
        <f>SUMIF('yardi_data (2)'!$A:$A,$A680,'yardi_data (2)'!C:C)</f>
        <v>0</v>
      </c>
      <c r="D680" s="791">
        <f>SUMIF('yardi_data (2)'!$A:$A,$A680,'yardi_data (2)'!$D:$D)</f>
        <v>0</v>
      </c>
      <c r="E680" s="791">
        <f>SUMIF('yardi_data (2)'!$A:$A,$A680,'yardi_data (2)'!$E:$E)</f>
        <v>0</v>
      </c>
      <c r="F680" s="791">
        <f>SUMIF('yardi_data (2)'!$A:$A,$A680,'yardi_data (2)'!$F:$F)</f>
        <v>0</v>
      </c>
      <c r="G680" s="791">
        <f>SUMIF('yardi_data (2)'!$A:$A,$A680,'yardi_data (2)'!$G:$G)</f>
        <v>0</v>
      </c>
      <c r="H680" s="792"/>
    </row>
    <row r="681" spans="1:8">
      <c r="A681" s="182" t="s">
        <v>1337</v>
      </c>
      <c r="B681" s="182" t="s">
        <v>1338</v>
      </c>
      <c r="C681" s="791">
        <f>SUMIF('yardi_data (2)'!$A:$A,$A681,'yardi_data (2)'!C:C)</f>
        <v>28307.5</v>
      </c>
      <c r="D681" s="791">
        <f>SUMIF('yardi_data (2)'!$A:$A,$A681,'yardi_data (2)'!$D:$D)</f>
        <v>0</v>
      </c>
      <c r="E681" s="791">
        <f>SUMIF('yardi_data (2)'!$A:$A,$A681,'yardi_data (2)'!$E:$E)</f>
        <v>0</v>
      </c>
      <c r="F681" s="791">
        <f>SUMIF('yardi_data (2)'!$A:$A,$A681,'yardi_data (2)'!$F:$F)</f>
        <v>0</v>
      </c>
      <c r="G681" s="791">
        <f>SUMIF('yardi_data (2)'!$A:$A,$A681,'yardi_data (2)'!$G:$G)</f>
        <v>0</v>
      </c>
      <c r="H681" s="792"/>
    </row>
    <row r="682" spans="1:8">
      <c r="A682" s="181" t="s">
        <v>1339</v>
      </c>
      <c r="B682" s="181" t="s">
        <v>1340</v>
      </c>
      <c r="C682" s="791">
        <f>SUMIF('yardi_data (2)'!$A:$A,$A682,'yardi_data (2)'!C:C)</f>
        <v>9468.86</v>
      </c>
      <c r="D682" s="791">
        <f>SUMIF('yardi_data (2)'!$A:$A,$A682,'yardi_data (2)'!$D:$D)</f>
        <v>36534.89</v>
      </c>
      <c r="E682" s="791">
        <f>SUMIF('yardi_data (2)'!$A:$A,$A682,'yardi_data (2)'!$E:$E)</f>
        <v>0</v>
      </c>
      <c r="F682" s="791">
        <f>SUMIF('yardi_data (2)'!$A:$A,$A682,'yardi_data (2)'!$F:$F)</f>
        <v>0</v>
      </c>
      <c r="G682" s="791">
        <f>SUMIF('yardi_data (2)'!$A:$A,$A682,'yardi_data (2)'!$G:$G)</f>
        <v>0</v>
      </c>
      <c r="H682" s="792"/>
    </row>
    <row r="683" spans="1:8">
      <c r="A683" s="182" t="s">
        <v>1341</v>
      </c>
      <c r="B683" s="182" t="s">
        <v>1342</v>
      </c>
      <c r="C683" s="791">
        <f>SUMIF('yardi_data (2)'!$A:$A,$A683,'yardi_data (2)'!C:C)</f>
        <v>48103.5</v>
      </c>
      <c r="D683" s="791">
        <f>SUMIF('yardi_data (2)'!$A:$A,$A683,'yardi_data (2)'!$D:$D)</f>
        <v>0</v>
      </c>
      <c r="E683" s="791">
        <f>SUMIF('yardi_data (2)'!$A:$A,$A683,'yardi_data (2)'!$E:$E)</f>
        <v>0</v>
      </c>
      <c r="F683" s="791">
        <f>SUMIF('yardi_data (2)'!$A:$A,$A683,'yardi_data (2)'!$F:$F)</f>
        <v>0</v>
      </c>
      <c r="G683" s="791">
        <f>SUMIF('yardi_data (2)'!$A:$A,$A683,'yardi_data (2)'!$G:$G)</f>
        <v>0</v>
      </c>
      <c r="H683" s="792"/>
    </row>
    <row r="684" spans="1:8">
      <c r="A684" s="181" t="s">
        <v>1343</v>
      </c>
      <c r="B684" s="181" t="s">
        <v>1344</v>
      </c>
      <c r="C684" s="791">
        <f>SUMIF('yardi_data (2)'!$A:$A,$A684,'yardi_data (2)'!C:C)</f>
        <v>0</v>
      </c>
      <c r="D684" s="791">
        <f>SUMIF('yardi_data (2)'!$A:$A,$A684,'yardi_data (2)'!$D:$D)</f>
        <v>5764.93</v>
      </c>
      <c r="E684" s="791">
        <f>SUMIF('yardi_data (2)'!$A:$A,$A684,'yardi_data (2)'!$E:$E)</f>
        <v>8960.41</v>
      </c>
      <c r="F684" s="791">
        <f>SUMIF('yardi_data (2)'!$A:$A,$A684,'yardi_data (2)'!$F:$F)</f>
        <v>0</v>
      </c>
      <c r="G684" s="791">
        <f>SUMIF('yardi_data (2)'!$A:$A,$A684,'yardi_data (2)'!$G:$G)</f>
        <v>0</v>
      </c>
      <c r="H684" s="792"/>
    </row>
    <row r="685" spans="1:8">
      <c r="A685" s="182" t="s">
        <v>1345</v>
      </c>
      <c r="B685" s="182" t="s">
        <v>1346</v>
      </c>
      <c r="C685" s="791">
        <f>SUMIF('yardi_data (2)'!$A:$A,$A685,'yardi_data (2)'!C:C)</f>
        <v>0</v>
      </c>
      <c r="D685" s="791">
        <f>SUMIF('yardi_data (2)'!$A:$A,$A685,'yardi_data (2)'!$D:$D)</f>
        <v>0</v>
      </c>
      <c r="E685" s="791">
        <f>SUMIF('yardi_data (2)'!$A:$A,$A685,'yardi_data (2)'!$E:$E)</f>
        <v>0</v>
      </c>
      <c r="F685" s="791">
        <f>SUMIF('yardi_data (2)'!$A:$A,$A685,'yardi_data (2)'!$F:$F)</f>
        <v>0</v>
      </c>
      <c r="G685" s="791">
        <f>SUMIF('yardi_data (2)'!$A:$A,$A685,'yardi_data (2)'!$G:$G)</f>
        <v>0</v>
      </c>
      <c r="H685" s="792"/>
    </row>
    <row r="686" spans="1:8">
      <c r="A686" s="181" t="s">
        <v>1347</v>
      </c>
      <c r="B686" s="181" t="s">
        <v>1348</v>
      </c>
      <c r="C686" s="791">
        <f>SUMIF('yardi_data (2)'!$A:$A,$A686,'yardi_data (2)'!C:C)</f>
        <v>34800</v>
      </c>
      <c r="D686" s="791">
        <f>SUMIF('yardi_data (2)'!$A:$A,$A686,'yardi_data (2)'!$D:$D)</f>
        <v>0</v>
      </c>
      <c r="E686" s="791">
        <f>SUMIF('yardi_data (2)'!$A:$A,$A686,'yardi_data (2)'!$E:$E)</f>
        <v>0</v>
      </c>
      <c r="F686" s="791">
        <f>SUMIF('yardi_data (2)'!$A:$A,$A686,'yardi_data (2)'!$F:$F)</f>
        <v>0</v>
      </c>
      <c r="G686" s="791">
        <f>SUMIF('yardi_data (2)'!$A:$A,$A686,'yardi_data (2)'!$G:$G)</f>
        <v>0</v>
      </c>
      <c r="H686" s="792"/>
    </row>
    <row r="687" spans="1:8">
      <c r="A687" s="182" t="s">
        <v>1349</v>
      </c>
      <c r="B687" s="182" t="s">
        <v>1350</v>
      </c>
      <c r="C687" s="791">
        <f>SUMIF('yardi_data (2)'!$A:$A,$A687,'yardi_data (2)'!C:C)</f>
        <v>0</v>
      </c>
      <c r="D687" s="791">
        <f>SUMIF('yardi_data (2)'!$A:$A,$A687,'yardi_data (2)'!$D:$D)</f>
        <v>0</v>
      </c>
      <c r="E687" s="791">
        <f>SUMIF('yardi_data (2)'!$A:$A,$A687,'yardi_data (2)'!$E:$E)</f>
        <v>0</v>
      </c>
      <c r="F687" s="791">
        <f>SUMIF('yardi_data (2)'!$A:$A,$A687,'yardi_data (2)'!$F:$F)</f>
        <v>0</v>
      </c>
      <c r="G687" s="791">
        <f>SUMIF('yardi_data (2)'!$A:$A,$A687,'yardi_data (2)'!$G:$G)</f>
        <v>0</v>
      </c>
      <c r="H687" s="792"/>
    </row>
    <row r="688" spans="1:8">
      <c r="A688" s="181" t="s">
        <v>1351</v>
      </c>
      <c r="B688" s="181" t="s">
        <v>1352</v>
      </c>
      <c r="C688" s="791">
        <f>SUMIF('yardi_data (2)'!$A:$A,$A688,'yardi_data (2)'!C:C)</f>
        <v>3429.56</v>
      </c>
      <c r="D688" s="791">
        <f>SUMIF('yardi_data (2)'!$A:$A,$A688,'yardi_data (2)'!$D:$D)</f>
        <v>33511.56</v>
      </c>
      <c r="E688" s="791">
        <f>SUMIF('yardi_data (2)'!$A:$A,$A688,'yardi_data (2)'!$E:$E)</f>
        <v>43550</v>
      </c>
      <c r="F688" s="791">
        <f>SUMIF('yardi_data (2)'!$A:$A,$A688,'yardi_data (2)'!$F:$F)</f>
        <v>0</v>
      </c>
      <c r="G688" s="791">
        <f>SUMIF('yardi_data (2)'!$A:$A,$A688,'yardi_data (2)'!$G:$G)</f>
        <v>0</v>
      </c>
      <c r="H688" s="792"/>
    </row>
    <row r="689" spans="1:8">
      <c r="A689" s="182" t="s">
        <v>1353</v>
      </c>
      <c r="B689" s="182" t="s">
        <v>1354</v>
      </c>
      <c r="C689" s="791">
        <f>SUMIF('yardi_data (2)'!$A:$A,$A689,'yardi_data (2)'!C:C)</f>
        <v>11329.66</v>
      </c>
      <c r="D689" s="791">
        <f>SUMIF('yardi_data (2)'!$A:$A,$A689,'yardi_data (2)'!$D:$D)</f>
        <v>646734.85</v>
      </c>
      <c r="E689" s="791">
        <f>SUMIF('yardi_data (2)'!$A:$A,$A689,'yardi_data (2)'!$E:$E)</f>
        <v>33355.699999999997</v>
      </c>
      <c r="F689" s="791">
        <f>SUMIF('yardi_data (2)'!$A:$A,$A689,'yardi_data (2)'!$F:$F)</f>
        <v>0</v>
      </c>
      <c r="G689" s="791">
        <f>SUMIF('yardi_data (2)'!$A:$A,$A689,'yardi_data (2)'!$G:$G)</f>
        <v>0</v>
      </c>
      <c r="H689" s="792"/>
    </row>
    <row r="690" spans="1:8">
      <c r="A690" s="181" t="s">
        <v>1355</v>
      </c>
      <c r="B690" s="181" t="s">
        <v>1356</v>
      </c>
      <c r="C690" s="791">
        <f>SUMIF('yardi_data (2)'!$A:$A,$A690,'yardi_data (2)'!C:C)</f>
        <v>0</v>
      </c>
      <c r="D690" s="791">
        <f>SUMIF('yardi_data (2)'!$A:$A,$A690,'yardi_data (2)'!$D:$D)</f>
        <v>9240</v>
      </c>
      <c r="E690" s="791">
        <f>SUMIF('yardi_data (2)'!$A:$A,$A690,'yardi_data (2)'!$E:$E)</f>
        <v>3400</v>
      </c>
      <c r="F690" s="791">
        <f>SUMIF('yardi_data (2)'!$A:$A,$A690,'yardi_data (2)'!$F:$F)</f>
        <v>0</v>
      </c>
      <c r="G690" s="791">
        <f>SUMIF('yardi_data (2)'!$A:$A,$A690,'yardi_data (2)'!$G:$G)</f>
        <v>0</v>
      </c>
      <c r="H690" s="792"/>
    </row>
    <row r="691" spans="1:8">
      <c r="A691" s="182" t="s">
        <v>1357</v>
      </c>
      <c r="B691" s="182" t="s">
        <v>1358</v>
      </c>
      <c r="C691" s="791">
        <f>SUMIF('yardi_data (2)'!$A:$A,$A691,'yardi_data (2)'!C:C)</f>
        <v>28000</v>
      </c>
      <c r="D691" s="791">
        <f>SUMIF('yardi_data (2)'!$A:$A,$A691,'yardi_data (2)'!$D:$D)</f>
        <v>294386.8</v>
      </c>
      <c r="E691" s="791">
        <f>SUMIF('yardi_data (2)'!$A:$A,$A691,'yardi_data (2)'!$E:$E)</f>
        <v>67900</v>
      </c>
      <c r="F691" s="791">
        <f>SUMIF('yardi_data (2)'!$A:$A,$A691,'yardi_data (2)'!$F:$F)</f>
        <v>0</v>
      </c>
      <c r="G691" s="791">
        <f>SUMIF('yardi_data (2)'!$A:$A,$A691,'yardi_data (2)'!$G:$G)</f>
        <v>0</v>
      </c>
      <c r="H691" s="792"/>
    </row>
    <row r="692" spans="1:8">
      <c r="A692" s="181" t="s">
        <v>1359</v>
      </c>
      <c r="B692" s="181" t="s">
        <v>1360</v>
      </c>
      <c r="C692" s="791">
        <f>SUMIF('yardi_data (2)'!$A:$A,$A692,'yardi_data (2)'!C:C)</f>
        <v>0</v>
      </c>
      <c r="D692" s="791">
        <f>SUMIF('yardi_data (2)'!$A:$A,$A692,'yardi_data (2)'!$D:$D)</f>
        <v>0</v>
      </c>
      <c r="E692" s="791">
        <f>SUMIF('yardi_data (2)'!$A:$A,$A692,'yardi_data (2)'!$E:$E)</f>
        <v>0</v>
      </c>
      <c r="F692" s="791">
        <f>SUMIF('yardi_data (2)'!$A:$A,$A692,'yardi_data (2)'!$F:$F)</f>
        <v>0</v>
      </c>
      <c r="G692" s="791">
        <f>SUMIF('yardi_data (2)'!$A:$A,$A692,'yardi_data (2)'!$G:$G)</f>
        <v>0</v>
      </c>
      <c r="H692" s="792"/>
    </row>
    <row r="693" spans="1:8">
      <c r="A693" s="182" t="s">
        <v>1361</v>
      </c>
      <c r="B693" s="182" t="s">
        <v>1362</v>
      </c>
      <c r="C693" s="791">
        <f>SUMIF('yardi_data (2)'!$A:$A,$A693,'yardi_data (2)'!C:C)</f>
        <v>65188.95</v>
      </c>
      <c r="D693" s="791">
        <f>SUMIF('yardi_data (2)'!$A:$A,$A693,'yardi_data (2)'!$D:$D)</f>
        <v>93152.25</v>
      </c>
      <c r="E693" s="791">
        <f>SUMIF('yardi_data (2)'!$A:$A,$A693,'yardi_data (2)'!$E:$E)</f>
        <v>15362.58</v>
      </c>
      <c r="F693" s="791">
        <f>SUMIF('yardi_data (2)'!$A:$A,$A693,'yardi_data (2)'!$F:$F)</f>
        <v>0</v>
      </c>
      <c r="G693" s="791">
        <f>SUMIF('yardi_data (2)'!$A:$A,$A693,'yardi_data (2)'!$G:$G)</f>
        <v>0</v>
      </c>
      <c r="H693" s="792"/>
    </row>
    <row r="694" spans="1:8">
      <c r="A694" s="181" t="s">
        <v>1363</v>
      </c>
      <c r="B694" s="181" t="s">
        <v>1364</v>
      </c>
      <c r="C694" s="791">
        <f>SUMIF('yardi_data (2)'!$A:$A,$A694,'yardi_data (2)'!C:C)</f>
        <v>0</v>
      </c>
      <c r="D694" s="791">
        <f>SUMIF('yardi_data (2)'!$A:$A,$A694,'yardi_data (2)'!$D:$D)</f>
        <v>0</v>
      </c>
      <c r="E694" s="791">
        <f>SUMIF('yardi_data (2)'!$A:$A,$A694,'yardi_data (2)'!$E:$E)</f>
        <v>0</v>
      </c>
      <c r="F694" s="791">
        <f>SUMIF('yardi_data (2)'!$A:$A,$A694,'yardi_data (2)'!$F:$F)</f>
        <v>0</v>
      </c>
      <c r="G694" s="791">
        <f>SUMIF('yardi_data (2)'!$A:$A,$A694,'yardi_data (2)'!$G:$G)</f>
        <v>0</v>
      </c>
      <c r="H694" s="792"/>
    </row>
    <row r="695" spans="1:8">
      <c r="A695" s="182" t="s">
        <v>1365</v>
      </c>
      <c r="B695" s="182" t="s">
        <v>1366</v>
      </c>
      <c r="C695" s="791">
        <f>SUMIF('yardi_data (2)'!$A:$A,$A695,'yardi_data (2)'!C:C)</f>
        <v>0</v>
      </c>
      <c r="D695" s="791">
        <f>SUMIF('yardi_data (2)'!$A:$A,$A695,'yardi_data (2)'!$D:$D)</f>
        <v>0</v>
      </c>
      <c r="E695" s="791">
        <f>SUMIF('yardi_data (2)'!$A:$A,$A695,'yardi_data (2)'!$E:$E)</f>
        <v>0</v>
      </c>
      <c r="F695" s="791">
        <f>SUMIF('yardi_data (2)'!$A:$A,$A695,'yardi_data (2)'!$F:$F)</f>
        <v>0</v>
      </c>
      <c r="G695" s="791">
        <f>SUMIF('yardi_data (2)'!$A:$A,$A695,'yardi_data (2)'!$G:$G)</f>
        <v>0</v>
      </c>
      <c r="H695" s="792"/>
    </row>
    <row r="696" spans="1:8">
      <c r="A696" s="181" t="s">
        <v>1367</v>
      </c>
      <c r="B696" s="181" t="s">
        <v>1368</v>
      </c>
      <c r="C696" s="791">
        <f>SUMIF('yardi_data (2)'!$A:$A,$A696,'yardi_data (2)'!C:C)</f>
        <v>0</v>
      </c>
      <c r="D696" s="791">
        <f>SUMIF('yardi_data (2)'!$A:$A,$A696,'yardi_data (2)'!$D:$D)</f>
        <v>0</v>
      </c>
      <c r="E696" s="791">
        <f>SUMIF('yardi_data (2)'!$A:$A,$A696,'yardi_data (2)'!$E:$E)</f>
        <v>0</v>
      </c>
      <c r="F696" s="791">
        <f>SUMIF('yardi_data (2)'!$A:$A,$A696,'yardi_data (2)'!$F:$F)</f>
        <v>0</v>
      </c>
      <c r="G696" s="791">
        <f>SUMIF('yardi_data (2)'!$A:$A,$A696,'yardi_data (2)'!$G:$G)</f>
        <v>0</v>
      </c>
      <c r="H696" s="792"/>
    </row>
    <row r="697" spans="1:8">
      <c r="A697" s="182" t="s">
        <v>1369</v>
      </c>
      <c r="B697" s="182" t="s">
        <v>1370</v>
      </c>
      <c r="C697" s="791">
        <f>SUMIF('yardi_data (2)'!$A:$A,$A697,'yardi_data (2)'!C:C)</f>
        <v>0</v>
      </c>
      <c r="D697" s="791">
        <f>SUMIF('yardi_data (2)'!$A:$A,$A697,'yardi_data (2)'!$D:$D)</f>
        <v>0</v>
      </c>
      <c r="E697" s="791">
        <f>SUMIF('yardi_data (2)'!$A:$A,$A697,'yardi_data (2)'!$E:$E)</f>
        <v>0</v>
      </c>
      <c r="F697" s="791">
        <f>SUMIF('yardi_data (2)'!$A:$A,$A697,'yardi_data (2)'!$F:$F)</f>
        <v>0</v>
      </c>
      <c r="G697" s="791">
        <f>SUMIF('yardi_data (2)'!$A:$A,$A697,'yardi_data (2)'!$G:$G)</f>
        <v>0</v>
      </c>
      <c r="H697" s="792"/>
    </row>
    <row r="698" spans="1:8">
      <c r="A698" s="181" t="s">
        <v>1371</v>
      </c>
      <c r="B698" s="181" t="s">
        <v>1372</v>
      </c>
      <c r="C698" s="791">
        <f>SUMIF('yardi_data (2)'!$A:$A,$A698,'yardi_data (2)'!C:C)</f>
        <v>50994.89</v>
      </c>
      <c r="D698" s="791">
        <f>SUMIF('yardi_data (2)'!$A:$A,$A698,'yardi_data (2)'!$D:$D)</f>
        <v>4347.17</v>
      </c>
      <c r="E698" s="791">
        <f>SUMIF('yardi_data (2)'!$A:$A,$A698,'yardi_data (2)'!$E:$E)</f>
        <v>67694.31</v>
      </c>
      <c r="F698" s="791">
        <f>SUMIF('yardi_data (2)'!$A:$A,$A698,'yardi_data (2)'!$F:$F)</f>
        <v>0</v>
      </c>
      <c r="G698" s="791">
        <f>SUMIF('yardi_data (2)'!$A:$A,$A698,'yardi_data (2)'!$G:$G)</f>
        <v>0</v>
      </c>
      <c r="H698" s="792"/>
    </row>
    <row r="699" spans="1:8">
      <c r="A699" s="182" t="s">
        <v>1373</v>
      </c>
      <c r="B699" s="182" t="s">
        <v>1374</v>
      </c>
      <c r="C699" s="791">
        <f>SUMIF('yardi_data (2)'!$A:$A,$A699,'yardi_data (2)'!C:C)</f>
        <v>208101.33</v>
      </c>
      <c r="D699" s="791">
        <f>SUMIF('yardi_data (2)'!$A:$A,$A699,'yardi_data (2)'!$D:$D)</f>
        <v>740.36</v>
      </c>
      <c r="E699" s="791">
        <f>SUMIF('yardi_data (2)'!$A:$A,$A699,'yardi_data (2)'!$E:$E)</f>
        <v>0</v>
      </c>
      <c r="F699" s="791">
        <f>SUMIF('yardi_data (2)'!$A:$A,$A699,'yardi_data (2)'!$F:$F)</f>
        <v>0</v>
      </c>
      <c r="G699" s="791">
        <f>SUMIF('yardi_data (2)'!$A:$A,$A699,'yardi_data (2)'!$G:$G)</f>
        <v>0</v>
      </c>
      <c r="H699" s="792"/>
    </row>
    <row r="700" spans="1:8">
      <c r="A700" s="181" t="s">
        <v>1375</v>
      </c>
      <c r="B700" s="181" t="s">
        <v>1376</v>
      </c>
      <c r="C700" s="791">
        <f>SUMIF('yardi_data (2)'!$A:$A,$A700,'yardi_data (2)'!C:C)</f>
        <v>0</v>
      </c>
      <c r="D700" s="791">
        <f>SUMIF('yardi_data (2)'!$A:$A,$A700,'yardi_data (2)'!$D:$D)</f>
        <v>0</v>
      </c>
      <c r="E700" s="791">
        <f>SUMIF('yardi_data (2)'!$A:$A,$A700,'yardi_data (2)'!$E:$E)</f>
        <v>0</v>
      </c>
      <c r="F700" s="791">
        <f>SUMIF('yardi_data (2)'!$A:$A,$A700,'yardi_data (2)'!$F:$F)</f>
        <v>0</v>
      </c>
      <c r="G700" s="791">
        <f>SUMIF('yardi_data (2)'!$A:$A,$A700,'yardi_data (2)'!$G:$G)</f>
        <v>0</v>
      </c>
      <c r="H700" s="792"/>
    </row>
    <row r="701" spans="1:8">
      <c r="A701" s="182" t="s">
        <v>1377</v>
      </c>
      <c r="B701" s="182" t="s">
        <v>1378</v>
      </c>
      <c r="C701" s="791">
        <f>SUMIF('yardi_data (2)'!$A:$A,$A701,'yardi_data (2)'!C:C)</f>
        <v>0</v>
      </c>
      <c r="D701" s="791">
        <f>SUMIF('yardi_data (2)'!$A:$A,$A701,'yardi_data (2)'!$D:$D)</f>
        <v>0</v>
      </c>
      <c r="E701" s="791">
        <f>SUMIF('yardi_data (2)'!$A:$A,$A701,'yardi_data (2)'!$E:$E)</f>
        <v>0</v>
      </c>
      <c r="F701" s="791">
        <f>SUMIF('yardi_data (2)'!$A:$A,$A701,'yardi_data (2)'!$F:$F)</f>
        <v>0</v>
      </c>
      <c r="G701" s="791">
        <f>SUMIF('yardi_data (2)'!$A:$A,$A701,'yardi_data (2)'!$G:$G)</f>
        <v>0</v>
      </c>
      <c r="H701" s="792"/>
    </row>
    <row r="702" spans="1:8">
      <c r="A702" s="181" t="s">
        <v>1379</v>
      </c>
      <c r="B702" s="181" t="s">
        <v>1380</v>
      </c>
      <c r="C702" s="791">
        <f>SUMIF('yardi_data (2)'!$A:$A,$A702,'yardi_data (2)'!C:C)</f>
        <v>0</v>
      </c>
      <c r="D702" s="791">
        <f>SUMIF('yardi_data (2)'!$A:$A,$A702,'yardi_data (2)'!$D:$D)</f>
        <v>0</v>
      </c>
      <c r="E702" s="791">
        <f>SUMIF('yardi_data (2)'!$A:$A,$A702,'yardi_data (2)'!$E:$E)</f>
        <v>0</v>
      </c>
      <c r="F702" s="791">
        <f>SUMIF('yardi_data (2)'!$A:$A,$A702,'yardi_data (2)'!$F:$F)</f>
        <v>0</v>
      </c>
      <c r="G702" s="791">
        <f>SUMIF('yardi_data (2)'!$A:$A,$A702,'yardi_data (2)'!$G:$G)</f>
        <v>0</v>
      </c>
      <c r="H702" s="792"/>
    </row>
    <row r="703" spans="1:8">
      <c r="A703" s="182" t="s">
        <v>1381</v>
      </c>
      <c r="B703" s="182" t="s">
        <v>1382</v>
      </c>
      <c r="C703" s="791">
        <f>SUMIF('yardi_data (2)'!$A:$A,$A703,'yardi_data (2)'!C:C)</f>
        <v>0</v>
      </c>
      <c r="D703" s="791">
        <f>SUMIF('yardi_data (2)'!$A:$A,$A703,'yardi_data (2)'!$D:$D)</f>
        <v>0</v>
      </c>
      <c r="E703" s="791">
        <f>SUMIF('yardi_data (2)'!$A:$A,$A703,'yardi_data (2)'!$E:$E)</f>
        <v>0</v>
      </c>
      <c r="F703" s="791">
        <f>SUMIF('yardi_data (2)'!$A:$A,$A703,'yardi_data (2)'!$F:$F)</f>
        <v>0</v>
      </c>
      <c r="G703" s="791">
        <f>SUMIF('yardi_data (2)'!$A:$A,$A703,'yardi_data (2)'!$G:$G)</f>
        <v>0</v>
      </c>
      <c r="H703" s="792"/>
    </row>
    <row r="704" spans="1:8">
      <c r="A704" s="181" t="s">
        <v>1383</v>
      </c>
      <c r="B704" s="181" t="s">
        <v>1384</v>
      </c>
      <c r="C704" s="791">
        <f>SUMIF('yardi_data (2)'!$A:$A,$A704,'yardi_data (2)'!C:C)</f>
        <v>0</v>
      </c>
      <c r="D704" s="791">
        <f>SUMIF('yardi_data (2)'!$A:$A,$A704,'yardi_data (2)'!$D:$D)</f>
        <v>0</v>
      </c>
      <c r="E704" s="791">
        <f>SUMIF('yardi_data (2)'!$A:$A,$A704,'yardi_data (2)'!$E:$E)</f>
        <v>0</v>
      </c>
      <c r="F704" s="791">
        <f>SUMIF('yardi_data (2)'!$A:$A,$A704,'yardi_data (2)'!$F:$F)</f>
        <v>0</v>
      </c>
      <c r="G704" s="791">
        <f>SUMIF('yardi_data (2)'!$A:$A,$A704,'yardi_data (2)'!$G:$G)</f>
        <v>0</v>
      </c>
      <c r="H704" s="792"/>
    </row>
    <row r="705" spans="1:8">
      <c r="A705" s="182" t="s">
        <v>1385</v>
      </c>
      <c r="B705" s="182" t="s">
        <v>1386</v>
      </c>
      <c r="C705" s="791">
        <f>SUMIF('yardi_data (2)'!$A:$A,$A705,'yardi_data (2)'!C:C)</f>
        <v>0</v>
      </c>
      <c r="D705" s="791">
        <f>SUMIF('yardi_data (2)'!$A:$A,$A705,'yardi_data (2)'!$D:$D)</f>
        <v>0</v>
      </c>
      <c r="E705" s="791">
        <f>SUMIF('yardi_data (2)'!$A:$A,$A705,'yardi_data (2)'!$E:$E)</f>
        <v>0</v>
      </c>
      <c r="F705" s="791">
        <f>SUMIF('yardi_data (2)'!$A:$A,$A705,'yardi_data (2)'!$F:$F)</f>
        <v>0</v>
      </c>
      <c r="G705" s="791">
        <f>SUMIF('yardi_data (2)'!$A:$A,$A705,'yardi_data (2)'!$G:$G)</f>
        <v>0</v>
      </c>
      <c r="H705" s="792"/>
    </row>
    <row r="706" spans="1:8">
      <c r="A706" s="181" t="s">
        <v>1387</v>
      </c>
      <c r="B706" s="181" t="s">
        <v>1388</v>
      </c>
      <c r="C706" s="791">
        <f>SUMIF('yardi_data (2)'!$A:$A,$A706,'yardi_data (2)'!C:C)</f>
        <v>0</v>
      </c>
      <c r="D706" s="791">
        <f>SUMIF('yardi_data (2)'!$A:$A,$A706,'yardi_data (2)'!$D:$D)</f>
        <v>0</v>
      </c>
      <c r="E706" s="791">
        <f>SUMIF('yardi_data (2)'!$A:$A,$A706,'yardi_data (2)'!$E:$E)</f>
        <v>0</v>
      </c>
      <c r="F706" s="791">
        <f>SUMIF('yardi_data (2)'!$A:$A,$A706,'yardi_data (2)'!$F:$F)</f>
        <v>0</v>
      </c>
      <c r="G706" s="791">
        <f>SUMIF('yardi_data (2)'!$A:$A,$A706,'yardi_data (2)'!$G:$G)</f>
        <v>0</v>
      </c>
      <c r="H706" s="792"/>
    </row>
    <row r="707" spans="1:8">
      <c r="A707" s="182" t="s">
        <v>1389</v>
      </c>
      <c r="B707" s="182" t="s">
        <v>1390</v>
      </c>
      <c r="C707" s="791">
        <f>SUMIF('yardi_data (2)'!$A:$A,$A707,'yardi_data (2)'!C:C)</f>
        <v>0</v>
      </c>
      <c r="D707" s="791">
        <f>SUMIF('yardi_data (2)'!$A:$A,$A707,'yardi_data (2)'!$D:$D)</f>
        <v>0</v>
      </c>
      <c r="E707" s="791">
        <f>SUMIF('yardi_data (2)'!$A:$A,$A707,'yardi_data (2)'!$E:$E)</f>
        <v>0</v>
      </c>
      <c r="F707" s="791">
        <f>SUMIF('yardi_data (2)'!$A:$A,$A707,'yardi_data (2)'!$F:$F)</f>
        <v>0</v>
      </c>
      <c r="G707" s="791">
        <f>SUMIF('yardi_data (2)'!$A:$A,$A707,'yardi_data (2)'!$G:$G)</f>
        <v>0</v>
      </c>
      <c r="H707" s="792"/>
    </row>
    <row r="708" spans="1:8">
      <c r="A708" s="181" t="s">
        <v>1391</v>
      </c>
      <c r="B708" s="181" t="s">
        <v>1392</v>
      </c>
      <c r="C708" s="791">
        <f>SUMIF('yardi_data (2)'!$A:$A,$A708,'yardi_data (2)'!C:C)</f>
        <v>0</v>
      </c>
      <c r="D708" s="791">
        <f>SUMIF('yardi_data (2)'!$A:$A,$A708,'yardi_data (2)'!$D:$D)</f>
        <v>0</v>
      </c>
      <c r="E708" s="791">
        <f>SUMIF('yardi_data (2)'!$A:$A,$A708,'yardi_data (2)'!$E:$E)</f>
        <v>0</v>
      </c>
      <c r="F708" s="791">
        <f>SUMIF('yardi_data (2)'!$A:$A,$A708,'yardi_data (2)'!$F:$F)</f>
        <v>0</v>
      </c>
      <c r="G708" s="791">
        <f>SUMIF('yardi_data (2)'!$A:$A,$A708,'yardi_data (2)'!$G:$G)</f>
        <v>0</v>
      </c>
      <c r="H708" s="792"/>
    </row>
    <row r="709" spans="1:8">
      <c r="A709" s="182" t="s">
        <v>1393</v>
      </c>
      <c r="B709" s="182" t="s">
        <v>1394</v>
      </c>
      <c r="C709" s="791">
        <f>SUMIF('yardi_data (2)'!$A:$A,$A709,'yardi_data (2)'!C:C)</f>
        <v>0</v>
      </c>
      <c r="D709" s="791">
        <f>SUMIF('yardi_data (2)'!$A:$A,$A709,'yardi_data (2)'!$D:$D)</f>
        <v>0</v>
      </c>
      <c r="E709" s="791">
        <f>SUMIF('yardi_data (2)'!$A:$A,$A709,'yardi_data (2)'!$E:$E)</f>
        <v>0</v>
      </c>
      <c r="F709" s="791">
        <f>SUMIF('yardi_data (2)'!$A:$A,$A709,'yardi_data (2)'!$F:$F)</f>
        <v>0</v>
      </c>
      <c r="G709" s="791">
        <f>SUMIF('yardi_data (2)'!$A:$A,$A709,'yardi_data (2)'!$G:$G)</f>
        <v>0</v>
      </c>
      <c r="H709" s="792"/>
    </row>
    <row r="710" spans="1:8">
      <c r="A710" s="181" t="s">
        <v>1395</v>
      </c>
      <c r="B710" s="181" t="s">
        <v>1396</v>
      </c>
      <c r="C710" s="791">
        <f>SUMIF('yardi_data (2)'!$A:$A,$A710,'yardi_data (2)'!C:C)</f>
        <v>0</v>
      </c>
      <c r="D710" s="791">
        <f>SUMIF('yardi_data (2)'!$A:$A,$A710,'yardi_data (2)'!$D:$D)</f>
        <v>0</v>
      </c>
      <c r="E710" s="791">
        <f>SUMIF('yardi_data (2)'!$A:$A,$A710,'yardi_data (2)'!$E:$E)</f>
        <v>0</v>
      </c>
      <c r="F710" s="791">
        <f>SUMIF('yardi_data (2)'!$A:$A,$A710,'yardi_data (2)'!$F:$F)</f>
        <v>0</v>
      </c>
      <c r="G710" s="791">
        <f>SUMIF('yardi_data (2)'!$A:$A,$A710,'yardi_data (2)'!$G:$G)</f>
        <v>0</v>
      </c>
      <c r="H710" s="792"/>
    </row>
    <row r="711" spans="1:8">
      <c r="A711" s="182" t="s">
        <v>1397</v>
      </c>
      <c r="B711" s="182" t="s">
        <v>1398</v>
      </c>
      <c r="C711" s="791">
        <f>SUMIF('yardi_data (2)'!$A:$A,$A711,'yardi_data (2)'!C:C)</f>
        <v>0</v>
      </c>
      <c r="D711" s="791">
        <f>SUMIF('yardi_data (2)'!$A:$A,$A711,'yardi_data (2)'!$D:$D)</f>
        <v>0</v>
      </c>
      <c r="E711" s="791">
        <f>SUMIF('yardi_data (2)'!$A:$A,$A711,'yardi_data (2)'!$E:$E)</f>
        <v>0</v>
      </c>
      <c r="F711" s="791">
        <f>SUMIF('yardi_data (2)'!$A:$A,$A711,'yardi_data (2)'!$F:$F)</f>
        <v>0</v>
      </c>
      <c r="G711" s="791">
        <f>SUMIF('yardi_data (2)'!$A:$A,$A711,'yardi_data (2)'!$G:$G)</f>
        <v>0</v>
      </c>
      <c r="H711" s="792"/>
    </row>
    <row r="712" spans="1:8">
      <c r="A712" s="181" t="s">
        <v>1399</v>
      </c>
      <c r="B712" s="181" t="s">
        <v>1400</v>
      </c>
      <c r="C712" s="791">
        <f>SUMIF('yardi_data (2)'!$A:$A,$A712,'yardi_data (2)'!C:C)</f>
        <v>0</v>
      </c>
      <c r="D712" s="791">
        <f>SUMIF('yardi_data (2)'!$A:$A,$A712,'yardi_data (2)'!$D:$D)</f>
        <v>0</v>
      </c>
      <c r="E712" s="791">
        <f>SUMIF('yardi_data (2)'!$A:$A,$A712,'yardi_data (2)'!$E:$E)</f>
        <v>0</v>
      </c>
      <c r="F712" s="791">
        <f>SUMIF('yardi_data (2)'!$A:$A,$A712,'yardi_data (2)'!$F:$F)</f>
        <v>0</v>
      </c>
      <c r="G712" s="791">
        <f>SUMIF('yardi_data (2)'!$A:$A,$A712,'yardi_data (2)'!$G:$G)</f>
        <v>0</v>
      </c>
      <c r="H712" s="792"/>
    </row>
    <row r="713" spans="1:8">
      <c r="A713" s="182" t="s">
        <v>1401</v>
      </c>
      <c r="B713" s="182" t="s">
        <v>1402</v>
      </c>
      <c r="C713" s="791">
        <f>SUMIF('yardi_data (2)'!$A:$A,$A713,'yardi_data (2)'!C:C)</f>
        <v>0</v>
      </c>
      <c r="D713" s="791">
        <f>SUMIF('yardi_data (2)'!$A:$A,$A713,'yardi_data (2)'!$D:$D)</f>
        <v>0</v>
      </c>
      <c r="E713" s="791">
        <f>SUMIF('yardi_data (2)'!$A:$A,$A713,'yardi_data (2)'!$E:$E)</f>
        <v>0</v>
      </c>
      <c r="F713" s="791">
        <f>SUMIF('yardi_data (2)'!$A:$A,$A713,'yardi_data (2)'!$F:$F)</f>
        <v>0</v>
      </c>
      <c r="G713" s="791">
        <f>SUMIF('yardi_data (2)'!$A:$A,$A713,'yardi_data (2)'!$G:$G)</f>
        <v>0</v>
      </c>
      <c r="H713" s="792"/>
    </row>
    <row r="714" spans="1:8">
      <c r="A714" s="181" t="s">
        <v>1403</v>
      </c>
      <c r="B714" s="181" t="s">
        <v>1404</v>
      </c>
      <c r="C714" s="791">
        <f>SUMIF('yardi_data (2)'!$A:$A,$A714,'yardi_data (2)'!C:C)</f>
        <v>0</v>
      </c>
      <c r="D714" s="791">
        <f>SUMIF('yardi_data (2)'!$A:$A,$A714,'yardi_data (2)'!$D:$D)</f>
        <v>0</v>
      </c>
      <c r="E714" s="791">
        <f>SUMIF('yardi_data (2)'!$A:$A,$A714,'yardi_data (2)'!$E:$E)</f>
        <v>0</v>
      </c>
      <c r="F714" s="791">
        <f>SUMIF('yardi_data (2)'!$A:$A,$A714,'yardi_data (2)'!$F:$F)</f>
        <v>0</v>
      </c>
      <c r="G714" s="791">
        <f>SUMIF('yardi_data (2)'!$A:$A,$A714,'yardi_data (2)'!$G:$G)</f>
        <v>0</v>
      </c>
      <c r="H714" s="792"/>
    </row>
    <row r="715" spans="1:8">
      <c r="A715" s="181" t="s">
        <v>1405</v>
      </c>
      <c r="B715" s="181" t="s">
        <v>1406</v>
      </c>
      <c r="C715" s="791">
        <f>SUMIF('yardi_data (2)'!$A:$A,$A715,'yardi_data (2)'!C:C)</f>
        <v>0</v>
      </c>
      <c r="D715" s="791">
        <f>SUMIF('yardi_data (2)'!$A:$A,$A715,'yardi_data (2)'!$D:$D)</f>
        <v>955664.68</v>
      </c>
      <c r="E715" s="791">
        <f>SUMIF('yardi_data (2)'!$A:$A,$A715,'yardi_data (2)'!$E:$E)</f>
        <v>32095</v>
      </c>
      <c r="F715" s="791">
        <f>SUMIF('yardi_data (2)'!$A:$A,$A715,'yardi_data (2)'!$F:$F)</f>
        <v>0</v>
      </c>
      <c r="G715" s="791">
        <f>SUMIF('yardi_data (2)'!$A:$A,$A715,'yardi_data (2)'!$G:$G)</f>
        <v>0</v>
      </c>
      <c r="H715" s="792"/>
    </row>
    <row r="716" spans="1:8">
      <c r="A716" s="182" t="s">
        <v>1407</v>
      </c>
      <c r="B716" s="182" t="s">
        <v>1408</v>
      </c>
      <c r="C716" s="791">
        <f>SUMIF('yardi_data (2)'!$A:$A,$A716,'yardi_data (2)'!C:C)</f>
        <v>0</v>
      </c>
      <c r="D716" s="791">
        <f>SUMIF('yardi_data (2)'!$A:$A,$A716,'yardi_data (2)'!$D:$D)</f>
        <v>0</v>
      </c>
      <c r="E716" s="791">
        <f>SUMIF('yardi_data (2)'!$A:$A,$A716,'yardi_data (2)'!$E:$E)</f>
        <v>0</v>
      </c>
      <c r="F716" s="791">
        <f>SUMIF('yardi_data (2)'!$A:$A,$A716,'yardi_data (2)'!$F:$F)</f>
        <v>0</v>
      </c>
      <c r="G716" s="791">
        <f>SUMIF('yardi_data (2)'!$A:$A,$A716,'yardi_data (2)'!$G:$G)</f>
        <v>0</v>
      </c>
      <c r="H716" s="792"/>
    </row>
    <row r="717" spans="1:8">
      <c r="A717" s="181" t="s">
        <v>1409</v>
      </c>
      <c r="B717" s="181" t="s">
        <v>1410</v>
      </c>
      <c r="C717" s="791">
        <f>SUMIF('yardi_data (2)'!$A:$A,$A717,'yardi_data (2)'!C:C)</f>
        <v>0</v>
      </c>
      <c r="D717" s="791">
        <f>SUMIF('yardi_data (2)'!$A:$A,$A717,'yardi_data (2)'!$D:$D)</f>
        <v>0</v>
      </c>
      <c r="E717" s="791">
        <f>SUMIF('yardi_data (2)'!$A:$A,$A717,'yardi_data (2)'!$E:$E)</f>
        <v>0</v>
      </c>
      <c r="F717" s="791">
        <f>SUMIF('yardi_data (2)'!$A:$A,$A717,'yardi_data (2)'!$F:$F)</f>
        <v>0</v>
      </c>
      <c r="G717" s="791">
        <f>SUMIF('yardi_data (2)'!$A:$A,$A717,'yardi_data (2)'!$G:$G)</f>
        <v>0</v>
      </c>
      <c r="H717" s="792"/>
    </row>
    <row r="718" spans="1:8">
      <c r="A718" s="182" t="s">
        <v>1411</v>
      </c>
      <c r="B718" s="182" t="s">
        <v>1412</v>
      </c>
      <c r="C718" s="791">
        <f>SUMIF('yardi_data (2)'!$A:$A,$A718,'yardi_data (2)'!C:C)</f>
        <v>0</v>
      </c>
      <c r="D718" s="791">
        <f>SUMIF('yardi_data (2)'!$A:$A,$A718,'yardi_data (2)'!$D:$D)</f>
        <v>0</v>
      </c>
      <c r="E718" s="791">
        <f>SUMIF('yardi_data (2)'!$A:$A,$A718,'yardi_data (2)'!$E:$E)</f>
        <v>0</v>
      </c>
      <c r="F718" s="791">
        <f>SUMIF('yardi_data (2)'!$A:$A,$A718,'yardi_data (2)'!$F:$F)</f>
        <v>0</v>
      </c>
      <c r="G718" s="791">
        <f>SUMIF('yardi_data (2)'!$A:$A,$A718,'yardi_data (2)'!$G:$G)</f>
        <v>0</v>
      </c>
      <c r="H718" s="792"/>
    </row>
    <row r="719" spans="1:8">
      <c r="A719" s="181" t="s">
        <v>1413</v>
      </c>
      <c r="B719" s="181" t="s">
        <v>1414</v>
      </c>
      <c r="C719" s="791">
        <f>SUMIF('yardi_data (2)'!$A:$A,$A719,'yardi_data (2)'!C:C)</f>
        <v>0</v>
      </c>
      <c r="D719" s="791">
        <f>SUMIF('yardi_data (2)'!$A:$A,$A719,'yardi_data (2)'!$D:$D)</f>
        <v>0</v>
      </c>
      <c r="E719" s="791">
        <f>SUMIF('yardi_data (2)'!$A:$A,$A719,'yardi_data (2)'!$E:$E)</f>
        <v>0</v>
      </c>
      <c r="F719" s="791">
        <f>SUMIF('yardi_data (2)'!$A:$A,$A719,'yardi_data (2)'!$F:$F)</f>
        <v>0</v>
      </c>
      <c r="G719" s="791">
        <f>SUMIF('yardi_data (2)'!$A:$A,$A719,'yardi_data (2)'!$G:$G)</f>
        <v>0</v>
      </c>
      <c r="H719" s="792"/>
    </row>
    <row r="720" spans="1:8">
      <c r="A720" s="182" t="s">
        <v>1415</v>
      </c>
      <c r="B720" s="182" t="s">
        <v>1416</v>
      </c>
      <c r="C720" s="791">
        <f>SUMIF('yardi_data (2)'!$A:$A,$A720,'yardi_data (2)'!C:C)</f>
        <v>0</v>
      </c>
      <c r="D720" s="791">
        <f>SUMIF('yardi_data (2)'!$A:$A,$A720,'yardi_data (2)'!$D:$D)</f>
        <v>0</v>
      </c>
      <c r="E720" s="791">
        <f>SUMIF('yardi_data (2)'!$A:$A,$A720,'yardi_data (2)'!$E:$E)</f>
        <v>0</v>
      </c>
      <c r="F720" s="791">
        <f>SUMIF('yardi_data (2)'!$A:$A,$A720,'yardi_data (2)'!$F:$F)</f>
        <v>0</v>
      </c>
      <c r="G720" s="791">
        <f>SUMIF('yardi_data (2)'!$A:$A,$A720,'yardi_data (2)'!$G:$G)</f>
        <v>0</v>
      </c>
      <c r="H720" s="792"/>
    </row>
    <row r="721" spans="1:8">
      <c r="A721" s="181" t="s">
        <v>1417</v>
      </c>
      <c r="B721" s="181" t="s">
        <v>1418</v>
      </c>
      <c r="C721" s="791">
        <f>SUMIF('yardi_data (2)'!$A:$A,$A721,'yardi_data (2)'!C:C)</f>
        <v>0</v>
      </c>
      <c r="D721" s="791">
        <f>SUMIF('yardi_data (2)'!$A:$A,$A721,'yardi_data (2)'!$D:$D)</f>
        <v>0</v>
      </c>
      <c r="E721" s="791">
        <f>SUMIF('yardi_data (2)'!$A:$A,$A721,'yardi_data (2)'!$E:$E)</f>
        <v>0</v>
      </c>
      <c r="F721" s="791">
        <f>SUMIF('yardi_data (2)'!$A:$A,$A721,'yardi_data (2)'!$F:$F)</f>
        <v>0</v>
      </c>
      <c r="G721" s="791">
        <f>SUMIF('yardi_data (2)'!$A:$A,$A721,'yardi_data (2)'!$G:$G)</f>
        <v>0</v>
      </c>
      <c r="H721" s="792"/>
    </row>
    <row r="722" spans="1:8">
      <c r="A722" s="182" t="s">
        <v>1419</v>
      </c>
      <c r="B722" s="182" t="s">
        <v>1420</v>
      </c>
      <c r="C722" s="791">
        <f>SUMIF('yardi_data (2)'!$A:$A,$A722,'yardi_data (2)'!C:C)</f>
        <v>0</v>
      </c>
      <c r="D722" s="791">
        <f>SUMIF('yardi_data (2)'!$A:$A,$A722,'yardi_data (2)'!$D:$D)</f>
        <v>0</v>
      </c>
      <c r="E722" s="791">
        <f>SUMIF('yardi_data (2)'!$A:$A,$A722,'yardi_data (2)'!$E:$E)</f>
        <v>0</v>
      </c>
      <c r="F722" s="791">
        <f>SUMIF('yardi_data (2)'!$A:$A,$A722,'yardi_data (2)'!$F:$F)</f>
        <v>0</v>
      </c>
      <c r="G722" s="791">
        <f>SUMIF('yardi_data (2)'!$A:$A,$A722,'yardi_data (2)'!$G:$G)</f>
        <v>0</v>
      </c>
      <c r="H722" s="792"/>
    </row>
    <row r="723" spans="1:8">
      <c r="A723" s="181" t="s">
        <v>1421</v>
      </c>
      <c r="B723" s="181" t="s">
        <v>1422</v>
      </c>
      <c r="C723" s="791">
        <f>SUMIF('yardi_data (2)'!$A:$A,$A723,'yardi_data (2)'!C:C)</f>
        <v>0</v>
      </c>
      <c r="D723" s="791">
        <f>SUMIF('yardi_data (2)'!$A:$A,$A723,'yardi_data (2)'!$D:$D)</f>
        <v>0</v>
      </c>
      <c r="E723" s="791">
        <f>SUMIF('yardi_data (2)'!$A:$A,$A723,'yardi_data (2)'!$E:$E)</f>
        <v>0</v>
      </c>
      <c r="F723" s="791">
        <f>SUMIF('yardi_data (2)'!$A:$A,$A723,'yardi_data (2)'!$F:$F)</f>
        <v>0</v>
      </c>
      <c r="G723" s="791">
        <f>SUMIF('yardi_data (2)'!$A:$A,$A723,'yardi_data (2)'!$G:$G)</f>
        <v>0</v>
      </c>
      <c r="H723" s="792"/>
    </row>
    <row r="724" spans="1:8">
      <c r="A724" s="182" t="s">
        <v>1423</v>
      </c>
      <c r="B724" s="182" t="s">
        <v>1424</v>
      </c>
      <c r="C724" s="791">
        <f>SUMIF('yardi_data (2)'!$A:$A,$A724,'yardi_data (2)'!C:C)</f>
        <v>0</v>
      </c>
      <c r="D724" s="791">
        <f>SUMIF('yardi_data (2)'!$A:$A,$A724,'yardi_data (2)'!$D:$D)</f>
        <v>0</v>
      </c>
      <c r="E724" s="791">
        <f>SUMIF('yardi_data (2)'!$A:$A,$A724,'yardi_data (2)'!$E:$E)</f>
        <v>0</v>
      </c>
      <c r="F724" s="791">
        <f>SUMIF('yardi_data (2)'!$A:$A,$A724,'yardi_data (2)'!$F:$F)</f>
        <v>0</v>
      </c>
      <c r="G724" s="791">
        <f>SUMIF('yardi_data (2)'!$A:$A,$A724,'yardi_data (2)'!$G:$G)</f>
        <v>0</v>
      </c>
      <c r="H724" s="792"/>
    </row>
    <row r="725" spans="1:8">
      <c r="A725" s="181" t="s">
        <v>1425</v>
      </c>
      <c r="B725" s="181" t="s">
        <v>1426</v>
      </c>
      <c r="C725" s="791">
        <f>SUMIF('yardi_data (2)'!$A:$A,$A725,'yardi_data (2)'!C:C)</f>
        <v>0</v>
      </c>
      <c r="D725" s="791">
        <f>SUMIF('yardi_data (2)'!$A:$A,$A725,'yardi_data (2)'!$D:$D)</f>
        <v>0</v>
      </c>
      <c r="E725" s="791">
        <f>SUMIF('yardi_data (2)'!$A:$A,$A725,'yardi_data (2)'!$E:$E)</f>
        <v>0</v>
      </c>
      <c r="F725" s="791">
        <f>SUMIF('yardi_data (2)'!$A:$A,$A725,'yardi_data (2)'!$F:$F)</f>
        <v>0</v>
      </c>
      <c r="G725" s="791">
        <f>SUMIF('yardi_data (2)'!$A:$A,$A725,'yardi_data (2)'!$G:$G)</f>
        <v>0</v>
      </c>
      <c r="H725" s="792"/>
    </row>
    <row r="726" spans="1:8">
      <c r="A726" s="182" t="s">
        <v>1427</v>
      </c>
      <c r="B726" s="182" t="s">
        <v>1428</v>
      </c>
      <c r="C726" s="791">
        <f>SUMIF('yardi_data (2)'!$A:$A,$A726,'yardi_data (2)'!C:C)</f>
        <v>0</v>
      </c>
      <c r="D726" s="791">
        <f>SUMIF('yardi_data (2)'!$A:$A,$A726,'yardi_data (2)'!$D:$D)</f>
        <v>0</v>
      </c>
      <c r="E726" s="791">
        <f>SUMIF('yardi_data (2)'!$A:$A,$A726,'yardi_data (2)'!$E:$E)</f>
        <v>0</v>
      </c>
      <c r="F726" s="791">
        <f>SUMIF('yardi_data (2)'!$A:$A,$A726,'yardi_data (2)'!$F:$F)</f>
        <v>0</v>
      </c>
      <c r="G726" s="791">
        <f>SUMIF('yardi_data (2)'!$A:$A,$A726,'yardi_data (2)'!$G:$G)</f>
        <v>0</v>
      </c>
      <c r="H726" s="792"/>
    </row>
    <row r="727" spans="1:8">
      <c r="A727" s="181" t="s">
        <v>1429</v>
      </c>
      <c r="B727" s="181" t="s">
        <v>1430</v>
      </c>
      <c r="C727" s="791">
        <f>SUMIF('yardi_data (2)'!$A:$A,$A727,'yardi_data (2)'!C:C)</f>
        <v>0</v>
      </c>
      <c r="D727" s="791">
        <f>SUMIF('yardi_data (2)'!$A:$A,$A727,'yardi_data (2)'!$D:$D)</f>
        <v>0</v>
      </c>
      <c r="E727" s="791">
        <f>SUMIF('yardi_data (2)'!$A:$A,$A727,'yardi_data (2)'!$E:$E)</f>
        <v>0</v>
      </c>
      <c r="F727" s="791">
        <f>SUMIF('yardi_data (2)'!$A:$A,$A727,'yardi_data (2)'!$F:$F)</f>
        <v>0</v>
      </c>
      <c r="G727" s="791">
        <f>SUMIF('yardi_data (2)'!$A:$A,$A727,'yardi_data (2)'!$G:$G)</f>
        <v>0</v>
      </c>
      <c r="H727" s="792"/>
    </row>
    <row r="728" spans="1:8">
      <c r="A728" s="182" t="s">
        <v>1431</v>
      </c>
      <c r="B728" s="182" t="s">
        <v>1432</v>
      </c>
      <c r="C728" s="791">
        <f>SUMIF('yardi_data (2)'!$A:$A,$A728,'yardi_data (2)'!C:C)</f>
        <v>0</v>
      </c>
      <c r="D728" s="791">
        <f>SUMIF('yardi_data (2)'!$A:$A,$A728,'yardi_data (2)'!$D:$D)</f>
        <v>0</v>
      </c>
      <c r="E728" s="791">
        <f>SUMIF('yardi_data (2)'!$A:$A,$A728,'yardi_data (2)'!$E:$E)</f>
        <v>0</v>
      </c>
      <c r="F728" s="791">
        <f>SUMIF('yardi_data (2)'!$A:$A,$A728,'yardi_data (2)'!$F:$F)</f>
        <v>0</v>
      </c>
      <c r="G728" s="791">
        <f>SUMIF('yardi_data (2)'!$A:$A,$A728,'yardi_data (2)'!$G:$G)</f>
        <v>0</v>
      </c>
      <c r="H728" s="792"/>
    </row>
    <row r="729" spans="1:8">
      <c r="A729" s="181" t="s">
        <v>1433</v>
      </c>
      <c r="B729" s="181" t="s">
        <v>1434</v>
      </c>
      <c r="C729" s="791">
        <f>SUMIF('yardi_data (2)'!$A:$A,$A729,'yardi_data (2)'!C:C)</f>
        <v>0</v>
      </c>
      <c r="D729" s="791">
        <f>SUMIF('yardi_data (2)'!$A:$A,$A729,'yardi_data (2)'!$D:$D)</f>
        <v>0</v>
      </c>
      <c r="E729" s="791">
        <f>SUMIF('yardi_data (2)'!$A:$A,$A729,'yardi_data (2)'!$E:$E)</f>
        <v>0</v>
      </c>
      <c r="F729" s="791">
        <f>SUMIF('yardi_data (2)'!$A:$A,$A729,'yardi_data (2)'!$F:$F)</f>
        <v>0</v>
      </c>
      <c r="G729" s="791">
        <f>SUMIF('yardi_data (2)'!$A:$A,$A729,'yardi_data (2)'!$G:$G)</f>
        <v>0</v>
      </c>
      <c r="H729" s="792"/>
    </row>
    <row r="730" spans="1:8">
      <c r="A730" s="182" t="s">
        <v>1435</v>
      </c>
      <c r="B730" s="182" t="s">
        <v>1436</v>
      </c>
      <c r="C730" s="791">
        <f>SUMIF('yardi_data (2)'!$A:$A,$A730,'yardi_data (2)'!C:C)</f>
        <v>0</v>
      </c>
      <c r="D730" s="791">
        <f>SUMIF('yardi_data (2)'!$A:$A,$A730,'yardi_data (2)'!$D:$D)</f>
        <v>0</v>
      </c>
      <c r="E730" s="791">
        <f>SUMIF('yardi_data (2)'!$A:$A,$A730,'yardi_data (2)'!$E:$E)</f>
        <v>0</v>
      </c>
      <c r="F730" s="791">
        <f>SUMIF('yardi_data (2)'!$A:$A,$A730,'yardi_data (2)'!$F:$F)</f>
        <v>0</v>
      </c>
      <c r="G730" s="791">
        <f>SUMIF('yardi_data (2)'!$A:$A,$A730,'yardi_data (2)'!$G:$G)</f>
        <v>0</v>
      </c>
      <c r="H730" s="792"/>
    </row>
    <row r="731" spans="1:8">
      <c r="A731" s="181" t="s">
        <v>1437</v>
      </c>
      <c r="B731" s="181" t="s">
        <v>1438</v>
      </c>
      <c r="C731" s="791">
        <f>SUMIF('yardi_data (2)'!$A:$A,$A731,'yardi_data (2)'!C:C)</f>
        <v>0</v>
      </c>
      <c r="D731" s="791">
        <f>SUMIF('yardi_data (2)'!$A:$A,$A731,'yardi_data (2)'!$D:$D)</f>
        <v>0</v>
      </c>
      <c r="E731" s="791">
        <f>SUMIF('yardi_data (2)'!$A:$A,$A731,'yardi_data (2)'!$E:$E)</f>
        <v>0</v>
      </c>
      <c r="F731" s="791">
        <f>SUMIF('yardi_data (2)'!$A:$A,$A731,'yardi_data (2)'!$F:$F)</f>
        <v>0</v>
      </c>
      <c r="G731" s="791">
        <f>SUMIF('yardi_data (2)'!$A:$A,$A731,'yardi_data (2)'!$G:$G)</f>
        <v>0</v>
      </c>
      <c r="H731" s="792"/>
    </row>
    <row r="732" spans="1:8">
      <c r="A732" s="182" t="s">
        <v>1439</v>
      </c>
      <c r="B732" s="182" t="s">
        <v>1440</v>
      </c>
      <c r="C732" s="791">
        <f>SUMIF('yardi_data (2)'!$A:$A,$A732,'yardi_data (2)'!C:C)</f>
        <v>0</v>
      </c>
      <c r="D732" s="791">
        <f>SUMIF('yardi_data (2)'!$A:$A,$A732,'yardi_data (2)'!$D:$D)</f>
        <v>0</v>
      </c>
      <c r="E732" s="791">
        <f>SUMIF('yardi_data (2)'!$A:$A,$A732,'yardi_data (2)'!$E:$E)</f>
        <v>0</v>
      </c>
      <c r="F732" s="791">
        <f>SUMIF('yardi_data (2)'!$A:$A,$A732,'yardi_data (2)'!$F:$F)</f>
        <v>0</v>
      </c>
      <c r="G732" s="791">
        <f>SUMIF('yardi_data (2)'!$A:$A,$A732,'yardi_data (2)'!$G:$G)</f>
        <v>0</v>
      </c>
      <c r="H732" s="792"/>
    </row>
    <row r="733" spans="1:8">
      <c r="A733" s="181" t="s">
        <v>1441</v>
      </c>
      <c r="B733" s="181" t="s">
        <v>1442</v>
      </c>
      <c r="C733" s="791">
        <f>SUMIF('yardi_data (2)'!$A:$A,$A733,'yardi_data (2)'!C:C)</f>
        <v>0</v>
      </c>
      <c r="D733" s="791">
        <f>SUMIF('yardi_data (2)'!$A:$A,$A733,'yardi_data (2)'!$D:$D)</f>
        <v>0</v>
      </c>
      <c r="E733" s="791">
        <f>SUMIF('yardi_data (2)'!$A:$A,$A733,'yardi_data (2)'!$E:$E)</f>
        <v>15000</v>
      </c>
      <c r="F733" s="791">
        <f>SUMIF('yardi_data (2)'!$A:$A,$A733,'yardi_data (2)'!$F:$F)</f>
        <v>0</v>
      </c>
      <c r="G733" s="791">
        <f>SUMIF('yardi_data (2)'!$A:$A,$A733,'yardi_data (2)'!$G:$G)</f>
        <v>0</v>
      </c>
      <c r="H733" s="792"/>
    </row>
    <row r="734" spans="1:8">
      <c r="A734" s="182" t="s">
        <v>1443</v>
      </c>
      <c r="B734" s="182" t="s">
        <v>1444</v>
      </c>
      <c r="C734" s="791">
        <f>SUMIF('yardi_data (2)'!$A:$A,$A734,'yardi_data (2)'!C:C)</f>
        <v>0</v>
      </c>
      <c r="D734" s="791">
        <f>SUMIF('yardi_data (2)'!$A:$A,$A734,'yardi_data (2)'!$D:$D)</f>
        <v>0</v>
      </c>
      <c r="E734" s="791">
        <f>SUMIF('yardi_data (2)'!$A:$A,$A734,'yardi_data (2)'!$E:$E)</f>
        <v>0</v>
      </c>
      <c r="F734" s="791">
        <f>SUMIF('yardi_data (2)'!$A:$A,$A734,'yardi_data (2)'!$F:$F)</f>
        <v>0</v>
      </c>
      <c r="G734" s="791">
        <f>SUMIF('yardi_data (2)'!$A:$A,$A734,'yardi_data (2)'!$G:$G)</f>
        <v>0</v>
      </c>
      <c r="H734" s="792"/>
    </row>
    <row r="735" spans="1:8">
      <c r="A735" s="181" t="s">
        <v>1445</v>
      </c>
      <c r="B735" s="181" t="s">
        <v>1446</v>
      </c>
      <c r="C735" s="791">
        <f>SUMIF('yardi_data (2)'!$A:$A,$A735,'yardi_data (2)'!C:C)</f>
        <v>0</v>
      </c>
      <c r="D735" s="791">
        <f>SUMIF('yardi_data (2)'!$A:$A,$A735,'yardi_data (2)'!$D:$D)</f>
        <v>0</v>
      </c>
      <c r="E735" s="791">
        <f>SUMIF('yardi_data (2)'!$A:$A,$A735,'yardi_data (2)'!$E:$E)</f>
        <v>0</v>
      </c>
      <c r="F735" s="791">
        <f>SUMIF('yardi_data (2)'!$A:$A,$A735,'yardi_data (2)'!$F:$F)</f>
        <v>0</v>
      </c>
      <c r="G735" s="791">
        <f>SUMIF('yardi_data (2)'!$A:$A,$A735,'yardi_data (2)'!$G:$G)</f>
        <v>0</v>
      </c>
      <c r="H735" s="792"/>
    </row>
    <row r="736" spans="1:8">
      <c r="A736" s="182" t="s">
        <v>1447</v>
      </c>
      <c r="B736" s="182" t="s">
        <v>1448</v>
      </c>
      <c r="C736" s="791">
        <f>SUMIF('yardi_data (2)'!$A:$A,$A736,'yardi_data (2)'!C:C)</f>
        <v>0</v>
      </c>
      <c r="D736" s="791">
        <f>SUMIF('yardi_data (2)'!$A:$A,$A736,'yardi_data (2)'!$D:$D)</f>
        <v>0</v>
      </c>
      <c r="E736" s="791">
        <f>SUMIF('yardi_data (2)'!$A:$A,$A736,'yardi_data (2)'!$E:$E)</f>
        <v>0</v>
      </c>
      <c r="F736" s="791">
        <f>SUMIF('yardi_data (2)'!$A:$A,$A736,'yardi_data (2)'!$F:$F)</f>
        <v>0</v>
      </c>
      <c r="G736" s="791">
        <f>SUMIF('yardi_data (2)'!$A:$A,$A736,'yardi_data (2)'!$G:$G)</f>
        <v>0</v>
      </c>
      <c r="H736" s="792"/>
    </row>
    <row r="737" spans="1:8">
      <c r="A737" s="181" t="s">
        <v>1449</v>
      </c>
      <c r="B737" s="181" t="s">
        <v>1450</v>
      </c>
      <c r="C737" s="791">
        <f>SUMIF('yardi_data (2)'!$A:$A,$A737,'yardi_data (2)'!C:C)</f>
        <v>0</v>
      </c>
      <c r="D737" s="791">
        <f>SUMIF('yardi_data (2)'!$A:$A,$A737,'yardi_data (2)'!$D:$D)</f>
        <v>112309.7</v>
      </c>
      <c r="E737" s="791">
        <f>SUMIF('yardi_data (2)'!$A:$A,$A737,'yardi_data (2)'!$E:$E)</f>
        <v>24896.43</v>
      </c>
      <c r="F737" s="791">
        <f>SUMIF('yardi_data (2)'!$A:$A,$A737,'yardi_data (2)'!$F:$F)</f>
        <v>0</v>
      </c>
      <c r="G737" s="791">
        <f>SUMIF('yardi_data (2)'!$A:$A,$A737,'yardi_data (2)'!$G:$G)</f>
        <v>0</v>
      </c>
      <c r="H737" s="792"/>
    </row>
    <row r="738" spans="1:8">
      <c r="A738" s="182" t="s">
        <v>1451</v>
      </c>
      <c r="B738" s="182" t="s">
        <v>1452</v>
      </c>
      <c r="C738" s="791">
        <f>SUMIF('yardi_data (2)'!$A:$A,$A738,'yardi_data (2)'!C:C)</f>
        <v>0</v>
      </c>
      <c r="D738" s="791">
        <f>SUMIF('yardi_data (2)'!$A:$A,$A738,'yardi_data (2)'!$D:$D)</f>
        <v>0</v>
      </c>
      <c r="E738" s="791">
        <f>SUMIF('yardi_data (2)'!$A:$A,$A738,'yardi_data (2)'!$E:$E)</f>
        <v>0</v>
      </c>
      <c r="F738" s="791">
        <f>SUMIF('yardi_data (2)'!$A:$A,$A738,'yardi_data (2)'!$F:$F)</f>
        <v>0</v>
      </c>
      <c r="G738" s="791">
        <f>SUMIF('yardi_data (2)'!$A:$A,$A738,'yardi_data (2)'!$G:$G)</f>
        <v>0</v>
      </c>
      <c r="H738" s="792"/>
    </row>
    <row r="739" spans="1:8">
      <c r="A739" s="181" t="s">
        <v>1453</v>
      </c>
      <c r="B739" s="181" t="s">
        <v>1454</v>
      </c>
      <c r="C739" s="791">
        <f>SUMIF('yardi_data (2)'!$A:$A,$A739,'yardi_data (2)'!C:C)</f>
        <v>0</v>
      </c>
      <c r="D739" s="791">
        <f>SUMIF('yardi_data (2)'!$A:$A,$A739,'yardi_data (2)'!$D:$D)</f>
        <v>0</v>
      </c>
      <c r="E739" s="791">
        <f>SUMIF('yardi_data (2)'!$A:$A,$A739,'yardi_data (2)'!$E:$E)</f>
        <v>0</v>
      </c>
      <c r="F739" s="791">
        <f>SUMIF('yardi_data (2)'!$A:$A,$A739,'yardi_data (2)'!$F:$F)</f>
        <v>0</v>
      </c>
      <c r="G739" s="791">
        <f>SUMIF('yardi_data (2)'!$A:$A,$A739,'yardi_data (2)'!$G:$G)</f>
        <v>0</v>
      </c>
      <c r="H739" s="792"/>
    </row>
    <row r="740" spans="1:8">
      <c r="A740" s="182" t="s">
        <v>1455</v>
      </c>
      <c r="B740" s="182" t="s">
        <v>1456</v>
      </c>
      <c r="C740" s="791">
        <f>SUMIF('yardi_data (2)'!$A:$A,$A740,'yardi_data (2)'!C:C)</f>
        <v>0</v>
      </c>
      <c r="D740" s="791">
        <f>SUMIF('yardi_data (2)'!$A:$A,$A740,'yardi_data (2)'!$D:$D)</f>
        <v>0</v>
      </c>
      <c r="E740" s="791">
        <f>SUMIF('yardi_data (2)'!$A:$A,$A740,'yardi_data (2)'!$E:$E)</f>
        <v>0</v>
      </c>
      <c r="F740" s="791">
        <f>SUMIF('yardi_data (2)'!$A:$A,$A740,'yardi_data (2)'!$F:$F)</f>
        <v>0</v>
      </c>
      <c r="G740" s="791">
        <f>SUMIF('yardi_data (2)'!$A:$A,$A740,'yardi_data (2)'!$G:$G)</f>
        <v>0</v>
      </c>
      <c r="H740" s="792"/>
    </row>
    <row r="741" spans="1:8">
      <c r="A741" s="181" t="s">
        <v>1457</v>
      </c>
      <c r="B741" s="181" t="s">
        <v>1458</v>
      </c>
      <c r="C741" s="791">
        <f>SUMIF('yardi_data (2)'!$A:$A,$A741,'yardi_data (2)'!C:C)</f>
        <v>0</v>
      </c>
      <c r="D741" s="791">
        <f>SUMIF('yardi_data (2)'!$A:$A,$A741,'yardi_data (2)'!$D:$D)</f>
        <v>0</v>
      </c>
      <c r="E741" s="791">
        <f>SUMIF('yardi_data (2)'!$A:$A,$A741,'yardi_data (2)'!$E:$E)</f>
        <v>0</v>
      </c>
      <c r="F741" s="791">
        <f>SUMIF('yardi_data (2)'!$A:$A,$A741,'yardi_data (2)'!$F:$F)</f>
        <v>0</v>
      </c>
      <c r="G741" s="791">
        <f>SUMIF('yardi_data (2)'!$A:$A,$A741,'yardi_data (2)'!$G:$G)</f>
        <v>0</v>
      </c>
      <c r="H741" s="792"/>
    </row>
    <row r="742" spans="1:8">
      <c r="A742" s="182" t="s">
        <v>1459</v>
      </c>
      <c r="B742" s="182" t="s">
        <v>1460</v>
      </c>
      <c r="C742" s="791">
        <f>SUMIF('yardi_data (2)'!$A:$A,$A742,'yardi_data (2)'!C:C)</f>
        <v>0</v>
      </c>
      <c r="D742" s="791">
        <f>SUMIF('yardi_data (2)'!$A:$A,$A742,'yardi_data (2)'!$D:$D)</f>
        <v>197932.5</v>
      </c>
      <c r="E742" s="791">
        <f>SUMIF('yardi_data (2)'!$A:$A,$A742,'yardi_data (2)'!$E:$E)</f>
        <v>27377.5</v>
      </c>
      <c r="F742" s="791">
        <f>SUMIF('yardi_data (2)'!$A:$A,$A742,'yardi_data (2)'!$F:$F)</f>
        <v>0</v>
      </c>
      <c r="G742" s="791">
        <f>SUMIF('yardi_data (2)'!$A:$A,$A742,'yardi_data (2)'!$G:$G)</f>
        <v>0</v>
      </c>
      <c r="H742" s="792"/>
    </row>
    <row r="743" spans="1:8">
      <c r="A743" s="181" t="s">
        <v>1461</v>
      </c>
      <c r="B743" s="181" t="s">
        <v>1462</v>
      </c>
      <c r="C743" s="791">
        <f>SUMIF('yardi_data (2)'!$A:$A,$A743,'yardi_data (2)'!C:C)</f>
        <v>0</v>
      </c>
      <c r="D743" s="791">
        <f>SUMIF('yardi_data (2)'!$A:$A,$A743,'yardi_data (2)'!$D:$D)</f>
        <v>0</v>
      </c>
      <c r="E743" s="791">
        <f>SUMIF('yardi_data (2)'!$A:$A,$A743,'yardi_data (2)'!$E:$E)</f>
        <v>0</v>
      </c>
      <c r="F743" s="791">
        <f>SUMIF('yardi_data (2)'!$A:$A,$A743,'yardi_data (2)'!$F:$F)</f>
        <v>0</v>
      </c>
      <c r="G743" s="791">
        <f>SUMIF('yardi_data (2)'!$A:$A,$A743,'yardi_data (2)'!$G:$G)</f>
        <v>0</v>
      </c>
      <c r="H743" s="792"/>
    </row>
    <row r="744" spans="1:8">
      <c r="A744" s="182" t="s">
        <v>1463</v>
      </c>
      <c r="B744" s="182" t="s">
        <v>1464</v>
      </c>
      <c r="C744" s="791">
        <f>SUMIF('yardi_data (2)'!$A:$A,$A744,'yardi_data (2)'!C:C)</f>
        <v>0</v>
      </c>
      <c r="D744" s="791">
        <f>SUMIF('yardi_data (2)'!$A:$A,$A744,'yardi_data (2)'!$D:$D)</f>
        <v>0</v>
      </c>
      <c r="E744" s="791">
        <f>SUMIF('yardi_data (2)'!$A:$A,$A744,'yardi_data (2)'!$E:$E)</f>
        <v>0</v>
      </c>
      <c r="F744" s="791">
        <f>SUMIF('yardi_data (2)'!$A:$A,$A744,'yardi_data (2)'!$F:$F)</f>
        <v>0</v>
      </c>
      <c r="G744" s="791">
        <f>SUMIF('yardi_data (2)'!$A:$A,$A744,'yardi_data (2)'!$G:$G)</f>
        <v>0</v>
      </c>
      <c r="H744" s="792"/>
    </row>
    <row r="745" spans="1:8">
      <c r="A745" s="181" t="s">
        <v>1465</v>
      </c>
      <c r="B745" s="181" t="s">
        <v>1466</v>
      </c>
      <c r="C745" s="791">
        <f>SUMIF('yardi_data (2)'!$A:$A,$A745,'yardi_data (2)'!C:C)</f>
        <v>0</v>
      </c>
      <c r="D745" s="791">
        <f>SUMIF('yardi_data (2)'!$A:$A,$A745,'yardi_data (2)'!$D:$D)</f>
        <v>0</v>
      </c>
      <c r="E745" s="791">
        <f>SUMIF('yardi_data (2)'!$A:$A,$A745,'yardi_data (2)'!$E:$E)</f>
        <v>0</v>
      </c>
      <c r="F745" s="791">
        <f>SUMIF('yardi_data (2)'!$A:$A,$A745,'yardi_data (2)'!$F:$F)</f>
        <v>0</v>
      </c>
      <c r="G745" s="791">
        <f>SUMIF('yardi_data (2)'!$A:$A,$A745,'yardi_data (2)'!$G:$G)</f>
        <v>0</v>
      </c>
      <c r="H745" s="792"/>
    </row>
    <row r="746" spans="1:8">
      <c r="A746" s="182" t="s">
        <v>1467</v>
      </c>
      <c r="B746" s="182" t="s">
        <v>1468</v>
      </c>
      <c r="C746" s="791">
        <f>SUMIF('yardi_data (2)'!$A:$A,$A746,'yardi_data (2)'!C:C)</f>
        <v>0</v>
      </c>
      <c r="D746" s="791">
        <f>SUMIF('yardi_data (2)'!$A:$A,$A746,'yardi_data (2)'!$D:$D)</f>
        <v>0</v>
      </c>
      <c r="E746" s="791">
        <f>SUMIF('yardi_data (2)'!$A:$A,$A746,'yardi_data (2)'!$E:$E)</f>
        <v>0</v>
      </c>
      <c r="F746" s="791">
        <f>SUMIF('yardi_data (2)'!$A:$A,$A746,'yardi_data (2)'!$F:$F)</f>
        <v>0</v>
      </c>
      <c r="G746" s="791">
        <f>SUMIF('yardi_data (2)'!$A:$A,$A746,'yardi_data (2)'!$G:$G)</f>
        <v>0</v>
      </c>
      <c r="H746" s="792"/>
    </row>
    <row r="747" spans="1:8">
      <c r="A747" s="181" t="s">
        <v>1469</v>
      </c>
      <c r="B747" s="181" t="s">
        <v>1470</v>
      </c>
      <c r="C747" s="791">
        <f>SUMIF('yardi_data (2)'!$A:$A,$A747,'yardi_data (2)'!C:C)</f>
        <v>0</v>
      </c>
      <c r="D747" s="791">
        <f>SUMIF('yardi_data (2)'!$A:$A,$A747,'yardi_data (2)'!$D:$D)</f>
        <v>0</v>
      </c>
      <c r="E747" s="791">
        <f>SUMIF('yardi_data (2)'!$A:$A,$A747,'yardi_data (2)'!$E:$E)</f>
        <v>0</v>
      </c>
      <c r="F747" s="791">
        <f>SUMIF('yardi_data (2)'!$A:$A,$A747,'yardi_data (2)'!$F:$F)</f>
        <v>0</v>
      </c>
      <c r="G747" s="791">
        <f>SUMIF('yardi_data (2)'!$A:$A,$A747,'yardi_data (2)'!$G:$G)</f>
        <v>0</v>
      </c>
      <c r="H747" s="792"/>
    </row>
    <row r="748" spans="1:8">
      <c r="A748" s="182" t="s">
        <v>1471</v>
      </c>
      <c r="B748" s="182" t="s">
        <v>1472</v>
      </c>
      <c r="C748" s="791">
        <f>SUMIF('yardi_data (2)'!$A:$A,$A748,'yardi_data (2)'!C:C)</f>
        <v>0</v>
      </c>
      <c r="D748" s="791">
        <f>SUMIF('yardi_data (2)'!$A:$A,$A748,'yardi_data (2)'!$D:$D)</f>
        <v>0</v>
      </c>
      <c r="E748" s="791">
        <f>SUMIF('yardi_data (2)'!$A:$A,$A748,'yardi_data (2)'!$E:$E)</f>
        <v>0</v>
      </c>
      <c r="F748" s="791">
        <f>SUMIF('yardi_data (2)'!$A:$A,$A748,'yardi_data (2)'!$F:$F)</f>
        <v>0</v>
      </c>
      <c r="G748" s="791">
        <f>SUMIF('yardi_data (2)'!$A:$A,$A748,'yardi_data (2)'!$G:$G)</f>
        <v>0</v>
      </c>
      <c r="H748" s="792"/>
    </row>
    <row r="749" spans="1:8">
      <c r="A749" s="181" t="s">
        <v>1473</v>
      </c>
      <c r="B749" s="181" t="s">
        <v>1474</v>
      </c>
      <c r="C749" s="791">
        <f>SUMIF('yardi_data (2)'!$A:$A,$A749,'yardi_data (2)'!C:C)</f>
        <v>0</v>
      </c>
      <c r="D749" s="791">
        <f>SUMIF('yardi_data (2)'!$A:$A,$A749,'yardi_data (2)'!$D:$D)</f>
        <v>0</v>
      </c>
      <c r="E749" s="791">
        <f>SUMIF('yardi_data (2)'!$A:$A,$A749,'yardi_data (2)'!$E:$E)</f>
        <v>0</v>
      </c>
      <c r="F749" s="791">
        <f>SUMIF('yardi_data (2)'!$A:$A,$A749,'yardi_data (2)'!$F:$F)</f>
        <v>0</v>
      </c>
      <c r="G749" s="791">
        <f>SUMIF('yardi_data (2)'!$A:$A,$A749,'yardi_data (2)'!$G:$G)</f>
        <v>0</v>
      </c>
      <c r="H749" s="792"/>
    </row>
    <row r="750" spans="1:8">
      <c r="A750" s="182" t="s">
        <v>1475</v>
      </c>
      <c r="B750" s="182" t="s">
        <v>1476</v>
      </c>
      <c r="C750" s="791">
        <f>SUMIF('yardi_data (2)'!$A:$A,$A750,'yardi_data (2)'!C:C)</f>
        <v>487724.25</v>
      </c>
      <c r="D750" s="791">
        <f>SUMIF('yardi_data (2)'!$A:$A,$A750,'yardi_data (2)'!$D:$D)</f>
        <v>2390319.69</v>
      </c>
      <c r="E750" s="791">
        <f>SUMIF('yardi_data (2)'!$A:$A,$A750,'yardi_data (2)'!$E:$E)</f>
        <v>339591.93</v>
      </c>
      <c r="F750" s="791">
        <f>SUMIF('yardi_data (2)'!$A:$A,$A750,'yardi_data (2)'!$F:$F)</f>
        <v>0</v>
      </c>
      <c r="G750" s="791">
        <f>SUMIF('yardi_data (2)'!$A:$A,$A750,'yardi_data (2)'!$G:$G)</f>
        <v>0</v>
      </c>
      <c r="H750" s="792"/>
    </row>
    <row r="751" spans="1:8">
      <c r="A751" s="181" t="s">
        <v>1477</v>
      </c>
      <c r="B751" s="181" t="s">
        <v>1478</v>
      </c>
      <c r="C751" s="791">
        <f>SUMIF('yardi_data (2)'!$A:$A,$A751,'yardi_data (2)'!C:C)</f>
        <v>-487724.25</v>
      </c>
      <c r="D751" s="791">
        <f>SUMIF('yardi_data (2)'!$A:$A,$A751,'yardi_data (2)'!$D:$D)</f>
        <v>-1379603.81</v>
      </c>
      <c r="E751" s="791">
        <f>SUMIF('yardi_data (2)'!$A:$A,$A751,'yardi_data (2)'!$E:$E)</f>
        <v>-316633.76</v>
      </c>
      <c r="F751" s="791">
        <f>SUMIF('yardi_data (2)'!$A:$A,$A751,'yardi_data (2)'!$F:$F)</f>
        <v>0</v>
      </c>
      <c r="G751" s="791">
        <f>SUMIF('yardi_data (2)'!$A:$A,$A751,'yardi_data (2)'!$G:$G)</f>
        <v>0</v>
      </c>
      <c r="H751" s="792"/>
    </row>
    <row r="752" spans="1:8">
      <c r="A752" s="182" t="s">
        <v>1479</v>
      </c>
      <c r="B752" s="182" t="s">
        <v>1480</v>
      </c>
      <c r="C752" s="791">
        <f>SUMIF('yardi_data (2)'!$A:$A,$A752,'yardi_data (2)'!C:C)</f>
        <v>-9937209.0199999996</v>
      </c>
      <c r="D752" s="791">
        <f>SUMIF('yardi_data (2)'!$A:$A,$A752,'yardi_data (2)'!$D:$D)</f>
        <v>-11277551.23</v>
      </c>
      <c r="E752" s="791">
        <f>SUMIF('yardi_data (2)'!$A:$A,$A752,'yardi_data (2)'!$E:$E)</f>
        <v>-9169874.4700000007</v>
      </c>
      <c r="F752" s="791">
        <f>SUMIF('yardi_data (2)'!$A:$A,$A752,'yardi_data (2)'!$F:$F)</f>
        <v>-10046196.949999999</v>
      </c>
      <c r="G752" s="791">
        <f>SUMIF('yardi_data (2)'!$A:$A,$A752,'yardi_data (2)'!$G:$G)</f>
        <v>-12101849.24</v>
      </c>
      <c r="H752" s="792"/>
    </row>
    <row r="753" spans="1:8">
      <c r="A753" s="181" t="s">
        <v>1481</v>
      </c>
      <c r="B753" s="181" t="s">
        <v>1482</v>
      </c>
      <c r="C753" s="791">
        <f>SUMIF('yardi_data (2)'!$A:$A,$A753,'yardi_data (2)'!C:C)</f>
        <v>0</v>
      </c>
      <c r="D753" s="791">
        <f>SUMIF('yardi_data (2)'!$A:$A,$A753,'yardi_data (2)'!$D:$D)</f>
        <v>0</v>
      </c>
      <c r="E753" s="791">
        <f>SUMIF('yardi_data (2)'!$A:$A,$A753,'yardi_data (2)'!$E:$E)</f>
        <v>0</v>
      </c>
      <c r="F753" s="791">
        <f>SUMIF('yardi_data (2)'!$A:$A,$A753,'yardi_data (2)'!$F:$F)</f>
        <v>0</v>
      </c>
      <c r="G753" s="791">
        <f>SUMIF('yardi_data (2)'!$A:$A,$A753,'yardi_data (2)'!$G:$G)</f>
        <v>0</v>
      </c>
      <c r="H753" s="792"/>
    </row>
  </sheetData>
  <conditionalFormatting sqref="A2:B752">
    <cfRule type="cellIs" dxfId="4" priority="4" operator="equal">
      <formula>"-"</formula>
    </cfRule>
  </conditionalFormatting>
  <conditionalFormatting sqref="A1:G1 C2:G753">
    <cfRule type="cellIs" dxfId="3" priority="9" operator="equal">
      <formula>"-"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3"/>
  <sheetViews>
    <sheetView topLeftCell="A6" zoomScaleNormal="100" workbookViewId="0">
      <selection activeCell="G12" sqref="G12"/>
    </sheetView>
  </sheetViews>
  <sheetFormatPr baseColWidth="10" defaultColWidth="8.85546875" defaultRowHeight="10.5" customHeight="1"/>
  <cols>
    <col min="1" max="1" width="22" style="184" customWidth="1"/>
    <col min="2" max="2" width="35" style="184" customWidth="1"/>
    <col min="3" max="3" width="10.7109375" style="184" customWidth="1"/>
    <col min="4" max="4" width="10.140625" style="184" customWidth="1"/>
    <col min="5" max="5" width="11.28515625" style="184" customWidth="1"/>
    <col min="6" max="6" width="12.28515625" style="184" customWidth="1"/>
    <col min="7" max="7" width="10.7109375" style="184" customWidth="1"/>
    <col min="8" max="8" width="7.5703125" style="184" customWidth="1"/>
    <col min="9" max="10" width="0" style="184" hidden="1" customWidth="1"/>
    <col min="11" max="16384" width="8.85546875" style="184"/>
  </cols>
  <sheetData>
    <row r="1" spans="1:10" s="200" customFormat="1" ht="12" hidden="1">
      <c r="A1" s="640"/>
      <c r="B1" s="641" t="s">
        <v>1483</v>
      </c>
      <c r="C1" s="642" t="s">
        <v>1484</v>
      </c>
      <c r="D1" s="642" t="s">
        <v>1485</v>
      </c>
      <c r="E1" s="640"/>
      <c r="F1" s="640" t="s">
        <v>1486</v>
      </c>
      <c r="H1" s="640"/>
    </row>
    <row r="2" spans="1:10" s="193" customFormat="1" ht="13" hidden="1">
      <c r="A2" s="643" t="s">
        <v>1487</v>
      </c>
      <c r="B2" s="644" t="s">
        <v>1487</v>
      </c>
      <c r="C2" s="644"/>
      <c r="D2" s="640"/>
      <c r="E2" s="640"/>
      <c r="F2" s="640"/>
      <c r="G2" s="200"/>
      <c r="H2" s="200"/>
    </row>
    <row r="3" spans="1:10" s="198" customFormat="1" ht="13" hidden="1">
      <c r="A3" s="645" t="s">
        <v>1488</v>
      </c>
      <c r="B3" s="646" t="s">
        <v>1488</v>
      </c>
      <c r="C3" s="646"/>
      <c r="D3" s="646"/>
      <c r="E3" s="646"/>
      <c r="F3" s="646"/>
      <c r="G3" s="199"/>
      <c r="H3" s="199"/>
      <c r="I3" s="193"/>
    </row>
    <row r="4" spans="1:10" s="193" customFormat="1" ht="13" hidden="1">
      <c r="A4" s="793" t="s">
        <v>1489</v>
      </c>
      <c r="B4" s="195"/>
      <c r="C4" s="197"/>
      <c r="D4" s="197"/>
      <c r="F4" s="194"/>
      <c r="G4" s="194"/>
      <c r="H4" s="194"/>
    </row>
    <row r="5" spans="1:10" s="193" customFormat="1" ht="13" hidden="1">
      <c r="A5" s="196" t="s">
        <v>1490</v>
      </c>
      <c r="B5" s="195"/>
      <c r="C5" s="640" t="e">
        <f ca="1">TEXT(MONTHADD($C$1,-MOD(MONTH($C$1)-1,3)),"mm/dd/yyyy")</f>
        <v>#NAME?</v>
      </c>
      <c r="D5" s="640" t="e">
        <f ca="1">TEXT(MONTHADD($D$1,-MOD(MONTH($D$1)-1,3)),"mm/dd/yyyy")</f>
        <v>#NAME?</v>
      </c>
      <c r="F5" s="194"/>
      <c r="G5" s="194"/>
      <c r="H5" s="194"/>
    </row>
    <row r="6" spans="1:10" s="186" customFormat="1" ht="13">
      <c r="A6" s="201"/>
      <c r="B6" s="201"/>
      <c r="C6" s="201"/>
      <c r="D6" s="201"/>
      <c r="E6" s="201"/>
      <c r="F6" s="201"/>
      <c r="G6" s="201"/>
      <c r="H6" s="192"/>
      <c r="I6" s="191" t="s">
        <v>1491</v>
      </c>
    </row>
    <row r="7" spans="1:10" s="186" customFormat="1" ht="14">
      <c r="A7" s="202"/>
      <c r="B7" s="202"/>
      <c r="C7" s="202"/>
      <c r="D7" s="202"/>
      <c r="E7" s="202"/>
      <c r="F7" s="202"/>
      <c r="G7" s="202"/>
      <c r="H7" s="188"/>
      <c r="I7" s="189">
        <v>1</v>
      </c>
    </row>
    <row r="8" spans="1:10" s="185" customFormat="1" ht="14">
      <c r="A8" s="202"/>
      <c r="B8" s="202"/>
      <c r="C8" s="202"/>
      <c r="D8" s="202"/>
      <c r="E8" s="202"/>
      <c r="F8" s="202"/>
      <c r="G8" s="202"/>
      <c r="H8" s="188"/>
      <c r="I8" s="189">
        <v>1</v>
      </c>
    </row>
    <row r="9" spans="1:10" s="190" customFormat="1" ht="14">
      <c r="A9" s="202"/>
      <c r="B9" s="202"/>
      <c r="C9" s="202"/>
      <c r="D9" s="202"/>
      <c r="E9" s="202"/>
      <c r="F9" s="202"/>
      <c r="G9" s="202"/>
      <c r="H9" s="188"/>
      <c r="I9" s="189">
        <v>1</v>
      </c>
    </row>
    <row r="10" spans="1:10" s="186" customFormat="1" ht="9" customHeight="1">
      <c r="A10" s="202"/>
      <c r="B10" s="202"/>
      <c r="C10" s="202"/>
      <c r="D10" s="202"/>
      <c r="E10" s="202"/>
      <c r="F10" s="202"/>
      <c r="G10" s="202"/>
      <c r="H10" s="188"/>
      <c r="I10" s="189">
        <v>1</v>
      </c>
    </row>
    <row r="11" spans="1:10" s="186" customFormat="1" ht="14.25" customHeight="1">
      <c r="A11" s="263"/>
      <c r="B11" s="970" t="s">
        <v>1492</v>
      </c>
      <c r="C11" s="263"/>
      <c r="D11" s="263"/>
      <c r="E11" s="264" t="s">
        <v>1493</v>
      </c>
      <c r="F11" s="264" t="s">
        <v>1493</v>
      </c>
      <c r="G11" s="875" t="s">
        <v>2333</v>
      </c>
      <c r="H11" s="712"/>
      <c r="I11" s="189">
        <v>1</v>
      </c>
    </row>
    <row r="12" spans="1:10" s="186" customFormat="1" ht="24" customHeight="1">
      <c r="A12" s="265"/>
      <c r="B12" s="971"/>
      <c r="C12" s="874" t="s">
        <v>2329</v>
      </c>
      <c r="D12" s="874" t="s">
        <v>2332</v>
      </c>
      <c r="E12" s="874" t="s">
        <v>3192</v>
      </c>
      <c r="F12" s="874" t="s">
        <v>3192</v>
      </c>
      <c r="G12" s="265" t="s">
        <v>1494</v>
      </c>
      <c r="H12" s="712"/>
      <c r="I12" s="189">
        <v>1</v>
      </c>
    </row>
    <row r="13" spans="1:10" s="186" customFormat="1" ht="34.5" customHeight="1">
      <c r="A13" s="266" t="s">
        <v>1495</v>
      </c>
      <c r="B13" s="267" t="str">
        <f>"Budget "&amp;TEXT($H$12,"0000")</f>
        <v>Budget 0000</v>
      </c>
      <c r="C13" s="266" t="s">
        <v>1496</v>
      </c>
      <c r="D13" s="266" t="s">
        <v>1496</v>
      </c>
      <c r="E13" s="268" t="s">
        <v>1496</v>
      </c>
      <c r="F13" s="268" t="s">
        <v>1497</v>
      </c>
      <c r="G13" s="268" t="s">
        <v>1498</v>
      </c>
      <c r="H13" s="712"/>
      <c r="I13" s="647">
        <v>1</v>
      </c>
    </row>
    <row r="14" spans="1:10" s="186" customFormat="1" ht="15.75" customHeight="1">
      <c r="A14" s="295"/>
      <c r="B14" s="295"/>
      <c r="C14" s="295"/>
      <c r="D14" s="295"/>
      <c r="E14" s="295"/>
      <c r="F14" s="295"/>
      <c r="G14" s="295"/>
      <c r="H14"/>
    </row>
    <row r="15" spans="1:10" s="186" customFormat="1" ht="13">
      <c r="A15" s="775"/>
      <c r="B15" s="775"/>
      <c r="C15" s="776"/>
      <c r="D15" s="776"/>
      <c r="E15" s="776"/>
      <c r="F15" s="776"/>
      <c r="G15" s="776"/>
      <c r="H15" s="763"/>
    </row>
    <row r="16" spans="1:10" s="186" customFormat="1" ht="12.75" hidden="1" customHeight="1">
      <c r="A16" s="775" t="s">
        <v>1499</v>
      </c>
      <c r="B16" s="775" t="s">
        <v>1500</v>
      </c>
      <c r="C16" s="776" t="s">
        <v>1483</v>
      </c>
      <c r="D16" s="776" t="s">
        <v>1483</v>
      </c>
      <c r="E16" s="776" t="s">
        <v>1483</v>
      </c>
      <c r="F16" s="776" t="s">
        <v>1483</v>
      </c>
      <c r="G16" s="776" t="s">
        <v>1483</v>
      </c>
      <c r="H16" s="763"/>
      <c r="I16" s="186">
        <v>1</v>
      </c>
      <c r="J16" s="186">
        <v>1133606</v>
      </c>
    </row>
    <row r="17" spans="1:10" s="186" customFormat="1" ht="13">
      <c r="A17" s="775"/>
      <c r="B17" s="775"/>
      <c r="C17" s="776"/>
      <c r="D17" s="776"/>
      <c r="E17" s="776"/>
      <c r="F17" s="776"/>
      <c r="G17" s="776"/>
      <c r="H17" s="763"/>
    </row>
    <row r="18" spans="1:10" s="186" customFormat="1" ht="12.75" hidden="1" customHeight="1">
      <c r="A18" s="775" t="s">
        <v>1499</v>
      </c>
      <c r="B18" s="775" t="s">
        <v>1501</v>
      </c>
      <c r="C18" s="776" t="s">
        <v>1483</v>
      </c>
      <c r="D18" s="776" t="s">
        <v>1483</v>
      </c>
      <c r="E18" s="776" t="s">
        <v>1483</v>
      </c>
      <c r="F18" s="776" t="s">
        <v>1483</v>
      </c>
      <c r="G18" s="776" t="s">
        <v>1483</v>
      </c>
      <c r="H18" s="763"/>
      <c r="I18" s="186">
        <v>1</v>
      </c>
      <c r="J18" s="186">
        <v>1133607</v>
      </c>
    </row>
    <row r="19" spans="1:10" s="186" customFormat="1" ht="13">
      <c r="A19" s="775"/>
      <c r="B19" s="775"/>
      <c r="C19" s="776"/>
      <c r="D19" s="776"/>
      <c r="E19" s="776"/>
      <c r="F19" s="776"/>
      <c r="G19" s="776"/>
      <c r="H19" s="763"/>
    </row>
    <row r="20" spans="1:10" s="186" customFormat="1" ht="13">
      <c r="A20" s="777" t="s">
        <v>463</v>
      </c>
      <c r="B20" s="777" t="s">
        <v>1502</v>
      </c>
      <c r="C20" s="778" t="s">
        <v>1483</v>
      </c>
      <c r="D20" s="778" t="s">
        <v>1483</v>
      </c>
      <c r="E20" s="778" t="s">
        <v>1483</v>
      </c>
      <c r="F20" s="778" t="s">
        <v>1483</v>
      </c>
      <c r="G20" s="778" t="s">
        <v>1483</v>
      </c>
      <c r="H20" s="779"/>
      <c r="I20" s="780">
        <v>1</v>
      </c>
      <c r="J20" s="186">
        <v>1133608</v>
      </c>
    </row>
    <row r="21" spans="1:10" s="186" customFormat="1" ht="13">
      <c r="A21" s="775"/>
      <c r="B21" s="775"/>
      <c r="C21" s="776"/>
      <c r="D21" s="776"/>
      <c r="E21" s="776"/>
      <c r="F21" s="776"/>
      <c r="G21" s="776"/>
      <c r="H21" s="763"/>
    </row>
    <row r="22" spans="1:10" s="186" customFormat="1" ht="13">
      <c r="A22" s="269" t="s">
        <v>465</v>
      </c>
      <c r="B22" s="269" t="s">
        <v>1503</v>
      </c>
      <c r="C22" s="270" t="s">
        <v>1483</v>
      </c>
      <c r="D22" s="270" t="s">
        <v>1483</v>
      </c>
      <c r="E22" s="270" t="s">
        <v>1483</v>
      </c>
      <c r="F22" s="270" t="s">
        <v>1483</v>
      </c>
      <c r="G22" s="270" t="s">
        <v>1483</v>
      </c>
      <c r="H22" s="713"/>
      <c r="I22" s="187">
        <v>1</v>
      </c>
      <c r="J22" s="186">
        <v>1133609</v>
      </c>
    </row>
    <row r="23" spans="1:10" s="186" customFormat="1" ht="13">
      <c r="A23" s="775" t="s">
        <v>467</v>
      </c>
      <c r="B23" s="775" t="s">
        <v>1504</v>
      </c>
      <c r="C23" s="776">
        <v>8599731.1999999993</v>
      </c>
      <c r="D23" s="776">
        <v>8693546.5700000003</v>
      </c>
      <c r="E23" s="776">
        <v>6012298.1699999999</v>
      </c>
      <c r="F23" s="776">
        <v>6044653.3600000003</v>
      </c>
      <c r="G23" s="776">
        <v>9066980</v>
      </c>
      <c r="H23" s="763"/>
      <c r="I23" s="186">
        <f t="shared" ref="I23:I54" si="0">C23+D23+E23+F23+G23</f>
        <v>38417209.299999997</v>
      </c>
      <c r="J23" s="186">
        <v>1133610</v>
      </c>
    </row>
    <row r="24" spans="1:10" s="186" customFormat="1" ht="12.75" customHeight="1">
      <c r="A24" s="775" t="s">
        <v>469</v>
      </c>
      <c r="B24" s="775" t="s">
        <v>1505</v>
      </c>
      <c r="C24" s="776">
        <v>0</v>
      </c>
      <c r="D24" s="776">
        <v>0</v>
      </c>
      <c r="E24" s="776">
        <v>0</v>
      </c>
      <c r="F24" s="776">
        <v>0</v>
      </c>
      <c r="G24" s="776">
        <v>0</v>
      </c>
      <c r="H24" s="763"/>
      <c r="I24" s="186">
        <f t="shared" si="0"/>
        <v>0</v>
      </c>
      <c r="J24" s="186">
        <v>1133611</v>
      </c>
    </row>
    <row r="25" spans="1:10" s="186" customFormat="1" ht="12.75" customHeight="1">
      <c r="A25" s="775" t="s">
        <v>471</v>
      </c>
      <c r="B25" s="775" t="s">
        <v>1506</v>
      </c>
      <c r="C25" s="776">
        <v>0</v>
      </c>
      <c r="D25" s="776">
        <v>0</v>
      </c>
      <c r="E25" s="776">
        <v>0</v>
      </c>
      <c r="F25" s="776">
        <v>0</v>
      </c>
      <c r="G25" s="776">
        <v>0</v>
      </c>
      <c r="H25" s="763"/>
      <c r="I25" s="186">
        <f t="shared" si="0"/>
        <v>0</v>
      </c>
      <c r="J25" s="186">
        <v>1133612</v>
      </c>
    </row>
    <row r="26" spans="1:10" s="186" customFormat="1" ht="12.75" customHeight="1">
      <c r="A26" s="775" t="s">
        <v>1507</v>
      </c>
      <c r="B26" s="775" t="s">
        <v>1508</v>
      </c>
      <c r="C26" s="776">
        <v>0</v>
      </c>
      <c r="D26" s="776">
        <v>0</v>
      </c>
      <c r="E26" s="776">
        <v>0</v>
      </c>
      <c r="F26" s="776">
        <v>0</v>
      </c>
      <c r="G26" s="776">
        <v>0</v>
      </c>
      <c r="H26" s="763"/>
      <c r="I26" s="186">
        <f t="shared" si="0"/>
        <v>0</v>
      </c>
      <c r="J26" s="186">
        <v>1133613</v>
      </c>
    </row>
    <row r="27" spans="1:10" s="186" customFormat="1" ht="12.75" customHeight="1">
      <c r="A27" s="775" t="s">
        <v>473</v>
      </c>
      <c r="B27" s="775" t="s">
        <v>1509</v>
      </c>
      <c r="C27" s="776">
        <v>0</v>
      </c>
      <c r="D27" s="776">
        <v>0</v>
      </c>
      <c r="E27" s="776">
        <v>0</v>
      </c>
      <c r="F27" s="776">
        <v>0</v>
      </c>
      <c r="G27" s="776">
        <v>0</v>
      </c>
      <c r="H27" s="763"/>
      <c r="I27" s="186">
        <f t="shared" si="0"/>
        <v>0</v>
      </c>
      <c r="J27" s="186">
        <v>1133614</v>
      </c>
    </row>
    <row r="28" spans="1:10" s="186" customFormat="1" ht="12.75" customHeight="1">
      <c r="A28" s="775" t="s">
        <v>475</v>
      </c>
      <c r="B28" s="775" t="s">
        <v>476</v>
      </c>
      <c r="C28" s="776">
        <v>0</v>
      </c>
      <c r="D28" s="776">
        <v>0</v>
      </c>
      <c r="E28" s="776">
        <v>0</v>
      </c>
      <c r="F28" s="776">
        <v>0</v>
      </c>
      <c r="G28" s="776">
        <v>0</v>
      </c>
      <c r="H28" s="763"/>
      <c r="I28" s="186">
        <f t="shared" si="0"/>
        <v>0</v>
      </c>
      <c r="J28" s="186">
        <v>1133615</v>
      </c>
    </row>
    <row r="29" spans="1:10" s="186" customFormat="1" ht="12.75" customHeight="1">
      <c r="A29" s="775" t="s">
        <v>477</v>
      </c>
      <c r="B29" s="775" t="s">
        <v>1510</v>
      </c>
      <c r="C29" s="776">
        <v>0</v>
      </c>
      <c r="D29" s="776">
        <v>0</v>
      </c>
      <c r="E29" s="776">
        <v>0</v>
      </c>
      <c r="F29" s="776">
        <v>0</v>
      </c>
      <c r="G29" s="776">
        <v>0</v>
      </c>
      <c r="H29" s="763"/>
      <c r="I29" s="186">
        <f t="shared" si="0"/>
        <v>0</v>
      </c>
      <c r="J29" s="186">
        <v>1133616</v>
      </c>
    </row>
    <row r="30" spans="1:10" s="186" customFormat="1" ht="13">
      <c r="A30" s="775" t="s">
        <v>1511</v>
      </c>
      <c r="B30" s="775" t="s">
        <v>1512</v>
      </c>
      <c r="C30" s="776">
        <v>0</v>
      </c>
      <c r="D30" s="776">
        <v>0</v>
      </c>
      <c r="E30" s="776">
        <v>0</v>
      </c>
      <c r="F30" s="776">
        <v>0</v>
      </c>
      <c r="G30" s="776">
        <v>0</v>
      </c>
      <c r="H30" s="763"/>
      <c r="I30" s="186">
        <f t="shared" si="0"/>
        <v>0</v>
      </c>
      <c r="J30" s="186">
        <v>1133617</v>
      </c>
    </row>
    <row r="31" spans="1:10" s="186" customFormat="1" ht="12.75" customHeight="1">
      <c r="A31" s="775" t="s">
        <v>479</v>
      </c>
      <c r="B31" s="775" t="s">
        <v>1513</v>
      </c>
      <c r="C31" s="776">
        <v>0</v>
      </c>
      <c r="D31" s="776">
        <v>0</v>
      </c>
      <c r="E31" s="776">
        <v>0</v>
      </c>
      <c r="F31" s="776">
        <v>0</v>
      </c>
      <c r="G31" s="776">
        <v>0</v>
      </c>
      <c r="H31" s="763"/>
      <c r="I31" s="186">
        <f t="shared" si="0"/>
        <v>0</v>
      </c>
      <c r="J31" s="186">
        <v>1133618</v>
      </c>
    </row>
    <row r="32" spans="1:10" s="186" customFormat="1" ht="12.75" customHeight="1">
      <c r="A32" s="775" t="s">
        <v>481</v>
      </c>
      <c r="B32" s="775" t="s">
        <v>1514</v>
      </c>
      <c r="C32" s="776">
        <v>52258.06</v>
      </c>
      <c r="D32" s="776">
        <v>54000</v>
      </c>
      <c r="E32" s="776">
        <v>36000</v>
      </c>
      <c r="F32" s="776">
        <v>36000</v>
      </c>
      <c r="G32" s="776">
        <v>54000</v>
      </c>
      <c r="H32" s="763"/>
      <c r="I32" s="186">
        <f t="shared" si="0"/>
        <v>232258.06</v>
      </c>
      <c r="J32" s="186">
        <v>1133619</v>
      </c>
    </row>
    <row r="33" spans="1:10" s="186" customFormat="1" ht="12.75" customHeight="1">
      <c r="A33" s="775" t="s">
        <v>1515</v>
      </c>
      <c r="B33" s="775" t="s">
        <v>1516</v>
      </c>
      <c r="C33" s="776">
        <v>0</v>
      </c>
      <c r="D33" s="776">
        <v>0</v>
      </c>
      <c r="E33" s="776">
        <v>0</v>
      </c>
      <c r="F33" s="776">
        <v>0</v>
      </c>
      <c r="G33" s="776">
        <v>0</v>
      </c>
      <c r="H33" s="763"/>
      <c r="I33" s="186">
        <f t="shared" si="0"/>
        <v>0</v>
      </c>
      <c r="J33" s="186">
        <v>1133620</v>
      </c>
    </row>
    <row r="34" spans="1:10" s="186" customFormat="1" ht="12.75" customHeight="1">
      <c r="A34" s="775" t="s">
        <v>1517</v>
      </c>
      <c r="B34" s="775" t="s">
        <v>1518</v>
      </c>
      <c r="C34" s="776">
        <v>0</v>
      </c>
      <c r="D34" s="776">
        <v>0</v>
      </c>
      <c r="E34" s="776">
        <v>0</v>
      </c>
      <c r="F34" s="776">
        <v>0</v>
      </c>
      <c r="G34" s="776">
        <v>0</v>
      </c>
      <c r="H34" s="763"/>
      <c r="I34" s="186">
        <f t="shared" si="0"/>
        <v>0</v>
      </c>
      <c r="J34" s="186">
        <v>1133621</v>
      </c>
    </row>
    <row r="35" spans="1:10" s="186" customFormat="1" ht="13">
      <c r="A35" s="775" t="s">
        <v>1519</v>
      </c>
      <c r="B35" s="775" t="s">
        <v>1520</v>
      </c>
      <c r="C35" s="776">
        <v>0</v>
      </c>
      <c r="D35" s="776">
        <v>0</v>
      </c>
      <c r="E35" s="776">
        <v>0</v>
      </c>
      <c r="F35" s="776">
        <v>0</v>
      </c>
      <c r="G35" s="776">
        <v>0</v>
      </c>
      <c r="H35" s="763"/>
      <c r="I35" s="186">
        <f t="shared" si="0"/>
        <v>0</v>
      </c>
      <c r="J35" s="186">
        <v>1133622</v>
      </c>
    </row>
    <row r="36" spans="1:10" s="186" customFormat="1" ht="13">
      <c r="A36" s="775" t="s">
        <v>483</v>
      </c>
      <c r="B36" s="775" t="s">
        <v>1521</v>
      </c>
      <c r="C36" s="776">
        <v>0</v>
      </c>
      <c r="D36" s="776">
        <v>0</v>
      </c>
      <c r="E36" s="776">
        <v>0</v>
      </c>
      <c r="F36" s="776">
        <v>0</v>
      </c>
      <c r="G36" s="776">
        <v>0</v>
      </c>
      <c r="H36" s="763"/>
      <c r="I36" s="186">
        <f t="shared" si="0"/>
        <v>0</v>
      </c>
      <c r="J36" s="186">
        <v>1133623</v>
      </c>
    </row>
    <row r="37" spans="1:10" s="186" customFormat="1" ht="13">
      <c r="A37" s="775" t="s">
        <v>485</v>
      </c>
      <c r="B37" s="775" t="s">
        <v>1522</v>
      </c>
      <c r="C37" s="776">
        <v>0</v>
      </c>
      <c r="D37" s="776">
        <v>0</v>
      </c>
      <c r="E37" s="776">
        <v>0</v>
      </c>
      <c r="F37" s="776">
        <v>0</v>
      </c>
      <c r="G37" s="776">
        <v>0</v>
      </c>
      <c r="H37" s="763"/>
      <c r="I37" s="186">
        <f t="shared" si="0"/>
        <v>0</v>
      </c>
      <c r="J37" s="186">
        <v>1133624</v>
      </c>
    </row>
    <row r="38" spans="1:10" s="186" customFormat="1" ht="13">
      <c r="A38" s="775" t="s">
        <v>487</v>
      </c>
      <c r="B38" s="775" t="s">
        <v>1523</v>
      </c>
      <c r="C38" s="776">
        <v>0</v>
      </c>
      <c r="D38" s="776">
        <v>0</v>
      </c>
      <c r="E38" s="776">
        <v>0</v>
      </c>
      <c r="F38" s="776">
        <v>0</v>
      </c>
      <c r="G38" s="776">
        <v>0</v>
      </c>
      <c r="H38" s="763"/>
      <c r="I38" s="186">
        <f t="shared" si="0"/>
        <v>0</v>
      </c>
      <c r="J38" s="186">
        <v>1133625</v>
      </c>
    </row>
    <row r="39" spans="1:10" s="186" customFormat="1" ht="12.75" customHeight="1">
      <c r="A39" s="775" t="s">
        <v>489</v>
      </c>
      <c r="B39" s="775" t="s">
        <v>1524</v>
      </c>
      <c r="C39" s="776">
        <v>0</v>
      </c>
      <c r="D39" s="776">
        <v>0</v>
      </c>
      <c r="E39" s="776">
        <v>0</v>
      </c>
      <c r="F39" s="776">
        <v>0</v>
      </c>
      <c r="G39" s="776">
        <v>0</v>
      </c>
      <c r="H39" s="763"/>
      <c r="I39" s="186">
        <f t="shared" si="0"/>
        <v>0</v>
      </c>
      <c r="J39" s="186">
        <v>1133626</v>
      </c>
    </row>
    <row r="40" spans="1:10" s="186" customFormat="1" ht="13">
      <c r="A40" s="775" t="s">
        <v>491</v>
      </c>
      <c r="B40" s="775" t="s">
        <v>1525</v>
      </c>
      <c r="C40" s="776">
        <v>-3293.61</v>
      </c>
      <c r="D40" s="776">
        <v>34468.79</v>
      </c>
      <c r="E40" s="776">
        <v>19769.7</v>
      </c>
      <c r="F40" s="776">
        <v>0</v>
      </c>
      <c r="G40" s="776">
        <v>0</v>
      </c>
      <c r="H40" s="763"/>
      <c r="I40" s="186">
        <f t="shared" si="0"/>
        <v>50944.880000000005</v>
      </c>
      <c r="J40" s="186">
        <v>1133627</v>
      </c>
    </row>
    <row r="41" spans="1:10" s="186" customFormat="1" ht="12.75" customHeight="1">
      <c r="A41" s="775" t="s">
        <v>493</v>
      </c>
      <c r="B41" s="775" t="s">
        <v>1526</v>
      </c>
      <c r="C41" s="776">
        <v>-780492.77</v>
      </c>
      <c r="D41" s="776">
        <v>-753032.06</v>
      </c>
      <c r="E41" s="776">
        <v>-750029.91</v>
      </c>
      <c r="F41" s="776">
        <v>-770999</v>
      </c>
      <c r="G41" s="776">
        <v>-770999</v>
      </c>
      <c r="H41" s="763"/>
      <c r="I41" s="186">
        <f t="shared" si="0"/>
        <v>-3825552.74</v>
      </c>
      <c r="J41" s="186">
        <v>1133628</v>
      </c>
    </row>
    <row r="42" spans="1:10" s="186" customFormat="1" ht="12.75" customHeight="1">
      <c r="A42" s="775" t="s">
        <v>495</v>
      </c>
      <c r="B42" s="775" t="s">
        <v>1527</v>
      </c>
      <c r="C42" s="776">
        <v>0</v>
      </c>
      <c r="D42" s="776">
        <v>-19477.8</v>
      </c>
      <c r="E42" s="776">
        <v>-16722.25</v>
      </c>
      <c r="F42" s="776">
        <v>-22115</v>
      </c>
      <c r="G42" s="776">
        <v>-22115</v>
      </c>
      <c r="H42" s="763"/>
      <c r="I42" s="186">
        <f t="shared" si="0"/>
        <v>-80430.05</v>
      </c>
      <c r="J42" s="186">
        <v>1133629</v>
      </c>
    </row>
    <row r="43" spans="1:10" s="186" customFormat="1" ht="12.75" customHeight="1">
      <c r="A43" s="775" t="s">
        <v>497</v>
      </c>
      <c r="B43" s="775" t="s">
        <v>1528</v>
      </c>
      <c r="C43" s="776">
        <v>-9306.48</v>
      </c>
      <c r="D43" s="776">
        <v>-13254.87</v>
      </c>
      <c r="E43" s="776">
        <v>-21359.39</v>
      </c>
      <c r="F43" s="776">
        <v>-13520</v>
      </c>
      <c r="G43" s="776">
        <v>-13520</v>
      </c>
      <c r="H43" s="763"/>
      <c r="I43" s="186">
        <f t="shared" si="0"/>
        <v>-70960.739999999991</v>
      </c>
      <c r="J43" s="186">
        <v>1133630</v>
      </c>
    </row>
    <row r="44" spans="1:10" s="186" customFormat="1" ht="12.75" customHeight="1">
      <c r="A44" s="775" t="s">
        <v>499</v>
      </c>
      <c r="B44" s="775" t="s">
        <v>1529</v>
      </c>
      <c r="C44" s="776">
        <v>0</v>
      </c>
      <c r="D44" s="776">
        <v>0</v>
      </c>
      <c r="E44" s="776">
        <v>0</v>
      </c>
      <c r="F44" s="776">
        <v>0</v>
      </c>
      <c r="G44" s="776">
        <v>0</v>
      </c>
      <c r="H44" s="763"/>
      <c r="I44" s="186">
        <f t="shared" si="0"/>
        <v>0</v>
      </c>
      <c r="J44" s="186">
        <v>1133631</v>
      </c>
    </row>
    <row r="45" spans="1:10" s="186" customFormat="1" ht="12.75" customHeight="1">
      <c r="A45" s="775" t="s">
        <v>501</v>
      </c>
      <c r="B45" s="775" t="s">
        <v>1530</v>
      </c>
      <c r="C45" s="776">
        <v>-18760.419999999998</v>
      </c>
      <c r="D45" s="776">
        <v>-18630.48</v>
      </c>
      <c r="E45" s="776">
        <v>-19282.63</v>
      </c>
      <c r="F45" s="776">
        <v>-19003</v>
      </c>
      <c r="G45" s="776">
        <v>-19003</v>
      </c>
      <c r="H45" s="763"/>
      <c r="I45" s="186">
        <f t="shared" si="0"/>
        <v>-94679.53</v>
      </c>
      <c r="J45" s="186">
        <v>1133632</v>
      </c>
    </row>
    <row r="46" spans="1:10" s="186" customFormat="1" ht="13">
      <c r="A46" s="775" t="s">
        <v>503</v>
      </c>
      <c r="B46" s="775" t="s">
        <v>1531</v>
      </c>
      <c r="C46" s="776">
        <v>0</v>
      </c>
      <c r="D46" s="776">
        <v>0</v>
      </c>
      <c r="E46" s="776">
        <v>0</v>
      </c>
      <c r="F46" s="776">
        <v>0</v>
      </c>
      <c r="G46" s="776">
        <v>0</v>
      </c>
      <c r="H46" s="763"/>
      <c r="I46" s="186">
        <f t="shared" si="0"/>
        <v>0</v>
      </c>
      <c r="J46" s="186">
        <v>1133633</v>
      </c>
    </row>
    <row r="47" spans="1:10" s="186" customFormat="1" ht="12.75" customHeight="1">
      <c r="A47" s="775" t="s">
        <v>505</v>
      </c>
      <c r="B47" s="775" t="s">
        <v>1532</v>
      </c>
      <c r="C47" s="776">
        <v>0</v>
      </c>
      <c r="D47" s="776">
        <v>0</v>
      </c>
      <c r="E47" s="776">
        <v>0</v>
      </c>
      <c r="F47" s="776">
        <v>0</v>
      </c>
      <c r="G47" s="776">
        <v>0</v>
      </c>
      <c r="H47" s="763"/>
      <c r="I47" s="186">
        <f t="shared" si="0"/>
        <v>0</v>
      </c>
      <c r="J47" s="186">
        <v>1133634</v>
      </c>
    </row>
    <row r="48" spans="1:10" s="186" customFormat="1" ht="12.75" customHeight="1">
      <c r="A48" s="775" t="s">
        <v>1533</v>
      </c>
      <c r="B48" s="775" t="s">
        <v>1534</v>
      </c>
      <c r="C48" s="776">
        <v>0</v>
      </c>
      <c r="D48" s="776">
        <v>0</v>
      </c>
      <c r="E48" s="776">
        <v>0</v>
      </c>
      <c r="F48" s="776">
        <v>0</v>
      </c>
      <c r="G48" s="776">
        <v>0</v>
      </c>
      <c r="H48" s="763"/>
      <c r="I48" s="186">
        <f t="shared" si="0"/>
        <v>0</v>
      </c>
      <c r="J48" s="186">
        <v>1133635</v>
      </c>
    </row>
    <row r="49" spans="1:10" s="186" customFormat="1" ht="12.75" customHeight="1">
      <c r="A49" s="775" t="s">
        <v>507</v>
      </c>
      <c r="B49" s="775" t="s">
        <v>1535</v>
      </c>
      <c r="C49" s="776">
        <v>0</v>
      </c>
      <c r="D49" s="776">
        <v>0</v>
      </c>
      <c r="E49" s="776">
        <v>0</v>
      </c>
      <c r="F49" s="776">
        <v>0</v>
      </c>
      <c r="G49" s="776">
        <v>0</v>
      </c>
      <c r="H49" s="763"/>
      <c r="I49" s="186">
        <f t="shared" si="0"/>
        <v>0</v>
      </c>
      <c r="J49" s="186">
        <v>1133636</v>
      </c>
    </row>
    <row r="50" spans="1:10" s="186" customFormat="1" ht="12.75" customHeight="1">
      <c r="A50" s="775" t="s">
        <v>509</v>
      </c>
      <c r="B50" s="775" t="s">
        <v>1536</v>
      </c>
      <c r="C50" s="776">
        <v>0</v>
      </c>
      <c r="D50" s="776">
        <v>0</v>
      </c>
      <c r="E50" s="776">
        <v>0</v>
      </c>
      <c r="F50" s="776">
        <v>0</v>
      </c>
      <c r="G50" s="776">
        <v>0</v>
      </c>
      <c r="H50" s="763"/>
      <c r="I50" s="186">
        <f t="shared" si="0"/>
        <v>0</v>
      </c>
      <c r="J50" s="186">
        <v>1133637</v>
      </c>
    </row>
    <row r="51" spans="1:10" s="186" customFormat="1" ht="13">
      <c r="A51" s="775" t="s">
        <v>511</v>
      </c>
      <c r="B51" s="775" t="s">
        <v>1537</v>
      </c>
      <c r="C51" s="776">
        <v>49587.519999999997</v>
      </c>
      <c r="D51" s="776">
        <v>57860.18</v>
      </c>
      <c r="E51" s="776">
        <v>36115.75</v>
      </c>
      <c r="F51" s="776">
        <v>35320</v>
      </c>
      <c r="G51" s="776">
        <v>52980</v>
      </c>
      <c r="H51" s="763"/>
      <c r="I51" s="186">
        <f t="shared" si="0"/>
        <v>231863.45</v>
      </c>
      <c r="J51" s="186">
        <v>1133638</v>
      </c>
    </row>
    <row r="52" spans="1:10" s="186" customFormat="1" ht="12.75" customHeight="1">
      <c r="A52" s="775" t="s">
        <v>513</v>
      </c>
      <c r="B52" s="775" t="s">
        <v>1538</v>
      </c>
      <c r="C52" s="776">
        <v>6435.02</v>
      </c>
      <c r="D52" s="776">
        <v>4615.0200000000004</v>
      </c>
      <c r="E52" s="776">
        <v>2959.95</v>
      </c>
      <c r="F52" s="776">
        <v>3120</v>
      </c>
      <c r="G52" s="776">
        <v>4680</v>
      </c>
      <c r="H52" s="763"/>
      <c r="I52" s="186">
        <f t="shared" si="0"/>
        <v>21809.99</v>
      </c>
      <c r="J52" s="186">
        <v>1133639</v>
      </c>
    </row>
    <row r="53" spans="1:10" s="186" customFormat="1" ht="12.75" customHeight="1">
      <c r="A53" s="775" t="s">
        <v>515</v>
      </c>
      <c r="B53" s="775" t="s">
        <v>1539</v>
      </c>
      <c r="C53" s="776">
        <v>0</v>
      </c>
      <c r="D53" s="776">
        <v>0</v>
      </c>
      <c r="E53" s="776">
        <v>0</v>
      </c>
      <c r="F53" s="776">
        <v>0</v>
      </c>
      <c r="G53" s="776">
        <v>0</v>
      </c>
      <c r="H53" s="763"/>
      <c r="I53" s="186">
        <f t="shared" si="0"/>
        <v>0</v>
      </c>
      <c r="J53" s="186">
        <v>1133640</v>
      </c>
    </row>
    <row r="54" spans="1:10" s="186" customFormat="1" ht="12.75" customHeight="1">
      <c r="A54" s="775" t="s">
        <v>517</v>
      </c>
      <c r="B54" s="775" t="s">
        <v>1540</v>
      </c>
      <c r="C54" s="776">
        <v>0</v>
      </c>
      <c r="D54" s="776">
        <v>0</v>
      </c>
      <c r="E54" s="776">
        <v>0</v>
      </c>
      <c r="F54" s="776">
        <v>0</v>
      </c>
      <c r="G54" s="776">
        <v>0</v>
      </c>
      <c r="H54" s="763"/>
      <c r="I54" s="186">
        <f t="shared" si="0"/>
        <v>0</v>
      </c>
      <c r="J54" s="186">
        <v>1133641</v>
      </c>
    </row>
    <row r="55" spans="1:10" s="186" customFormat="1" ht="12.75" customHeight="1">
      <c r="A55" s="775" t="s">
        <v>519</v>
      </c>
      <c r="B55" s="775" t="s">
        <v>1541</v>
      </c>
      <c r="C55" s="776">
        <v>0</v>
      </c>
      <c r="D55" s="776">
        <v>0</v>
      </c>
      <c r="E55" s="776">
        <v>0</v>
      </c>
      <c r="F55" s="776">
        <v>0</v>
      </c>
      <c r="G55" s="776">
        <v>0</v>
      </c>
      <c r="H55" s="763"/>
      <c r="I55" s="186">
        <f t="shared" ref="I55:I91" si="1">C55+D55+E55+F55+G55</f>
        <v>0</v>
      </c>
      <c r="J55" s="186">
        <v>1133642</v>
      </c>
    </row>
    <row r="56" spans="1:10" s="186" customFormat="1" ht="12.75" customHeight="1">
      <c r="A56" s="775" t="s">
        <v>521</v>
      </c>
      <c r="B56" s="775" t="s">
        <v>1542</v>
      </c>
      <c r="C56" s="776">
        <v>0</v>
      </c>
      <c r="D56" s="776">
        <v>0</v>
      </c>
      <c r="E56" s="776">
        <v>0</v>
      </c>
      <c r="F56" s="776">
        <v>0</v>
      </c>
      <c r="G56" s="776">
        <v>0</v>
      </c>
      <c r="H56" s="763"/>
      <c r="I56" s="186">
        <f t="shared" si="1"/>
        <v>0</v>
      </c>
      <c r="J56" s="186">
        <v>1133643</v>
      </c>
    </row>
    <row r="57" spans="1:10" s="186" customFormat="1" ht="12.75" customHeight="1">
      <c r="A57" s="775" t="s">
        <v>523</v>
      </c>
      <c r="B57" s="775" t="s">
        <v>1543</v>
      </c>
      <c r="C57" s="776">
        <v>60000</v>
      </c>
      <c r="D57" s="776">
        <v>50000</v>
      </c>
      <c r="E57" s="776">
        <v>49699.94</v>
      </c>
      <c r="F57" s="776">
        <v>35333.360000000001</v>
      </c>
      <c r="G57" s="776">
        <v>53000</v>
      </c>
      <c r="H57" s="763"/>
      <c r="I57" s="186">
        <f t="shared" si="1"/>
        <v>248033.3</v>
      </c>
      <c r="J57" s="186">
        <v>1133644</v>
      </c>
    </row>
    <row r="58" spans="1:10" s="186" customFormat="1" ht="12.75" customHeight="1">
      <c r="A58" s="775" t="s">
        <v>525</v>
      </c>
      <c r="B58" s="775" t="s">
        <v>1544</v>
      </c>
      <c r="C58" s="776">
        <v>0</v>
      </c>
      <c r="D58" s="776">
        <v>0</v>
      </c>
      <c r="E58" s="776">
        <v>0</v>
      </c>
      <c r="F58" s="776">
        <v>0</v>
      </c>
      <c r="G58" s="776">
        <v>0</v>
      </c>
      <c r="H58" s="763"/>
      <c r="I58" s="186">
        <f t="shared" si="1"/>
        <v>0</v>
      </c>
      <c r="J58" s="186">
        <v>1133645</v>
      </c>
    </row>
    <row r="59" spans="1:10" s="186" customFormat="1" ht="12.75" customHeight="1">
      <c r="A59" s="775" t="s">
        <v>527</v>
      </c>
      <c r="B59" s="775" t="s">
        <v>1545</v>
      </c>
      <c r="C59" s="776">
        <v>0</v>
      </c>
      <c r="D59" s="776">
        <v>0</v>
      </c>
      <c r="E59" s="776">
        <v>0</v>
      </c>
      <c r="F59" s="776">
        <v>0</v>
      </c>
      <c r="G59" s="776">
        <v>0</v>
      </c>
      <c r="H59" s="763"/>
      <c r="I59" s="186">
        <f t="shared" si="1"/>
        <v>0</v>
      </c>
      <c r="J59" s="186">
        <v>1133646</v>
      </c>
    </row>
    <row r="60" spans="1:10" s="186" customFormat="1" ht="12.75" customHeight="1">
      <c r="A60" s="775" t="s">
        <v>529</v>
      </c>
      <c r="B60" s="775" t="s">
        <v>1546</v>
      </c>
      <c r="C60" s="776">
        <v>0</v>
      </c>
      <c r="D60" s="776">
        <v>0</v>
      </c>
      <c r="E60" s="776">
        <v>0</v>
      </c>
      <c r="F60" s="776">
        <v>0</v>
      </c>
      <c r="G60" s="776">
        <v>0</v>
      </c>
      <c r="H60" s="763"/>
      <c r="I60" s="186">
        <f t="shared" si="1"/>
        <v>0</v>
      </c>
      <c r="J60" s="186">
        <v>1133647</v>
      </c>
    </row>
    <row r="61" spans="1:10" s="186" customFormat="1" ht="12.75" customHeight="1">
      <c r="A61" s="775" t="s">
        <v>531</v>
      </c>
      <c r="B61" s="775" t="s">
        <v>1547</v>
      </c>
      <c r="C61" s="776">
        <v>0</v>
      </c>
      <c r="D61" s="776">
        <v>0</v>
      </c>
      <c r="E61" s="776">
        <v>0</v>
      </c>
      <c r="F61" s="776">
        <v>0</v>
      </c>
      <c r="G61" s="776">
        <v>0</v>
      </c>
      <c r="H61" s="763"/>
      <c r="I61" s="186">
        <f t="shared" si="1"/>
        <v>0</v>
      </c>
      <c r="J61" s="186">
        <v>1133648</v>
      </c>
    </row>
    <row r="62" spans="1:10" s="186" customFormat="1" ht="13">
      <c r="A62" s="775" t="s">
        <v>533</v>
      </c>
      <c r="B62" s="775" t="s">
        <v>1548</v>
      </c>
      <c r="C62" s="776">
        <v>463643.1</v>
      </c>
      <c r="D62" s="776">
        <v>450963.02</v>
      </c>
      <c r="E62" s="776">
        <v>344059.74</v>
      </c>
      <c r="F62" s="776">
        <v>304000</v>
      </c>
      <c r="G62" s="776">
        <v>456000</v>
      </c>
      <c r="H62" s="763"/>
      <c r="I62" s="186">
        <f t="shared" si="1"/>
        <v>2018665.8599999999</v>
      </c>
      <c r="J62" s="186">
        <v>1133649</v>
      </c>
    </row>
    <row r="63" spans="1:10" s="186" customFormat="1" ht="12.75" customHeight="1">
      <c r="A63" s="775" t="s">
        <v>1549</v>
      </c>
      <c r="B63" s="775" t="s">
        <v>1550</v>
      </c>
      <c r="C63" s="776">
        <v>0</v>
      </c>
      <c r="D63" s="776">
        <v>0</v>
      </c>
      <c r="E63" s="776">
        <v>0</v>
      </c>
      <c r="F63" s="776">
        <v>0</v>
      </c>
      <c r="G63" s="776">
        <v>0</v>
      </c>
      <c r="H63" s="763"/>
      <c r="I63" s="186">
        <f t="shared" si="1"/>
        <v>0</v>
      </c>
      <c r="J63" s="186">
        <v>1133650</v>
      </c>
    </row>
    <row r="64" spans="1:10" s="186" customFormat="1" ht="12.75" customHeight="1">
      <c r="A64" s="775" t="s">
        <v>1551</v>
      </c>
      <c r="B64" s="775" t="s">
        <v>1552</v>
      </c>
      <c r="C64" s="776">
        <v>0</v>
      </c>
      <c r="D64" s="776">
        <v>0</v>
      </c>
      <c r="E64" s="776">
        <v>0</v>
      </c>
      <c r="F64" s="776">
        <v>0</v>
      </c>
      <c r="G64" s="776">
        <v>0</v>
      </c>
      <c r="H64" s="763"/>
      <c r="I64" s="186">
        <f t="shared" si="1"/>
        <v>0</v>
      </c>
      <c r="J64" s="186">
        <v>1133651</v>
      </c>
    </row>
    <row r="65" spans="1:10" s="186" customFormat="1" ht="12.75" customHeight="1">
      <c r="A65" s="775" t="s">
        <v>1553</v>
      </c>
      <c r="B65" s="775" t="s">
        <v>1554</v>
      </c>
      <c r="C65" s="776">
        <v>0</v>
      </c>
      <c r="D65" s="776">
        <v>0</v>
      </c>
      <c r="E65" s="776">
        <v>0</v>
      </c>
      <c r="F65" s="776">
        <v>0</v>
      </c>
      <c r="G65" s="776">
        <v>0</v>
      </c>
      <c r="H65" s="763"/>
      <c r="I65" s="186">
        <f t="shared" si="1"/>
        <v>0</v>
      </c>
      <c r="J65" s="186">
        <v>1133652</v>
      </c>
    </row>
    <row r="66" spans="1:10" s="186" customFormat="1" ht="13">
      <c r="A66" s="775" t="s">
        <v>535</v>
      </c>
      <c r="B66" s="775" t="s">
        <v>1555</v>
      </c>
      <c r="C66" s="776">
        <v>0</v>
      </c>
      <c r="D66" s="776">
        <v>0</v>
      </c>
      <c r="E66" s="776">
        <v>0</v>
      </c>
      <c r="F66" s="776">
        <v>0</v>
      </c>
      <c r="G66" s="776">
        <v>0</v>
      </c>
      <c r="H66" s="763"/>
      <c r="I66" s="186">
        <f t="shared" si="1"/>
        <v>0</v>
      </c>
      <c r="J66" s="186">
        <v>1133653</v>
      </c>
    </row>
    <row r="67" spans="1:10" s="186" customFormat="1" ht="12.75" customHeight="1">
      <c r="A67" s="775" t="s">
        <v>537</v>
      </c>
      <c r="B67" s="775" t="s">
        <v>1556</v>
      </c>
      <c r="C67" s="776">
        <v>0</v>
      </c>
      <c r="D67" s="776">
        <v>0</v>
      </c>
      <c r="E67" s="776">
        <v>0</v>
      </c>
      <c r="F67" s="776">
        <v>0</v>
      </c>
      <c r="G67" s="776">
        <v>0</v>
      </c>
      <c r="H67" s="763"/>
      <c r="I67" s="186">
        <f t="shared" si="1"/>
        <v>0</v>
      </c>
      <c r="J67" s="186">
        <v>1133654</v>
      </c>
    </row>
    <row r="68" spans="1:10" s="186" customFormat="1" ht="12.75" customHeight="1">
      <c r="A68" s="775" t="s">
        <v>539</v>
      </c>
      <c r="B68" s="775" t="s">
        <v>1557</v>
      </c>
      <c r="C68" s="776">
        <v>0</v>
      </c>
      <c r="D68" s="776">
        <v>0</v>
      </c>
      <c r="E68" s="776">
        <v>0</v>
      </c>
      <c r="F68" s="776">
        <v>0</v>
      </c>
      <c r="G68" s="776">
        <v>0</v>
      </c>
      <c r="H68" s="763"/>
      <c r="I68" s="186">
        <f t="shared" si="1"/>
        <v>0</v>
      </c>
      <c r="J68" s="186">
        <v>1133655</v>
      </c>
    </row>
    <row r="69" spans="1:10" s="186" customFormat="1" ht="12.75" customHeight="1">
      <c r="A69" s="775" t="s">
        <v>541</v>
      </c>
      <c r="B69" s="775" t="s">
        <v>1558</v>
      </c>
      <c r="C69" s="776">
        <v>0</v>
      </c>
      <c r="D69" s="776">
        <v>0</v>
      </c>
      <c r="E69" s="776">
        <v>0</v>
      </c>
      <c r="F69" s="776">
        <v>0</v>
      </c>
      <c r="G69" s="776">
        <v>0</v>
      </c>
      <c r="H69" s="763"/>
      <c r="I69" s="186">
        <f t="shared" si="1"/>
        <v>0</v>
      </c>
      <c r="J69" s="186">
        <v>1133656</v>
      </c>
    </row>
    <row r="70" spans="1:10" s="186" customFormat="1" ht="12.75" customHeight="1">
      <c r="A70" s="775" t="s">
        <v>543</v>
      </c>
      <c r="B70" s="775" t="s">
        <v>1559</v>
      </c>
      <c r="C70" s="776">
        <v>0</v>
      </c>
      <c r="D70" s="776">
        <v>0</v>
      </c>
      <c r="E70" s="776">
        <v>0</v>
      </c>
      <c r="F70" s="776">
        <v>0</v>
      </c>
      <c r="G70" s="776">
        <v>0</v>
      </c>
      <c r="H70" s="763"/>
      <c r="I70" s="186">
        <f t="shared" si="1"/>
        <v>0</v>
      </c>
      <c r="J70" s="186">
        <v>1133657</v>
      </c>
    </row>
    <row r="71" spans="1:10" s="186" customFormat="1" ht="12.75" customHeight="1">
      <c r="A71" s="775" t="s">
        <v>545</v>
      </c>
      <c r="B71" s="775" t="s">
        <v>1560</v>
      </c>
      <c r="C71" s="776">
        <v>843348.66</v>
      </c>
      <c r="D71" s="776">
        <v>830532.77</v>
      </c>
      <c r="E71" s="776">
        <v>843076.65</v>
      </c>
      <c r="F71" s="776">
        <v>221858</v>
      </c>
      <c r="G71" s="776">
        <v>221858</v>
      </c>
      <c r="H71" s="763"/>
      <c r="I71" s="186">
        <f t="shared" si="1"/>
        <v>2960674.08</v>
      </c>
      <c r="J71" s="186">
        <v>1133658</v>
      </c>
    </row>
    <row r="72" spans="1:10" s="186" customFormat="1" ht="12.75" customHeight="1">
      <c r="A72" s="775" t="s">
        <v>1561</v>
      </c>
      <c r="B72" s="775" t="s">
        <v>1562</v>
      </c>
      <c r="C72" s="776">
        <v>0</v>
      </c>
      <c r="D72" s="776">
        <v>0</v>
      </c>
      <c r="E72" s="776">
        <v>0</v>
      </c>
      <c r="F72" s="776">
        <v>0</v>
      </c>
      <c r="G72" s="776">
        <v>0</v>
      </c>
      <c r="H72" s="763"/>
      <c r="I72" s="186">
        <f t="shared" si="1"/>
        <v>0</v>
      </c>
      <c r="J72" s="186">
        <v>1133659</v>
      </c>
    </row>
    <row r="73" spans="1:10" s="186" customFormat="1" ht="12.75" customHeight="1">
      <c r="A73" s="775" t="s">
        <v>547</v>
      </c>
      <c r="B73" s="775" t="s">
        <v>1563</v>
      </c>
      <c r="C73" s="776">
        <v>0</v>
      </c>
      <c r="D73" s="776">
        <v>0</v>
      </c>
      <c r="E73" s="776">
        <v>0</v>
      </c>
      <c r="F73" s="776">
        <v>0</v>
      </c>
      <c r="G73" s="776">
        <v>0</v>
      </c>
      <c r="H73" s="763"/>
      <c r="I73" s="186">
        <f t="shared" si="1"/>
        <v>0</v>
      </c>
      <c r="J73" s="186">
        <v>1133660</v>
      </c>
    </row>
    <row r="74" spans="1:10" s="186" customFormat="1" ht="12.75" customHeight="1">
      <c r="A74" s="775" t="s">
        <v>549</v>
      </c>
      <c r="B74" s="775" t="s">
        <v>1564</v>
      </c>
      <c r="C74" s="776">
        <v>0</v>
      </c>
      <c r="D74" s="776">
        <v>0</v>
      </c>
      <c r="E74" s="776">
        <v>0</v>
      </c>
      <c r="F74" s="776">
        <v>0</v>
      </c>
      <c r="G74" s="776">
        <v>0</v>
      </c>
      <c r="H74" s="763"/>
      <c r="I74" s="186">
        <f t="shared" si="1"/>
        <v>0</v>
      </c>
      <c r="J74" s="186">
        <v>1133661</v>
      </c>
    </row>
    <row r="75" spans="1:10" s="186" customFormat="1" ht="12.75" customHeight="1">
      <c r="A75" s="775" t="s">
        <v>551</v>
      </c>
      <c r="B75" s="775" t="s">
        <v>1565</v>
      </c>
      <c r="C75" s="776">
        <v>0</v>
      </c>
      <c r="D75" s="776">
        <v>0</v>
      </c>
      <c r="E75" s="776">
        <v>0</v>
      </c>
      <c r="F75" s="776">
        <v>0</v>
      </c>
      <c r="G75" s="776">
        <v>0</v>
      </c>
      <c r="H75" s="763"/>
      <c r="I75" s="186">
        <f t="shared" si="1"/>
        <v>0</v>
      </c>
      <c r="J75" s="186">
        <v>1133662</v>
      </c>
    </row>
    <row r="76" spans="1:10" s="186" customFormat="1" ht="12.75" customHeight="1">
      <c r="A76" s="775" t="s">
        <v>553</v>
      </c>
      <c r="B76" s="775" t="s">
        <v>1566</v>
      </c>
      <c r="C76" s="776">
        <v>0</v>
      </c>
      <c r="D76" s="776">
        <v>0</v>
      </c>
      <c r="E76" s="776">
        <v>0</v>
      </c>
      <c r="F76" s="776">
        <v>0</v>
      </c>
      <c r="G76" s="776">
        <v>0</v>
      </c>
      <c r="H76" s="763"/>
      <c r="I76" s="186">
        <f t="shared" si="1"/>
        <v>0</v>
      </c>
      <c r="J76" s="186">
        <v>1133663</v>
      </c>
    </row>
    <row r="77" spans="1:10" s="186" customFormat="1" ht="12.75" customHeight="1">
      <c r="A77" s="775" t="s">
        <v>555</v>
      </c>
      <c r="B77" s="775" t="s">
        <v>1567</v>
      </c>
      <c r="C77" s="776">
        <v>0</v>
      </c>
      <c r="D77" s="776">
        <v>0</v>
      </c>
      <c r="E77" s="776">
        <v>0</v>
      </c>
      <c r="F77" s="776">
        <v>0</v>
      </c>
      <c r="G77" s="776">
        <v>0</v>
      </c>
      <c r="H77" s="763"/>
      <c r="I77" s="186">
        <f t="shared" si="1"/>
        <v>0</v>
      </c>
      <c r="J77" s="186">
        <v>1133664</v>
      </c>
    </row>
    <row r="78" spans="1:10" s="186" customFormat="1" ht="12.75" customHeight="1">
      <c r="A78" s="775" t="s">
        <v>557</v>
      </c>
      <c r="B78" s="775" t="s">
        <v>1568</v>
      </c>
      <c r="C78" s="776">
        <v>0</v>
      </c>
      <c r="D78" s="776">
        <v>0</v>
      </c>
      <c r="E78" s="776">
        <v>0</v>
      </c>
      <c r="F78" s="776">
        <v>0</v>
      </c>
      <c r="G78" s="776">
        <v>0</v>
      </c>
      <c r="H78" s="763"/>
      <c r="I78" s="186">
        <f t="shared" si="1"/>
        <v>0</v>
      </c>
      <c r="J78" s="186">
        <v>1133665</v>
      </c>
    </row>
    <row r="79" spans="1:10" s="186" customFormat="1" ht="12.75" customHeight="1">
      <c r="A79" s="775" t="s">
        <v>559</v>
      </c>
      <c r="B79" s="775" t="s">
        <v>1569</v>
      </c>
      <c r="C79" s="776">
        <v>754.35</v>
      </c>
      <c r="D79" s="776">
        <v>754.35</v>
      </c>
      <c r="E79" s="776">
        <v>0</v>
      </c>
      <c r="F79" s="776">
        <v>0</v>
      </c>
      <c r="G79" s="776">
        <v>0</v>
      </c>
      <c r="H79" s="763"/>
      <c r="I79" s="186">
        <f t="shared" si="1"/>
        <v>1508.7</v>
      </c>
      <c r="J79" s="186">
        <v>1133666</v>
      </c>
    </row>
    <row r="80" spans="1:10" s="186" customFormat="1" ht="12.75" customHeight="1">
      <c r="A80" s="775" t="s">
        <v>561</v>
      </c>
      <c r="B80" s="775" t="s">
        <v>1570</v>
      </c>
      <c r="C80" s="776">
        <v>0</v>
      </c>
      <c r="D80" s="776">
        <v>0</v>
      </c>
      <c r="E80" s="776">
        <v>0</v>
      </c>
      <c r="F80" s="776">
        <v>0</v>
      </c>
      <c r="G80" s="776">
        <v>0</v>
      </c>
      <c r="H80" s="763"/>
      <c r="I80" s="186">
        <f t="shared" si="1"/>
        <v>0</v>
      </c>
      <c r="J80" s="186">
        <v>1133667</v>
      </c>
    </row>
    <row r="81" spans="1:10" s="186" customFormat="1" ht="13">
      <c r="A81" s="775" t="s">
        <v>563</v>
      </c>
      <c r="B81" s="775" t="s">
        <v>1571</v>
      </c>
      <c r="C81" s="776">
        <v>0</v>
      </c>
      <c r="D81" s="776">
        <v>0</v>
      </c>
      <c r="E81" s="776">
        <v>0</v>
      </c>
      <c r="F81" s="776">
        <v>0</v>
      </c>
      <c r="G81" s="776">
        <v>0</v>
      </c>
      <c r="H81" s="763"/>
      <c r="I81" s="186">
        <f t="shared" si="1"/>
        <v>0</v>
      </c>
      <c r="J81" s="186">
        <v>1133668</v>
      </c>
    </row>
    <row r="82" spans="1:10" s="186" customFormat="1" ht="12.75" customHeight="1">
      <c r="A82" s="775" t="s">
        <v>565</v>
      </c>
      <c r="B82" s="775" t="s">
        <v>1572</v>
      </c>
      <c r="C82" s="776">
        <v>0</v>
      </c>
      <c r="D82" s="776">
        <v>0</v>
      </c>
      <c r="E82" s="776">
        <v>0</v>
      </c>
      <c r="F82" s="776">
        <v>0</v>
      </c>
      <c r="G82" s="776">
        <v>0</v>
      </c>
      <c r="H82" s="763"/>
      <c r="I82" s="186">
        <f t="shared" si="1"/>
        <v>0</v>
      </c>
      <c r="J82" s="186">
        <v>1133669</v>
      </c>
    </row>
    <row r="83" spans="1:10" s="186" customFormat="1" ht="12.75" customHeight="1">
      <c r="A83" s="775" t="s">
        <v>567</v>
      </c>
      <c r="B83" s="775" t="s">
        <v>1573</v>
      </c>
      <c r="C83" s="776">
        <v>0</v>
      </c>
      <c r="D83" s="776">
        <v>0</v>
      </c>
      <c r="E83" s="776">
        <v>0</v>
      </c>
      <c r="F83" s="776">
        <v>0</v>
      </c>
      <c r="G83" s="776">
        <v>0</v>
      </c>
      <c r="H83" s="763"/>
      <c r="I83" s="186">
        <f t="shared" si="1"/>
        <v>0</v>
      </c>
      <c r="J83" s="186">
        <v>1133670</v>
      </c>
    </row>
    <row r="84" spans="1:10" s="186" customFormat="1" ht="12.75" customHeight="1">
      <c r="A84" s="775" t="s">
        <v>569</v>
      </c>
      <c r="B84" s="775" t="s">
        <v>1574</v>
      </c>
      <c r="C84" s="776">
        <v>0</v>
      </c>
      <c r="D84" s="776">
        <v>0</v>
      </c>
      <c r="E84" s="776">
        <v>0</v>
      </c>
      <c r="F84" s="776">
        <v>0</v>
      </c>
      <c r="G84" s="776">
        <v>0</v>
      </c>
      <c r="H84" s="763"/>
      <c r="I84" s="186">
        <f t="shared" si="1"/>
        <v>0</v>
      </c>
      <c r="J84" s="186">
        <v>1133671</v>
      </c>
    </row>
    <row r="85" spans="1:10" s="186" customFormat="1" ht="12.75" customHeight="1">
      <c r="A85" s="775" t="s">
        <v>1575</v>
      </c>
      <c r="B85" s="775" t="s">
        <v>1576</v>
      </c>
      <c r="C85" s="776">
        <v>0</v>
      </c>
      <c r="D85" s="776">
        <v>0</v>
      </c>
      <c r="E85" s="776">
        <v>0</v>
      </c>
      <c r="F85" s="776">
        <v>0</v>
      </c>
      <c r="G85" s="776">
        <v>0</v>
      </c>
      <c r="H85" s="763"/>
      <c r="I85" s="186">
        <f t="shared" si="1"/>
        <v>0</v>
      </c>
      <c r="J85" s="186">
        <v>1133672</v>
      </c>
    </row>
    <row r="86" spans="1:10" s="186" customFormat="1" ht="12.75" customHeight="1">
      <c r="A86" s="775" t="s">
        <v>571</v>
      </c>
      <c r="B86" s="775" t="s">
        <v>1577</v>
      </c>
      <c r="C86" s="776">
        <v>0</v>
      </c>
      <c r="D86" s="776">
        <v>0</v>
      </c>
      <c r="E86" s="776">
        <v>0</v>
      </c>
      <c r="F86" s="776">
        <v>0</v>
      </c>
      <c r="G86" s="776">
        <v>0</v>
      </c>
      <c r="H86" s="763"/>
      <c r="I86" s="186">
        <f t="shared" si="1"/>
        <v>0</v>
      </c>
      <c r="J86" s="186">
        <v>1133673</v>
      </c>
    </row>
    <row r="87" spans="1:10" s="186" customFormat="1" ht="12.75" customHeight="1">
      <c r="A87" s="775" t="s">
        <v>573</v>
      </c>
      <c r="B87" s="775" t="s">
        <v>1578</v>
      </c>
      <c r="C87" s="776">
        <v>0</v>
      </c>
      <c r="D87" s="776">
        <v>0</v>
      </c>
      <c r="E87" s="776">
        <v>0</v>
      </c>
      <c r="F87" s="776">
        <v>0</v>
      </c>
      <c r="G87" s="776">
        <v>0</v>
      </c>
      <c r="H87" s="763"/>
      <c r="I87" s="186">
        <f t="shared" si="1"/>
        <v>0</v>
      </c>
      <c r="J87" s="186">
        <v>1133674</v>
      </c>
    </row>
    <row r="88" spans="1:10" s="186" customFormat="1" ht="12.75" customHeight="1">
      <c r="A88" s="775" t="s">
        <v>575</v>
      </c>
      <c r="B88" s="775" t="s">
        <v>1579</v>
      </c>
      <c r="C88" s="776">
        <v>0</v>
      </c>
      <c r="D88" s="776">
        <v>0</v>
      </c>
      <c r="E88" s="776">
        <v>0</v>
      </c>
      <c r="F88" s="776">
        <v>0</v>
      </c>
      <c r="G88" s="776">
        <v>0</v>
      </c>
      <c r="H88" s="763"/>
      <c r="I88" s="186">
        <f t="shared" si="1"/>
        <v>0</v>
      </c>
      <c r="J88" s="186">
        <v>1133675</v>
      </c>
    </row>
    <row r="89" spans="1:10" s="186" customFormat="1" ht="12.75" customHeight="1">
      <c r="A89" s="775" t="s">
        <v>577</v>
      </c>
      <c r="B89" s="775" t="s">
        <v>1580</v>
      </c>
      <c r="C89" s="776">
        <v>0</v>
      </c>
      <c r="D89" s="776">
        <v>0</v>
      </c>
      <c r="E89" s="776">
        <v>0</v>
      </c>
      <c r="F89" s="776">
        <v>0</v>
      </c>
      <c r="G89" s="776">
        <v>0</v>
      </c>
      <c r="H89" s="763"/>
      <c r="I89" s="186">
        <f t="shared" si="1"/>
        <v>0</v>
      </c>
      <c r="J89" s="186">
        <v>1133676</v>
      </c>
    </row>
    <row r="90" spans="1:10" s="186" customFormat="1" ht="12.75" customHeight="1">
      <c r="A90" s="775" t="s">
        <v>579</v>
      </c>
      <c r="B90" s="775" t="s">
        <v>1581</v>
      </c>
      <c r="C90" s="776">
        <v>0</v>
      </c>
      <c r="D90" s="776">
        <v>0</v>
      </c>
      <c r="E90" s="776">
        <v>0</v>
      </c>
      <c r="F90" s="776">
        <v>0</v>
      </c>
      <c r="G90" s="776">
        <v>0</v>
      </c>
      <c r="H90" s="763"/>
      <c r="I90" s="186">
        <f t="shared" si="1"/>
        <v>0</v>
      </c>
      <c r="J90" s="186">
        <v>1133677</v>
      </c>
    </row>
    <row r="91" spans="1:10" s="186" customFormat="1" ht="13">
      <c r="A91" s="775" t="s">
        <v>581</v>
      </c>
      <c r="B91" s="775" t="s">
        <v>1582</v>
      </c>
      <c r="C91" s="776">
        <v>0</v>
      </c>
      <c r="D91" s="776">
        <v>0</v>
      </c>
      <c r="E91" s="776">
        <v>0</v>
      </c>
      <c r="F91" s="776">
        <v>0</v>
      </c>
      <c r="G91" s="776">
        <v>0</v>
      </c>
      <c r="H91" s="763"/>
      <c r="I91" s="780">
        <f t="shared" si="1"/>
        <v>0</v>
      </c>
      <c r="J91" s="186">
        <v>1133678</v>
      </c>
    </row>
    <row r="92" spans="1:10" s="186" customFormat="1" ht="13">
      <c r="A92" s="775" t="s">
        <v>583</v>
      </c>
      <c r="B92" s="775" t="s">
        <v>1583</v>
      </c>
      <c r="C92" s="776">
        <v>0</v>
      </c>
      <c r="D92" s="776">
        <v>0</v>
      </c>
      <c r="E92" s="776">
        <v>0</v>
      </c>
      <c r="F92" s="776">
        <v>0</v>
      </c>
      <c r="G92" s="776">
        <v>0</v>
      </c>
      <c r="H92" s="763"/>
    </row>
    <row r="93" spans="1:10" s="186" customFormat="1" ht="13">
      <c r="A93" s="775" t="s">
        <v>585</v>
      </c>
      <c r="B93" s="775" t="s">
        <v>1584</v>
      </c>
      <c r="C93" s="776">
        <v>0</v>
      </c>
      <c r="D93" s="776">
        <v>0</v>
      </c>
      <c r="E93" s="776">
        <v>0</v>
      </c>
      <c r="F93" s="776">
        <v>0</v>
      </c>
      <c r="G93" s="776">
        <v>0</v>
      </c>
      <c r="H93" s="763"/>
      <c r="I93" s="187">
        <v>1</v>
      </c>
      <c r="J93" s="186">
        <v>1133679</v>
      </c>
    </row>
    <row r="94" spans="1:10" s="186" customFormat="1" ht="13">
      <c r="A94" s="775" t="s">
        <v>587</v>
      </c>
      <c r="B94" s="775" t="s">
        <v>1585</v>
      </c>
      <c r="C94" s="776">
        <v>0</v>
      </c>
      <c r="D94" s="776">
        <v>0</v>
      </c>
      <c r="E94" s="776">
        <v>0</v>
      </c>
      <c r="F94" s="776">
        <v>0</v>
      </c>
      <c r="G94" s="776">
        <v>0</v>
      </c>
      <c r="H94" s="763"/>
      <c r="I94" s="186">
        <f t="shared" ref="I94:I125" si="2">C94+D94+E94+F94+G94</f>
        <v>0</v>
      </c>
      <c r="J94" s="186">
        <v>1133680</v>
      </c>
    </row>
    <row r="95" spans="1:10" s="186" customFormat="1" ht="13">
      <c r="A95" s="775" t="s">
        <v>589</v>
      </c>
      <c r="B95" s="775" t="s">
        <v>1586</v>
      </c>
      <c r="C95" s="776">
        <v>0</v>
      </c>
      <c r="D95" s="776">
        <v>0</v>
      </c>
      <c r="E95" s="776">
        <v>0</v>
      </c>
      <c r="F95" s="776">
        <v>0</v>
      </c>
      <c r="G95" s="776">
        <v>0</v>
      </c>
      <c r="H95" s="763"/>
      <c r="I95" s="186">
        <f t="shared" si="2"/>
        <v>0</v>
      </c>
      <c r="J95" s="186">
        <v>1133681</v>
      </c>
    </row>
    <row r="96" spans="1:10" s="186" customFormat="1" ht="13">
      <c r="A96" s="775" t="s">
        <v>591</v>
      </c>
      <c r="B96" s="775" t="s">
        <v>1587</v>
      </c>
      <c r="C96" s="776">
        <v>0</v>
      </c>
      <c r="D96" s="776">
        <v>0</v>
      </c>
      <c r="E96" s="776">
        <v>0</v>
      </c>
      <c r="F96" s="776">
        <v>0</v>
      </c>
      <c r="G96" s="776">
        <v>0</v>
      </c>
      <c r="H96" s="763"/>
      <c r="I96" s="186">
        <f t="shared" si="2"/>
        <v>0</v>
      </c>
      <c r="J96" s="186">
        <v>1133682</v>
      </c>
    </row>
    <row r="97" spans="1:10" s="186" customFormat="1" ht="13">
      <c r="A97" s="775" t="s">
        <v>1588</v>
      </c>
      <c r="B97" s="775" t="s">
        <v>1589</v>
      </c>
      <c r="C97" s="776">
        <v>0</v>
      </c>
      <c r="D97" s="776">
        <v>0</v>
      </c>
      <c r="E97" s="776">
        <v>0</v>
      </c>
      <c r="F97" s="776">
        <v>0</v>
      </c>
      <c r="G97" s="776">
        <v>0</v>
      </c>
      <c r="H97" s="763"/>
      <c r="I97" s="186">
        <f t="shared" si="2"/>
        <v>0</v>
      </c>
      <c r="J97" s="186">
        <v>1133683</v>
      </c>
    </row>
    <row r="98" spans="1:10" s="186" customFormat="1" ht="13">
      <c r="A98" s="775" t="s">
        <v>593</v>
      </c>
      <c r="B98" s="775" t="s">
        <v>1590</v>
      </c>
      <c r="C98" s="776">
        <v>0</v>
      </c>
      <c r="D98" s="776">
        <v>0</v>
      </c>
      <c r="E98" s="776">
        <v>0</v>
      </c>
      <c r="F98" s="776">
        <v>0</v>
      </c>
      <c r="G98" s="776">
        <v>0</v>
      </c>
      <c r="H98" s="763"/>
      <c r="I98" s="186">
        <f t="shared" si="2"/>
        <v>0</v>
      </c>
      <c r="J98" s="186">
        <v>1133684</v>
      </c>
    </row>
    <row r="99" spans="1:10" s="186" customFormat="1" ht="12.75" customHeight="1">
      <c r="A99" s="775" t="s">
        <v>1591</v>
      </c>
      <c r="B99" s="775" t="s">
        <v>1592</v>
      </c>
      <c r="C99" s="776">
        <v>0</v>
      </c>
      <c r="D99" s="776">
        <v>0</v>
      </c>
      <c r="E99" s="776">
        <v>0</v>
      </c>
      <c r="F99" s="776">
        <v>0</v>
      </c>
      <c r="G99" s="776">
        <v>0</v>
      </c>
      <c r="H99" s="763"/>
      <c r="I99" s="186">
        <f t="shared" si="2"/>
        <v>0</v>
      </c>
      <c r="J99" s="186">
        <v>1133685</v>
      </c>
    </row>
    <row r="100" spans="1:10" s="186" customFormat="1" ht="12.75" customHeight="1">
      <c r="A100" s="775" t="s">
        <v>595</v>
      </c>
      <c r="B100" s="775" t="s">
        <v>1593</v>
      </c>
      <c r="C100" s="776">
        <v>0</v>
      </c>
      <c r="D100" s="776">
        <v>0</v>
      </c>
      <c r="E100" s="776">
        <v>0</v>
      </c>
      <c r="F100" s="776">
        <v>0</v>
      </c>
      <c r="G100" s="776">
        <v>0</v>
      </c>
      <c r="H100" s="763"/>
      <c r="I100" s="186">
        <f t="shared" si="2"/>
        <v>0</v>
      </c>
      <c r="J100" s="186">
        <v>1133686</v>
      </c>
    </row>
    <row r="101" spans="1:10" s="186" customFormat="1" ht="13">
      <c r="A101" s="775" t="s">
        <v>597</v>
      </c>
      <c r="B101" s="775" t="s">
        <v>1594</v>
      </c>
      <c r="C101" s="776">
        <v>0</v>
      </c>
      <c r="D101" s="776">
        <v>0</v>
      </c>
      <c r="E101" s="776">
        <v>0</v>
      </c>
      <c r="F101" s="776">
        <v>0</v>
      </c>
      <c r="G101" s="776">
        <v>0</v>
      </c>
      <c r="H101" s="763"/>
      <c r="I101" s="186">
        <f t="shared" si="2"/>
        <v>0</v>
      </c>
      <c r="J101" s="186">
        <v>1133687</v>
      </c>
    </row>
    <row r="102" spans="1:10" s="186" customFormat="1" ht="12.75" customHeight="1">
      <c r="A102" s="775" t="s">
        <v>599</v>
      </c>
      <c r="B102" s="775" t="s">
        <v>1595</v>
      </c>
      <c r="C102" s="776">
        <v>0</v>
      </c>
      <c r="D102" s="776">
        <v>0</v>
      </c>
      <c r="E102" s="776">
        <v>0</v>
      </c>
      <c r="F102" s="776">
        <v>0</v>
      </c>
      <c r="G102" s="776">
        <v>0</v>
      </c>
      <c r="H102" s="763"/>
      <c r="I102" s="186">
        <f t="shared" si="2"/>
        <v>0</v>
      </c>
      <c r="J102" s="186">
        <v>1133688</v>
      </c>
    </row>
    <row r="103" spans="1:10" s="186" customFormat="1" ht="12.75" customHeight="1">
      <c r="A103" s="775" t="s">
        <v>601</v>
      </c>
      <c r="B103" s="775" t="s">
        <v>1596</v>
      </c>
      <c r="C103" s="776">
        <v>0</v>
      </c>
      <c r="D103" s="776">
        <v>0</v>
      </c>
      <c r="E103" s="776">
        <v>0</v>
      </c>
      <c r="F103" s="776">
        <v>0</v>
      </c>
      <c r="G103" s="776">
        <v>0</v>
      </c>
      <c r="H103" s="763"/>
      <c r="I103" s="186">
        <f t="shared" si="2"/>
        <v>0</v>
      </c>
      <c r="J103" s="186">
        <v>1133689</v>
      </c>
    </row>
    <row r="104" spans="1:10" s="186" customFormat="1" ht="12.75" customHeight="1">
      <c r="A104" s="777" t="s">
        <v>603</v>
      </c>
      <c r="B104" s="777" t="s">
        <v>1597</v>
      </c>
      <c r="C104" s="778">
        <v>9263904.6300000008</v>
      </c>
      <c r="D104" s="778">
        <v>9372345.4900000002</v>
      </c>
      <c r="E104" s="778">
        <v>6536585.7199999997</v>
      </c>
      <c r="F104" s="778">
        <v>5854647.7199999997</v>
      </c>
      <c r="G104" s="778">
        <v>9083861</v>
      </c>
      <c r="H104" s="779"/>
      <c r="I104" s="186">
        <f t="shared" si="2"/>
        <v>40111344.560000002</v>
      </c>
      <c r="J104" s="186">
        <v>1133690</v>
      </c>
    </row>
    <row r="105" spans="1:10" s="186" customFormat="1" ht="12.75" customHeight="1">
      <c r="A105" s="775"/>
      <c r="B105" s="775"/>
      <c r="C105" s="776"/>
      <c r="D105" s="776"/>
      <c r="E105" s="776"/>
      <c r="F105" s="776"/>
      <c r="G105" s="776"/>
      <c r="H105" s="763"/>
      <c r="I105" s="186">
        <f t="shared" si="2"/>
        <v>0</v>
      </c>
      <c r="J105" s="186">
        <v>1133691</v>
      </c>
    </row>
    <row r="106" spans="1:10" s="186" customFormat="1" ht="12.75" customHeight="1">
      <c r="A106" s="269" t="s">
        <v>605</v>
      </c>
      <c r="B106" s="269" t="s">
        <v>1598</v>
      </c>
      <c r="C106" s="270" t="s">
        <v>1483</v>
      </c>
      <c r="D106" s="270" t="s">
        <v>1483</v>
      </c>
      <c r="E106" s="270" t="s">
        <v>1483</v>
      </c>
      <c r="F106" s="270" t="s">
        <v>1483</v>
      </c>
      <c r="G106" s="270" t="s">
        <v>1483</v>
      </c>
      <c r="H106" s="713"/>
      <c r="I106" s="186" t="e" vm="1">
        <f t="shared" si="2"/>
        <v>#VALUE!</v>
      </c>
      <c r="J106" s="186">
        <v>1133692</v>
      </c>
    </row>
    <row r="107" spans="1:10" s="186" customFormat="1" ht="12.75" customHeight="1">
      <c r="A107" s="775" t="s">
        <v>607</v>
      </c>
      <c r="B107" s="775" t="s">
        <v>1599</v>
      </c>
      <c r="C107" s="776">
        <v>3024.12</v>
      </c>
      <c r="D107" s="776">
        <v>2345.14</v>
      </c>
      <c r="E107" s="776">
        <v>450</v>
      </c>
      <c r="F107" s="776">
        <v>1000</v>
      </c>
      <c r="G107" s="776">
        <v>1500</v>
      </c>
      <c r="H107" s="763"/>
      <c r="I107" s="186">
        <f t="shared" si="2"/>
        <v>8319.26</v>
      </c>
      <c r="J107" s="186">
        <v>1133693</v>
      </c>
    </row>
    <row r="108" spans="1:10" s="186" customFormat="1" ht="12.75" customHeight="1">
      <c r="A108" s="775" t="s">
        <v>609</v>
      </c>
      <c r="B108" s="775" t="s">
        <v>1600</v>
      </c>
      <c r="C108" s="776">
        <v>3895.04</v>
      </c>
      <c r="D108" s="776">
        <v>0</v>
      </c>
      <c r="E108" s="776">
        <v>0</v>
      </c>
      <c r="F108" s="776">
        <v>0</v>
      </c>
      <c r="G108" s="776">
        <v>0</v>
      </c>
      <c r="H108" s="763"/>
      <c r="I108" s="186">
        <f t="shared" si="2"/>
        <v>3895.04</v>
      </c>
      <c r="J108" s="186">
        <v>1133694</v>
      </c>
    </row>
    <row r="109" spans="1:10" s="186" customFormat="1" ht="12.75" customHeight="1">
      <c r="A109" s="775" t="s">
        <v>611</v>
      </c>
      <c r="B109" s="775" t="s">
        <v>1601</v>
      </c>
      <c r="C109" s="776">
        <v>650</v>
      </c>
      <c r="D109" s="776">
        <v>300</v>
      </c>
      <c r="E109" s="776">
        <v>650</v>
      </c>
      <c r="F109" s="776">
        <v>0</v>
      </c>
      <c r="G109" s="776">
        <v>0</v>
      </c>
      <c r="H109" s="763"/>
      <c r="I109" s="186">
        <f t="shared" si="2"/>
        <v>1600</v>
      </c>
      <c r="J109" s="186">
        <v>1133695</v>
      </c>
    </row>
    <row r="110" spans="1:10" s="186" customFormat="1" ht="13">
      <c r="A110" s="775" t="s">
        <v>613</v>
      </c>
      <c r="B110" s="775" t="s">
        <v>1602</v>
      </c>
      <c r="C110" s="776">
        <v>2768.64</v>
      </c>
      <c r="D110" s="776">
        <v>0</v>
      </c>
      <c r="E110" s="776">
        <v>-4566.04</v>
      </c>
      <c r="F110" s="776">
        <v>0</v>
      </c>
      <c r="G110" s="776">
        <v>0</v>
      </c>
      <c r="H110" s="763"/>
      <c r="I110" s="186">
        <f t="shared" si="2"/>
        <v>-1797.4</v>
      </c>
      <c r="J110" s="186">
        <v>1133696</v>
      </c>
    </row>
    <row r="111" spans="1:10" s="186" customFormat="1" ht="12.75" customHeight="1">
      <c r="A111" s="775" t="s">
        <v>615</v>
      </c>
      <c r="B111" s="775" t="s">
        <v>1603</v>
      </c>
      <c r="C111" s="776">
        <v>4875</v>
      </c>
      <c r="D111" s="776">
        <v>2300</v>
      </c>
      <c r="E111" s="776">
        <v>900</v>
      </c>
      <c r="F111" s="776">
        <v>0</v>
      </c>
      <c r="G111" s="776">
        <v>0</v>
      </c>
      <c r="H111" s="763"/>
      <c r="I111" s="186">
        <f t="shared" si="2"/>
        <v>8075</v>
      </c>
      <c r="J111" s="186">
        <v>1133697</v>
      </c>
    </row>
    <row r="112" spans="1:10" s="186" customFormat="1" ht="13">
      <c r="A112" s="775" t="s">
        <v>617</v>
      </c>
      <c r="B112" s="775" t="s">
        <v>1604</v>
      </c>
      <c r="C112" s="776">
        <v>0</v>
      </c>
      <c r="D112" s="776">
        <v>0</v>
      </c>
      <c r="E112" s="776">
        <v>0</v>
      </c>
      <c r="F112" s="776">
        <v>0</v>
      </c>
      <c r="G112" s="776">
        <v>0</v>
      </c>
      <c r="H112" s="763"/>
      <c r="I112" s="186">
        <f t="shared" si="2"/>
        <v>0</v>
      </c>
      <c r="J112" s="186">
        <v>1133698</v>
      </c>
    </row>
    <row r="113" spans="1:10" s="186" customFormat="1" ht="13">
      <c r="A113" s="775" t="s">
        <v>619</v>
      </c>
      <c r="B113" s="775" t="s">
        <v>1605</v>
      </c>
      <c r="C113" s="776">
        <v>0</v>
      </c>
      <c r="D113" s="776">
        <v>0</v>
      </c>
      <c r="E113" s="776">
        <v>0</v>
      </c>
      <c r="F113" s="776">
        <v>0</v>
      </c>
      <c r="G113" s="776">
        <v>0</v>
      </c>
      <c r="H113" s="763"/>
      <c r="I113" s="186">
        <f t="shared" si="2"/>
        <v>0</v>
      </c>
      <c r="J113" s="186">
        <v>1133699</v>
      </c>
    </row>
    <row r="114" spans="1:10" s="186" customFormat="1" ht="13">
      <c r="A114" s="775" t="s">
        <v>621</v>
      </c>
      <c r="B114" s="775" t="s">
        <v>1606</v>
      </c>
      <c r="C114" s="776">
        <v>8401.5400000000009</v>
      </c>
      <c r="D114" s="776">
        <v>15844.69</v>
      </c>
      <c r="E114" s="776">
        <v>6848.55</v>
      </c>
      <c r="F114" s="776">
        <v>0</v>
      </c>
      <c r="G114" s="776">
        <v>0</v>
      </c>
      <c r="H114" s="763"/>
      <c r="I114" s="186">
        <f t="shared" si="2"/>
        <v>31094.780000000002</v>
      </c>
      <c r="J114" s="186">
        <v>1133700</v>
      </c>
    </row>
    <row r="115" spans="1:10" s="186" customFormat="1" ht="13">
      <c r="A115" s="775" t="s">
        <v>623</v>
      </c>
      <c r="B115" s="775" t="s">
        <v>1607</v>
      </c>
      <c r="C115" s="776">
        <v>0</v>
      </c>
      <c r="D115" s="776">
        <v>0</v>
      </c>
      <c r="E115" s="776">
        <v>0</v>
      </c>
      <c r="F115" s="776">
        <v>0</v>
      </c>
      <c r="G115" s="776">
        <v>0</v>
      </c>
      <c r="H115" s="763"/>
      <c r="I115" s="186">
        <f t="shared" si="2"/>
        <v>0</v>
      </c>
      <c r="J115" s="186">
        <v>1133701</v>
      </c>
    </row>
    <row r="116" spans="1:10" s="186" customFormat="1" ht="12.75" customHeight="1">
      <c r="A116" s="775" t="s">
        <v>625</v>
      </c>
      <c r="B116" s="775" t="s">
        <v>1608</v>
      </c>
      <c r="C116" s="776">
        <v>0</v>
      </c>
      <c r="D116" s="776">
        <v>0</v>
      </c>
      <c r="E116" s="776">
        <v>0</v>
      </c>
      <c r="F116" s="776">
        <v>0</v>
      </c>
      <c r="G116" s="776">
        <v>0</v>
      </c>
      <c r="H116" s="763"/>
      <c r="I116" s="186">
        <f t="shared" si="2"/>
        <v>0</v>
      </c>
      <c r="J116" s="186">
        <v>1133702</v>
      </c>
    </row>
    <row r="117" spans="1:10" s="186" customFormat="1" ht="12.75" customHeight="1">
      <c r="A117" s="775" t="s">
        <v>627</v>
      </c>
      <c r="B117" s="775" t="s">
        <v>1565</v>
      </c>
      <c r="C117" s="776">
        <v>0</v>
      </c>
      <c r="D117" s="776">
        <v>0</v>
      </c>
      <c r="E117" s="776">
        <v>0</v>
      </c>
      <c r="F117" s="776">
        <v>0</v>
      </c>
      <c r="G117" s="776">
        <v>0</v>
      </c>
      <c r="H117" s="763"/>
      <c r="I117" s="186">
        <f t="shared" si="2"/>
        <v>0</v>
      </c>
      <c r="J117" s="186">
        <v>1133703</v>
      </c>
    </row>
    <row r="118" spans="1:10" s="186" customFormat="1" ht="12.75" customHeight="1">
      <c r="A118" s="775" t="s">
        <v>628</v>
      </c>
      <c r="B118" s="775" t="s">
        <v>1609</v>
      </c>
      <c r="C118" s="776">
        <v>0</v>
      </c>
      <c r="D118" s="776">
        <v>0</v>
      </c>
      <c r="E118" s="776">
        <v>0</v>
      </c>
      <c r="F118" s="776">
        <v>0</v>
      </c>
      <c r="G118" s="776">
        <v>0</v>
      </c>
      <c r="H118" s="763"/>
      <c r="I118" s="186">
        <f t="shared" si="2"/>
        <v>0</v>
      </c>
      <c r="J118" s="186">
        <v>1133704</v>
      </c>
    </row>
    <row r="119" spans="1:10" s="186" customFormat="1" ht="12.75" customHeight="1">
      <c r="A119" s="775" t="s">
        <v>630</v>
      </c>
      <c r="B119" s="775" t="s">
        <v>1610</v>
      </c>
      <c r="C119" s="776">
        <v>0</v>
      </c>
      <c r="D119" s="776">
        <v>0</v>
      </c>
      <c r="E119" s="776">
        <v>0</v>
      </c>
      <c r="F119" s="776">
        <v>0</v>
      </c>
      <c r="G119" s="776">
        <v>0</v>
      </c>
      <c r="H119" s="763"/>
      <c r="I119" s="186">
        <f t="shared" si="2"/>
        <v>0</v>
      </c>
      <c r="J119" s="186">
        <v>1133705</v>
      </c>
    </row>
    <row r="120" spans="1:10" s="186" customFormat="1" ht="12.75" customHeight="1">
      <c r="A120" s="775" t="s">
        <v>632</v>
      </c>
      <c r="B120" s="775" t="s">
        <v>1611</v>
      </c>
      <c r="C120" s="776">
        <v>0</v>
      </c>
      <c r="D120" s="776">
        <v>0</v>
      </c>
      <c r="E120" s="776">
        <v>0</v>
      </c>
      <c r="F120" s="776">
        <v>0</v>
      </c>
      <c r="G120" s="776">
        <v>0</v>
      </c>
      <c r="H120" s="763"/>
      <c r="I120" s="186">
        <f t="shared" si="2"/>
        <v>0</v>
      </c>
      <c r="J120" s="186">
        <v>1133706</v>
      </c>
    </row>
    <row r="121" spans="1:10" s="186" customFormat="1" ht="12.75" customHeight="1">
      <c r="A121" s="775" t="s">
        <v>634</v>
      </c>
      <c r="B121" s="775" t="s">
        <v>1612</v>
      </c>
      <c r="C121" s="776">
        <v>0</v>
      </c>
      <c r="D121" s="776">
        <v>0</v>
      </c>
      <c r="E121" s="776">
        <v>0</v>
      </c>
      <c r="F121" s="776">
        <v>0</v>
      </c>
      <c r="G121" s="776">
        <v>0</v>
      </c>
      <c r="H121" s="763"/>
      <c r="I121" s="186">
        <f t="shared" si="2"/>
        <v>0</v>
      </c>
      <c r="J121" s="186">
        <v>1133707</v>
      </c>
    </row>
    <row r="122" spans="1:10" s="186" customFormat="1" ht="12.75" customHeight="1">
      <c r="A122" s="775" t="s">
        <v>636</v>
      </c>
      <c r="B122" s="775" t="s">
        <v>1613</v>
      </c>
      <c r="C122" s="776">
        <v>29.19</v>
      </c>
      <c r="D122" s="776">
        <v>0</v>
      </c>
      <c r="E122" s="776">
        <v>0</v>
      </c>
      <c r="F122" s="776">
        <v>0</v>
      </c>
      <c r="G122" s="776">
        <v>0</v>
      </c>
      <c r="H122" s="763"/>
      <c r="I122" s="186">
        <f t="shared" si="2"/>
        <v>29.19</v>
      </c>
      <c r="J122" s="186">
        <v>1133708</v>
      </c>
    </row>
    <row r="123" spans="1:10" s="186" customFormat="1" ht="13">
      <c r="A123" s="775" t="s">
        <v>638</v>
      </c>
      <c r="B123" s="775" t="s">
        <v>1614</v>
      </c>
      <c r="C123" s="776">
        <v>0</v>
      </c>
      <c r="D123" s="776">
        <v>0</v>
      </c>
      <c r="E123" s="776">
        <v>0</v>
      </c>
      <c r="F123" s="776">
        <v>0</v>
      </c>
      <c r="G123" s="776">
        <v>0</v>
      </c>
      <c r="H123" s="763"/>
      <c r="I123" s="186">
        <f t="shared" si="2"/>
        <v>0</v>
      </c>
      <c r="J123" s="186">
        <v>1133709</v>
      </c>
    </row>
    <row r="124" spans="1:10" s="186" customFormat="1" ht="12.75" customHeight="1">
      <c r="A124" s="775" t="s">
        <v>640</v>
      </c>
      <c r="B124" s="775" t="s">
        <v>1615</v>
      </c>
      <c r="C124" s="776">
        <v>0</v>
      </c>
      <c r="D124" s="776">
        <v>0</v>
      </c>
      <c r="E124" s="776">
        <v>0</v>
      </c>
      <c r="F124" s="776">
        <v>0</v>
      </c>
      <c r="G124" s="776">
        <v>0</v>
      </c>
      <c r="H124" s="763"/>
      <c r="I124" s="186">
        <f t="shared" si="2"/>
        <v>0</v>
      </c>
      <c r="J124" s="186">
        <v>1133710</v>
      </c>
    </row>
    <row r="125" spans="1:10" s="186" customFormat="1" ht="13">
      <c r="A125" s="775" t="s">
        <v>642</v>
      </c>
      <c r="B125" s="775" t="s">
        <v>1616</v>
      </c>
      <c r="C125" s="776">
        <v>23000</v>
      </c>
      <c r="D125" s="776">
        <v>12500</v>
      </c>
      <c r="E125" s="776">
        <v>16000</v>
      </c>
      <c r="F125" s="776">
        <v>10000</v>
      </c>
      <c r="G125" s="776">
        <v>15000</v>
      </c>
      <c r="H125" s="763"/>
      <c r="I125" s="186">
        <f t="shared" si="2"/>
        <v>76500</v>
      </c>
      <c r="J125" s="186">
        <v>1133711</v>
      </c>
    </row>
    <row r="126" spans="1:10" s="186" customFormat="1" ht="13">
      <c r="A126" s="775" t="s">
        <v>644</v>
      </c>
      <c r="B126" s="775" t="s">
        <v>1617</v>
      </c>
      <c r="C126" s="776">
        <v>0</v>
      </c>
      <c r="D126" s="776">
        <v>0</v>
      </c>
      <c r="E126" s="776">
        <v>0</v>
      </c>
      <c r="F126" s="776">
        <v>0</v>
      </c>
      <c r="G126" s="776">
        <v>0</v>
      </c>
      <c r="H126" s="763"/>
      <c r="I126" s="186">
        <f t="shared" ref="I126:I157" si="3">C126+D126+E126+F126+G126</f>
        <v>0</v>
      </c>
      <c r="J126" s="186">
        <v>1133712</v>
      </c>
    </row>
    <row r="127" spans="1:10" s="186" customFormat="1" ht="13">
      <c r="A127" s="775" t="s">
        <v>646</v>
      </c>
      <c r="B127" s="775" t="s">
        <v>1618</v>
      </c>
      <c r="C127" s="776">
        <v>5954.4</v>
      </c>
      <c r="D127" s="776">
        <v>8351.09</v>
      </c>
      <c r="E127" s="776">
        <v>7679.01</v>
      </c>
      <c r="F127" s="776">
        <v>4000</v>
      </c>
      <c r="G127" s="776">
        <v>6000</v>
      </c>
      <c r="H127" s="763"/>
      <c r="I127" s="186">
        <f t="shared" si="3"/>
        <v>31984.5</v>
      </c>
      <c r="J127" s="186">
        <v>1133713</v>
      </c>
    </row>
    <row r="128" spans="1:10" s="186" customFormat="1" ht="12.75" customHeight="1">
      <c r="A128" s="775" t="s">
        <v>650</v>
      </c>
      <c r="B128" s="775" t="s">
        <v>1619</v>
      </c>
      <c r="C128" s="776">
        <v>0</v>
      </c>
      <c r="D128" s="776">
        <v>0</v>
      </c>
      <c r="E128" s="776">
        <v>0</v>
      </c>
      <c r="F128" s="776">
        <v>0</v>
      </c>
      <c r="G128" s="776">
        <v>0</v>
      </c>
      <c r="H128" s="763"/>
      <c r="I128" s="186">
        <f t="shared" si="3"/>
        <v>0</v>
      </c>
      <c r="J128" s="186">
        <v>1133714</v>
      </c>
    </row>
    <row r="129" spans="1:10" s="186" customFormat="1" ht="13">
      <c r="A129" s="775" t="s">
        <v>652</v>
      </c>
      <c r="B129" s="775" t="s">
        <v>1620</v>
      </c>
      <c r="C129" s="776">
        <v>0</v>
      </c>
      <c r="D129" s="776">
        <v>0</v>
      </c>
      <c r="E129" s="776">
        <v>0</v>
      </c>
      <c r="F129" s="776">
        <v>0</v>
      </c>
      <c r="G129" s="776">
        <v>0</v>
      </c>
      <c r="H129" s="763"/>
      <c r="I129" s="186">
        <f t="shared" si="3"/>
        <v>0</v>
      </c>
      <c r="J129" s="186">
        <v>1133715</v>
      </c>
    </row>
    <row r="130" spans="1:10" s="186" customFormat="1" ht="12.75" customHeight="1">
      <c r="A130" s="775" t="s">
        <v>654</v>
      </c>
      <c r="B130" s="775" t="s">
        <v>1621</v>
      </c>
      <c r="C130" s="776">
        <v>0</v>
      </c>
      <c r="D130" s="776">
        <v>0</v>
      </c>
      <c r="E130" s="776">
        <v>0</v>
      </c>
      <c r="F130" s="776">
        <v>0</v>
      </c>
      <c r="G130" s="776">
        <v>0</v>
      </c>
      <c r="H130" s="763"/>
      <c r="I130" s="186">
        <f t="shared" si="3"/>
        <v>0</v>
      </c>
      <c r="J130" s="186">
        <v>1133716</v>
      </c>
    </row>
    <row r="131" spans="1:10" s="186" customFormat="1" ht="12.75" customHeight="1">
      <c r="A131" s="775" t="s">
        <v>656</v>
      </c>
      <c r="B131" s="775" t="s">
        <v>1622</v>
      </c>
      <c r="C131" s="776">
        <v>0</v>
      </c>
      <c r="D131" s="776">
        <v>0</v>
      </c>
      <c r="E131" s="776">
        <v>0</v>
      </c>
      <c r="F131" s="776">
        <v>0</v>
      </c>
      <c r="G131" s="776">
        <v>0</v>
      </c>
      <c r="H131" s="763"/>
      <c r="I131" s="186">
        <f t="shared" si="3"/>
        <v>0</v>
      </c>
      <c r="J131" s="186">
        <v>1133717</v>
      </c>
    </row>
    <row r="132" spans="1:10" s="186" customFormat="1" ht="12.75" customHeight="1">
      <c r="A132" s="775" t="s">
        <v>658</v>
      </c>
      <c r="B132" s="775" t="s">
        <v>1623</v>
      </c>
      <c r="C132" s="776">
        <v>0</v>
      </c>
      <c r="D132" s="776">
        <v>0</v>
      </c>
      <c r="E132" s="776">
        <v>0</v>
      </c>
      <c r="F132" s="776">
        <v>0</v>
      </c>
      <c r="G132" s="776">
        <v>0</v>
      </c>
      <c r="H132" s="763"/>
      <c r="I132" s="186">
        <f t="shared" si="3"/>
        <v>0</v>
      </c>
      <c r="J132" s="186">
        <v>1133718</v>
      </c>
    </row>
    <row r="133" spans="1:10" s="186" customFormat="1" ht="12.75" customHeight="1">
      <c r="A133" s="775" t="s">
        <v>660</v>
      </c>
      <c r="B133" s="775" t="s">
        <v>1624</v>
      </c>
      <c r="C133" s="776">
        <v>0</v>
      </c>
      <c r="D133" s="776">
        <v>0</v>
      </c>
      <c r="E133" s="776">
        <v>0</v>
      </c>
      <c r="F133" s="776">
        <v>0</v>
      </c>
      <c r="G133" s="776">
        <v>0</v>
      </c>
      <c r="H133" s="763"/>
      <c r="I133" s="186">
        <f t="shared" si="3"/>
        <v>0</v>
      </c>
      <c r="J133" s="186">
        <v>1133719</v>
      </c>
    </row>
    <row r="134" spans="1:10" s="186" customFormat="1" ht="12.75" customHeight="1">
      <c r="A134" s="775" t="s">
        <v>662</v>
      </c>
      <c r="B134" s="775" t="s">
        <v>1625</v>
      </c>
      <c r="C134" s="776">
        <v>0</v>
      </c>
      <c r="D134" s="776">
        <v>0</v>
      </c>
      <c r="E134" s="776">
        <v>0</v>
      </c>
      <c r="F134" s="776">
        <v>0</v>
      </c>
      <c r="G134" s="776">
        <v>0</v>
      </c>
      <c r="H134" s="763"/>
      <c r="I134" s="186">
        <f t="shared" si="3"/>
        <v>0</v>
      </c>
      <c r="J134" s="186">
        <v>1133720</v>
      </c>
    </row>
    <row r="135" spans="1:10" s="186" customFormat="1" ht="12.75" customHeight="1">
      <c r="A135" s="775" t="s">
        <v>664</v>
      </c>
      <c r="B135" s="775" t="s">
        <v>1626</v>
      </c>
      <c r="C135" s="776">
        <v>65245.55</v>
      </c>
      <c r="D135" s="776">
        <v>74548.11</v>
      </c>
      <c r="E135" s="776">
        <v>35230.42</v>
      </c>
      <c r="F135" s="776">
        <v>0</v>
      </c>
      <c r="G135" s="776">
        <v>0</v>
      </c>
      <c r="H135" s="763"/>
      <c r="I135" s="186">
        <f t="shared" si="3"/>
        <v>175024.08000000002</v>
      </c>
      <c r="J135" s="186">
        <v>1133721</v>
      </c>
    </row>
    <row r="136" spans="1:10" s="186" customFormat="1" ht="12.75" customHeight="1">
      <c r="A136" s="775" t="s">
        <v>666</v>
      </c>
      <c r="B136" s="775" t="s">
        <v>1627</v>
      </c>
      <c r="C136" s="776">
        <v>16817.13</v>
      </c>
      <c r="D136" s="776">
        <v>7083.84</v>
      </c>
      <c r="E136" s="776">
        <v>7311.7</v>
      </c>
      <c r="F136" s="776">
        <v>7000</v>
      </c>
      <c r="G136" s="776">
        <v>7000</v>
      </c>
      <c r="H136" s="763"/>
      <c r="I136" s="186">
        <f t="shared" si="3"/>
        <v>45212.67</v>
      </c>
      <c r="J136" s="186">
        <v>1133722</v>
      </c>
    </row>
    <row r="137" spans="1:10" s="186" customFormat="1" ht="12.75" customHeight="1">
      <c r="A137" s="775" t="s">
        <v>668</v>
      </c>
      <c r="B137" s="775" t="s">
        <v>1628</v>
      </c>
      <c r="C137" s="776">
        <v>0</v>
      </c>
      <c r="D137" s="776">
        <v>0</v>
      </c>
      <c r="E137" s="776">
        <v>0</v>
      </c>
      <c r="F137" s="776">
        <v>0</v>
      </c>
      <c r="G137" s="776">
        <v>0</v>
      </c>
      <c r="H137" s="763"/>
      <c r="I137" s="186">
        <f t="shared" si="3"/>
        <v>0</v>
      </c>
      <c r="J137" s="186">
        <v>1133723</v>
      </c>
    </row>
    <row r="138" spans="1:10" s="186" customFormat="1" ht="12.75" customHeight="1">
      <c r="A138" s="775" t="s">
        <v>670</v>
      </c>
      <c r="B138" s="775" t="s">
        <v>1629</v>
      </c>
      <c r="C138" s="776">
        <v>0</v>
      </c>
      <c r="D138" s="776">
        <v>0</v>
      </c>
      <c r="E138" s="776">
        <v>0</v>
      </c>
      <c r="F138" s="776">
        <v>0</v>
      </c>
      <c r="G138" s="776">
        <v>0</v>
      </c>
      <c r="H138" s="763"/>
      <c r="I138" s="186">
        <f t="shared" si="3"/>
        <v>0</v>
      </c>
      <c r="J138" s="186">
        <v>1133724</v>
      </c>
    </row>
    <row r="139" spans="1:10" s="186" customFormat="1" ht="12.75" customHeight="1">
      <c r="A139" s="775" t="s">
        <v>672</v>
      </c>
      <c r="B139" s="775" t="s">
        <v>1630</v>
      </c>
      <c r="C139" s="776">
        <v>0</v>
      </c>
      <c r="D139" s="776">
        <v>0</v>
      </c>
      <c r="E139" s="776">
        <v>0</v>
      </c>
      <c r="F139" s="776">
        <v>0</v>
      </c>
      <c r="G139" s="776">
        <v>0</v>
      </c>
      <c r="H139" s="763"/>
      <c r="I139" s="186">
        <f t="shared" si="3"/>
        <v>0</v>
      </c>
      <c r="J139" s="186">
        <v>1133725</v>
      </c>
    </row>
    <row r="140" spans="1:10" s="186" customFormat="1" ht="12.75" customHeight="1">
      <c r="A140" s="775" t="s">
        <v>674</v>
      </c>
      <c r="B140" s="775" t="s">
        <v>1631</v>
      </c>
      <c r="C140" s="776">
        <v>0</v>
      </c>
      <c r="D140" s="776">
        <v>0</v>
      </c>
      <c r="E140" s="776">
        <v>0</v>
      </c>
      <c r="F140" s="776">
        <v>0</v>
      </c>
      <c r="G140" s="776">
        <v>0</v>
      </c>
      <c r="H140" s="763"/>
      <c r="I140" s="186">
        <f t="shared" si="3"/>
        <v>0</v>
      </c>
      <c r="J140" s="186">
        <v>1133726</v>
      </c>
    </row>
    <row r="141" spans="1:10" s="186" customFormat="1" ht="13">
      <c r="A141" s="775" t="s">
        <v>676</v>
      </c>
      <c r="B141" s="775" t="s">
        <v>1632</v>
      </c>
      <c r="C141" s="776">
        <v>0</v>
      </c>
      <c r="D141" s="776">
        <v>0</v>
      </c>
      <c r="E141" s="776">
        <v>0</v>
      </c>
      <c r="F141" s="776">
        <v>0</v>
      </c>
      <c r="G141" s="776">
        <v>0</v>
      </c>
      <c r="H141" s="763"/>
      <c r="I141" s="186">
        <f t="shared" si="3"/>
        <v>0</v>
      </c>
      <c r="J141" s="186">
        <v>1133727</v>
      </c>
    </row>
    <row r="142" spans="1:10" s="186" customFormat="1" ht="12.75" customHeight="1">
      <c r="A142" s="775" t="s">
        <v>678</v>
      </c>
      <c r="B142" s="775" t="s">
        <v>1633</v>
      </c>
      <c r="C142" s="776">
        <v>0</v>
      </c>
      <c r="D142" s="776">
        <v>0</v>
      </c>
      <c r="E142" s="776">
        <v>0</v>
      </c>
      <c r="F142" s="776">
        <v>0</v>
      </c>
      <c r="G142" s="776">
        <v>0</v>
      </c>
      <c r="H142" s="763"/>
      <c r="I142" s="186">
        <f t="shared" si="3"/>
        <v>0</v>
      </c>
      <c r="J142" s="186">
        <v>1133728</v>
      </c>
    </row>
    <row r="143" spans="1:10" s="186" customFormat="1" ht="12.75" customHeight="1">
      <c r="A143" s="775" t="s">
        <v>680</v>
      </c>
      <c r="B143" s="775" t="s">
        <v>1634</v>
      </c>
      <c r="C143" s="776">
        <v>0</v>
      </c>
      <c r="D143" s="776">
        <v>0</v>
      </c>
      <c r="E143" s="776">
        <v>0</v>
      </c>
      <c r="F143" s="776">
        <v>0</v>
      </c>
      <c r="G143" s="776">
        <v>0</v>
      </c>
      <c r="H143" s="763"/>
      <c r="I143" s="186">
        <f t="shared" si="3"/>
        <v>0</v>
      </c>
      <c r="J143" s="186">
        <v>1133729</v>
      </c>
    </row>
    <row r="144" spans="1:10" s="186" customFormat="1" ht="12.75" customHeight="1">
      <c r="A144" s="775" t="s">
        <v>682</v>
      </c>
      <c r="B144" s="775" t="s">
        <v>1635</v>
      </c>
      <c r="C144" s="776">
        <v>0</v>
      </c>
      <c r="D144" s="776">
        <v>0</v>
      </c>
      <c r="E144" s="776">
        <v>0</v>
      </c>
      <c r="F144" s="776">
        <v>0</v>
      </c>
      <c r="G144" s="776">
        <v>0</v>
      </c>
      <c r="H144" s="763"/>
      <c r="I144" s="186">
        <f t="shared" si="3"/>
        <v>0</v>
      </c>
      <c r="J144" s="186">
        <v>1133730</v>
      </c>
    </row>
    <row r="145" spans="1:10" s="186" customFormat="1" ht="12.75" customHeight="1">
      <c r="A145" s="775" t="s">
        <v>684</v>
      </c>
      <c r="B145" s="775" t="s">
        <v>1636</v>
      </c>
      <c r="C145" s="776">
        <v>0</v>
      </c>
      <c r="D145" s="776">
        <v>0</v>
      </c>
      <c r="E145" s="776">
        <v>0</v>
      </c>
      <c r="F145" s="776">
        <v>0</v>
      </c>
      <c r="G145" s="776">
        <v>0</v>
      </c>
      <c r="H145" s="763"/>
      <c r="I145" s="186">
        <f t="shared" si="3"/>
        <v>0</v>
      </c>
      <c r="J145" s="186">
        <v>1133731</v>
      </c>
    </row>
    <row r="146" spans="1:10" s="186" customFormat="1" ht="12.75" customHeight="1">
      <c r="A146" s="775" t="s">
        <v>686</v>
      </c>
      <c r="B146" s="775" t="s">
        <v>1637</v>
      </c>
      <c r="C146" s="776">
        <v>0</v>
      </c>
      <c r="D146" s="776">
        <v>0</v>
      </c>
      <c r="E146" s="776">
        <v>0</v>
      </c>
      <c r="F146" s="776">
        <v>0</v>
      </c>
      <c r="G146" s="776">
        <v>0</v>
      </c>
      <c r="H146" s="763"/>
      <c r="I146" s="186">
        <f t="shared" si="3"/>
        <v>0</v>
      </c>
      <c r="J146" s="186">
        <v>1133732</v>
      </c>
    </row>
    <row r="147" spans="1:10" s="186" customFormat="1" ht="12.75" customHeight="1">
      <c r="A147" s="775" t="s">
        <v>688</v>
      </c>
      <c r="B147" s="775" t="s">
        <v>1638</v>
      </c>
      <c r="C147" s="776">
        <v>0</v>
      </c>
      <c r="D147" s="776">
        <v>0</v>
      </c>
      <c r="E147" s="776">
        <v>0</v>
      </c>
      <c r="F147" s="776">
        <v>0</v>
      </c>
      <c r="G147" s="776">
        <v>0</v>
      </c>
      <c r="H147" s="763"/>
      <c r="I147" s="186">
        <f t="shared" si="3"/>
        <v>0</v>
      </c>
      <c r="J147" s="186">
        <v>1133733</v>
      </c>
    </row>
    <row r="148" spans="1:10" s="186" customFormat="1" ht="13">
      <c r="A148" s="775" t="s">
        <v>690</v>
      </c>
      <c r="B148" s="775" t="s">
        <v>1639</v>
      </c>
      <c r="C148" s="776">
        <v>0</v>
      </c>
      <c r="D148" s="776">
        <v>0</v>
      </c>
      <c r="E148" s="776">
        <v>0</v>
      </c>
      <c r="F148" s="776">
        <v>0</v>
      </c>
      <c r="G148" s="776">
        <v>0</v>
      </c>
      <c r="H148" s="763"/>
      <c r="I148" s="186">
        <f t="shared" si="3"/>
        <v>0</v>
      </c>
      <c r="J148" s="186">
        <v>1133734</v>
      </c>
    </row>
    <row r="149" spans="1:10" s="186" customFormat="1" ht="13">
      <c r="A149" s="775" t="s">
        <v>692</v>
      </c>
      <c r="B149" s="775" t="s">
        <v>1640</v>
      </c>
      <c r="C149" s="776">
        <v>0</v>
      </c>
      <c r="D149" s="776">
        <v>0</v>
      </c>
      <c r="E149" s="776">
        <v>0</v>
      </c>
      <c r="F149" s="776">
        <v>0</v>
      </c>
      <c r="G149" s="776">
        <v>0</v>
      </c>
      <c r="H149" s="763"/>
      <c r="I149" s="186">
        <f t="shared" si="3"/>
        <v>0</v>
      </c>
      <c r="J149" s="186">
        <v>1133735</v>
      </c>
    </row>
    <row r="150" spans="1:10" s="186" customFormat="1" ht="12.75" customHeight="1">
      <c r="A150" s="775" t="s">
        <v>694</v>
      </c>
      <c r="B150" s="775" t="s">
        <v>1641</v>
      </c>
      <c r="C150" s="776">
        <v>0</v>
      </c>
      <c r="D150" s="776">
        <v>0</v>
      </c>
      <c r="E150" s="776">
        <v>0</v>
      </c>
      <c r="F150" s="776">
        <v>0</v>
      </c>
      <c r="G150" s="776">
        <v>0</v>
      </c>
      <c r="H150" s="763"/>
      <c r="I150" s="186">
        <f t="shared" si="3"/>
        <v>0</v>
      </c>
      <c r="J150" s="186">
        <v>1133736</v>
      </c>
    </row>
    <row r="151" spans="1:10" s="186" customFormat="1" ht="12.75" customHeight="1">
      <c r="A151" s="775" t="s">
        <v>696</v>
      </c>
      <c r="B151" s="775" t="s">
        <v>1642</v>
      </c>
      <c r="C151" s="776">
        <v>0</v>
      </c>
      <c r="D151" s="776">
        <v>0</v>
      </c>
      <c r="E151" s="776">
        <v>0</v>
      </c>
      <c r="F151" s="776">
        <v>0</v>
      </c>
      <c r="G151" s="776">
        <v>0</v>
      </c>
      <c r="H151" s="763"/>
      <c r="I151" s="186">
        <f t="shared" si="3"/>
        <v>0</v>
      </c>
      <c r="J151" s="186">
        <v>1133737</v>
      </c>
    </row>
    <row r="152" spans="1:10" s="186" customFormat="1" ht="12.75" customHeight="1">
      <c r="A152" s="775" t="s">
        <v>698</v>
      </c>
      <c r="B152" s="775" t="s">
        <v>1643</v>
      </c>
      <c r="C152" s="776">
        <v>0</v>
      </c>
      <c r="D152" s="776">
        <v>0</v>
      </c>
      <c r="E152" s="776">
        <v>0</v>
      </c>
      <c r="F152" s="776">
        <v>0</v>
      </c>
      <c r="G152" s="776">
        <v>0</v>
      </c>
      <c r="H152" s="763"/>
      <c r="I152" s="186">
        <f t="shared" si="3"/>
        <v>0</v>
      </c>
      <c r="J152" s="186">
        <v>1133738</v>
      </c>
    </row>
    <row r="153" spans="1:10" s="186" customFormat="1" ht="12.75" customHeight="1">
      <c r="A153" s="775" t="s">
        <v>700</v>
      </c>
      <c r="B153" s="775" t="s">
        <v>1644</v>
      </c>
      <c r="C153" s="776">
        <v>0</v>
      </c>
      <c r="D153" s="776">
        <v>0</v>
      </c>
      <c r="E153" s="776">
        <v>0</v>
      </c>
      <c r="F153" s="776">
        <v>0</v>
      </c>
      <c r="G153" s="776">
        <v>0</v>
      </c>
      <c r="H153" s="763"/>
      <c r="I153" s="186">
        <f t="shared" si="3"/>
        <v>0</v>
      </c>
      <c r="J153" s="186">
        <v>1133739</v>
      </c>
    </row>
    <row r="154" spans="1:10" s="186" customFormat="1" ht="12.75" customHeight="1">
      <c r="A154" s="775" t="s">
        <v>702</v>
      </c>
      <c r="B154" s="775" t="s">
        <v>1645</v>
      </c>
      <c r="C154" s="776">
        <v>0</v>
      </c>
      <c r="D154" s="776">
        <v>0</v>
      </c>
      <c r="E154" s="776">
        <v>0</v>
      </c>
      <c r="F154" s="776">
        <v>0</v>
      </c>
      <c r="G154" s="776">
        <v>0</v>
      </c>
      <c r="H154" s="763"/>
      <c r="I154" s="186">
        <f t="shared" si="3"/>
        <v>0</v>
      </c>
      <c r="J154" s="186">
        <v>1133740</v>
      </c>
    </row>
    <row r="155" spans="1:10" s="186" customFormat="1" ht="12.75" customHeight="1">
      <c r="A155" s="775" t="s">
        <v>704</v>
      </c>
      <c r="B155" s="775" t="s">
        <v>1646</v>
      </c>
      <c r="C155" s="776">
        <v>0</v>
      </c>
      <c r="D155" s="776">
        <v>0</v>
      </c>
      <c r="E155" s="776">
        <v>0</v>
      </c>
      <c r="F155" s="776">
        <v>0</v>
      </c>
      <c r="G155" s="776">
        <v>0</v>
      </c>
      <c r="H155" s="763"/>
      <c r="I155" s="186">
        <f t="shared" si="3"/>
        <v>0</v>
      </c>
      <c r="J155" s="186">
        <v>1133741</v>
      </c>
    </row>
    <row r="156" spans="1:10" s="186" customFormat="1" ht="12.75" customHeight="1">
      <c r="A156" s="775" t="s">
        <v>706</v>
      </c>
      <c r="B156" s="775" t="s">
        <v>1647</v>
      </c>
      <c r="C156" s="776">
        <v>5000</v>
      </c>
      <c r="D156" s="776">
        <v>5000</v>
      </c>
      <c r="E156" s="776">
        <v>7500</v>
      </c>
      <c r="F156" s="776">
        <v>2000</v>
      </c>
      <c r="G156" s="776">
        <v>3000</v>
      </c>
      <c r="H156" s="763"/>
      <c r="I156" s="186">
        <f t="shared" si="3"/>
        <v>22500</v>
      </c>
      <c r="J156" s="186">
        <v>1133742</v>
      </c>
    </row>
    <row r="157" spans="1:10" s="186" customFormat="1" ht="12.75" customHeight="1">
      <c r="A157" s="775" t="s">
        <v>708</v>
      </c>
      <c r="B157" s="775" t="s">
        <v>1648</v>
      </c>
      <c r="C157" s="776">
        <v>0</v>
      </c>
      <c r="D157" s="776">
        <v>0</v>
      </c>
      <c r="E157" s="776">
        <v>0</v>
      </c>
      <c r="F157" s="776">
        <v>0</v>
      </c>
      <c r="G157" s="776">
        <v>0</v>
      </c>
      <c r="H157" s="763"/>
      <c r="I157" s="186">
        <f t="shared" si="3"/>
        <v>0</v>
      </c>
      <c r="J157" s="186">
        <v>1133743</v>
      </c>
    </row>
    <row r="158" spans="1:10" s="186" customFormat="1" ht="13">
      <c r="A158" s="775" t="s">
        <v>1649</v>
      </c>
      <c r="B158" s="775" t="s">
        <v>1650</v>
      </c>
      <c r="C158" s="776">
        <v>0</v>
      </c>
      <c r="D158" s="776">
        <v>0</v>
      </c>
      <c r="E158" s="776">
        <v>0</v>
      </c>
      <c r="F158" s="776">
        <v>0</v>
      </c>
      <c r="G158" s="776">
        <v>0</v>
      </c>
      <c r="H158" s="763"/>
      <c r="I158" s="186">
        <f t="shared" ref="I158:I170" si="4">C158+D158+E158+F158+G158</f>
        <v>0</v>
      </c>
      <c r="J158" s="186">
        <v>1133744</v>
      </c>
    </row>
    <row r="159" spans="1:10" s="186" customFormat="1" ht="12.75" customHeight="1">
      <c r="A159" s="775" t="s">
        <v>710</v>
      </c>
      <c r="B159" s="775" t="s">
        <v>1651</v>
      </c>
      <c r="C159" s="776">
        <v>0</v>
      </c>
      <c r="D159" s="776">
        <v>0</v>
      </c>
      <c r="E159" s="776">
        <v>0</v>
      </c>
      <c r="F159" s="776">
        <v>0</v>
      </c>
      <c r="G159" s="776">
        <v>0</v>
      </c>
      <c r="H159" s="763"/>
      <c r="I159" s="186">
        <f t="shared" si="4"/>
        <v>0</v>
      </c>
      <c r="J159" s="186">
        <v>1133745</v>
      </c>
    </row>
    <row r="160" spans="1:10" s="186" customFormat="1" ht="12.75" customHeight="1">
      <c r="A160" s="775" t="s">
        <v>712</v>
      </c>
      <c r="B160" s="775" t="s">
        <v>1652</v>
      </c>
      <c r="C160" s="776">
        <v>0</v>
      </c>
      <c r="D160" s="776">
        <v>0</v>
      </c>
      <c r="E160" s="776">
        <v>0</v>
      </c>
      <c r="F160" s="776">
        <v>0</v>
      </c>
      <c r="G160" s="776">
        <v>0</v>
      </c>
      <c r="H160" s="763"/>
      <c r="I160" s="186">
        <f t="shared" si="4"/>
        <v>0</v>
      </c>
      <c r="J160" s="186">
        <v>1133746</v>
      </c>
    </row>
    <row r="161" spans="1:10" s="186" customFormat="1" ht="12.75" customHeight="1">
      <c r="A161" s="775" t="s">
        <v>714</v>
      </c>
      <c r="B161" s="775" t="s">
        <v>1653</v>
      </c>
      <c r="C161" s="776">
        <v>0</v>
      </c>
      <c r="D161" s="776">
        <v>0</v>
      </c>
      <c r="E161" s="776">
        <v>500</v>
      </c>
      <c r="F161" s="776">
        <v>0</v>
      </c>
      <c r="G161" s="776">
        <v>0</v>
      </c>
      <c r="H161" s="763"/>
      <c r="I161" s="186">
        <f t="shared" si="4"/>
        <v>500</v>
      </c>
      <c r="J161" s="186">
        <v>1133747</v>
      </c>
    </row>
    <row r="162" spans="1:10" s="186" customFormat="1" ht="12.75" customHeight="1">
      <c r="A162" s="775" t="s">
        <v>716</v>
      </c>
      <c r="B162" s="775" t="s">
        <v>1654</v>
      </c>
      <c r="C162" s="776">
        <v>0</v>
      </c>
      <c r="D162" s="776">
        <v>0</v>
      </c>
      <c r="E162" s="776">
        <v>0</v>
      </c>
      <c r="F162" s="776">
        <v>0</v>
      </c>
      <c r="G162" s="776">
        <v>0</v>
      </c>
      <c r="H162" s="763"/>
      <c r="I162" s="186">
        <f t="shared" si="4"/>
        <v>0</v>
      </c>
      <c r="J162" s="186">
        <v>1133748</v>
      </c>
    </row>
    <row r="163" spans="1:10" s="186" customFormat="1" ht="12.75" customHeight="1">
      <c r="A163" s="775" t="s">
        <v>718</v>
      </c>
      <c r="B163" s="775" t="s">
        <v>1655</v>
      </c>
      <c r="C163" s="776">
        <v>0</v>
      </c>
      <c r="D163" s="776">
        <v>0</v>
      </c>
      <c r="E163" s="776">
        <v>0</v>
      </c>
      <c r="F163" s="776">
        <v>0</v>
      </c>
      <c r="G163" s="776">
        <v>0</v>
      </c>
      <c r="H163" s="763"/>
      <c r="I163" s="186">
        <f t="shared" si="4"/>
        <v>0</v>
      </c>
      <c r="J163" s="186">
        <v>1133749</v>
      </c>
    </row>
    <row r="164" spans="1:10" s="186" customFormat="1" ht="12.75" customHeight="1">
      <c r="A164" s="775" t="s">
        <v>720</v>
      </c>
      <c r="B164" s="775" t="s">
        <v>1656</v>
      </c>
      <c r="C164" s="776">
        <v>0</v>
      </c>
      <c r="D164" s="776">
        <v>0</v>
      </c>
      <c r="E164" s="776">
        <v>0</v>
      </c>
      <c r="F164" s="776">
        <v>0</v>
      </c>
      <c r="G164" s="776">
        <v>0</v>
      </c>
      <c r="H164" s="763"/>
      <c r="I164" s="186">
        <f t="shared" si="4"/>
        <v>0</v>
      </c>
      <c r="J164" s="186">
        <v>1133750</v>
      </c>
    </row>
    <row r="165" spans="1:10" s="186" customFormat="1" ht="12.75" customHeight="1">
      <c r="A165" s="775" t="s">
        <v>722</v>
      </c>
      <c r="B165" s="775" t="s">
        <v>1657</v>
      </c>
      <c r="C165" s="776">
        <v>0</v>
      </c>
      <c r="D165" s="776">
        <v>0</v>
      </c>
      <c r="E165" s="776">
        <v>0</v>
      </c>
      <c r="F165" s="776">
        <v>0</v>
      </c>
      <c r="G165" s="776">
        <v>0</v>
      </c>
      <c r="H165" s="763"/>
      <c r="I165" s="186">
        <f t="shared" si="4"/>
        <v>0</v>
      </c>
      <c r="J165" s="186">
        <v>1133751</v>
      </c>
    </row>
    <row r="166" spans="1:10" s="186" customFormat="1" ht="12.75" customHeight="1">
      <c r="A166" s="775" t="s">
        <v>1658</v>
      </c>
      <c r="B166" s="775" t="s">
        <v>1659</v>
      </c>
      <c r="C166" s="776">
        <v>0</v>
      </c>
      <c r="D166" s="776">
        <v>0</v>
      </c>
      <c r="E166" s="776">
        <v>0</v>
      </c>
      <c r="F166" s="776">
        <v>0</v>
      </c>
      <c r="G166" s="776">
        <v>0</v>
      </c>
      <c r="H166" s="763"/>
      <c r="I166" s="186">
        <f t="shared" si="4"/>
        <v>0</v>
      </c>
      <c r="J166" s="186">
        <v>1133752</v>
      </c>
    </row>
    <row r="167" spans="1:10" s="186" customFormat="1" ht="12.75" customHeight="1">
      <c r="A167" s="775" t="s">
        <v>724</v>
      </c>
      <c r="B167" s="775" t="s">
        <v>1660</v>
      </c>
      <c r="C167" s="776">
        <v>0</v>
      </c>
      <c r="D167" s="776">
        <v>0</v>
      </c>
      <c r="E167" s="776">
        <v>0</v>
      </c>
      <c r="F167" s="776">
        <v>0</v>
      </c>
      <c r="G167" s="776">
        <v>0</v>
      </c>
      <c r="H167" s="763"/>
      <c r="I167" s="186">
        <f t="shared" si="4"/>
        <v>0</v>
      </c>
      <c r="J167" s="186">
        <v>1133753</v>
      </c>
    </row>
    <row r="168" spans="1:10" s="186" customFormat="1" ht="12.75" customHeight="1">
      <c r="A168" s="775" t="s">
        <v>726</v>
      </c>
      <c r="B168" s="775" t="s">
        <v>1661</v>
      </c>
      <c r="C168" s="776">
        <v>0</v>
      </c>
      <c r="D168" s="776">
        <v>0</v>
      </c>
      <c r="E168" s="776">
        <v>0</v>
      </c>
      <c r="F168" s="776">
        <v>0</v>
      </c>
      <c r="G168" s="776">
        <v>0</v>
      </c>
      <c r="H168" s="763"/>
      <c r="I168" s="186">
        <f t="shared" si="4"/>
        <v>0</v>
      </c>
      <c r="J168" s="186">
        <v>1133754</v>
      </c>
    </row>
    <row r="169" spans="1:10" s="186" customFormat="1" ht="13">
      <c r="A169" s="775" t="s">
        <v>728</v>
      </c>
      <c r="B169" s="775" t="s">
        <v>1662</v>
      </c>
      <c r="C169" s="776">
        <v>0</v>
      </c>
      <c r="D169" s="776">
        <v>0</v>
      </c>
      <c r="E169" s="776">
        <v>0</v>
      </c>
      <c r="F169" s="776">
        <v>0</v>
      </c>
      <c r="G169" s="776">
        <v>0</v>
      </c>
      <c r="H169" s="763"/>
      <c r="I169" s="780">
        <f t="shared" si="4"/>
        <v>0</v>
      </c>
      <c r="J169" s="186">
        <v>1133755</v>
      </c>
    </row>
    <row r="170" spans="1:10" s="186" customFormat="1" ht="13">
      <c r="A170" s="775" t="s">
        <v>730</v>
      </c>
      <c r="B170" s="775" t="s">
        <v>1663</v>
      </c>
      <c r="C170" s="776">
        <v>0</v>
      </c>
      <c r="D170" s="776">
        <v>0</v>
      </c>
      <c r="E170" s="776">
        <v>0</v>
      </c>
      <c r="F170" s="776">
        <v>0</v>
      </c>
      <c r="G170" s="776">
        <v>0</v>
      </c>
      <c r="H170" s="763"/>
      <c r="I170" s="780">
        <f t="shared" si="4"/>
        <v>0</v>
      </c>
      <c r="J170" s="186">
        <v>1133756</v>
      </c>
    </row>
    <row r="171" spans="1:10" s="186" customFormat="1" ht="13">
      <c r="A171" s="775" t="s">
        <v>732</v>
      </c>
      <c r="B171" s="775" t="s">
        <v>1664</v>
      </c>
      <c r="C171" s="776">
        <v>0</v>
      </c>
      <c r="D171" s="776">
        <v>0</v>
      </c>
      <c r="E171" s="776">
        <v>0</v>
      </c>
      <c r="F171" s="776">
        <v>0</v>
      </c>
      <c r="G171" s="776">
        <v>0</v>
      </c>
      <c r="H171" s="763"/>
    </row>
    <row r="172" spans="1:10" s="186" customFormat="1" ht="13">
      <c r="A172" s="775" t="s">
        <v>734</v>
      </c>
      <c r="B172" s="775" t="s">
        <v>1665</v>
      </c>
      <c r="C172" s="776">
        <v>0</v>
      </c>
      <c r="D172" s="776">
        <v>0</v>
      </c>
      <c r="E172" s="776">
        <v>0</v>
      </c>
      <c r="F172" s="776">
        <v>0</v>
      </c>
      <c r="G172" s="776">
        <v>0</v>
      </c>
      <c r="H172" s="763"/>
      <c r="I172" s="780">
        <v>1</v>
      </c>
      <c r="J172" s="186">
        <v>1133757</v>
      </c>
    </row>
    <row r="173" spans="1:10" s="186" customFormat="1" ht="13">
      <c r="A173" s="775" t="s">
        <v>736</v>
      </c>
      <c r="B173" s="775" t="s">
        <v>1666</v>
      </c>
      <c r="C173" s="776">
        <v>0</v>
      </c>
      <c r="D173" s="776">
        <v>0</v>
      </c>
      <c r="E173" s="776">
        <v>0</v>
      </c>
      <c r="F173" s="776">
        <v>0</v>
      </c>
      <c r="G173" s="776">
        <v>0</v>
      </c>
      <c r="H173" s="763"/>
    </row>
    <row r="174" spans="1:10" s="186" customFormat="1" ht="13">
      <c r="A174" s="775" t="s">
        <v>738</v>
      </c>
      <c r="B174" s="775" t="s">
        <v>1667</v>
      </c>
      <c r="C174" s="776">
        <v>0</v>
      </c>
      <c r="D174" s="776">
        <v>0</v>
      </c>
      <c r="E174" s="776">
        <v>0</v>
      </c>
      <c r="F174" s="776">
        <v>0</v>
      </c>
      <c r="G174" s="776">
        <v>0</v>
      </c>
      <c r="H174" s="763"/>
      <c r="I174" s="780">
        <v>1</v>
      </c>
      <c r="J174" s="186">
        <v>1133758</v>
      </c>
    </row>
    <row r="175" spans="1:10" s="186" customFormat="1" ht="13">
      <c r="A175" s="775" t="s">
        <v>740</v>
      </c>
      <c r="B175" s="775" t="s">
        <v>1668</v>
      </c>
      <c r="C175" s="776">
        <v>0</v>
      </c>
      <c r="D175" s="776">
        <v>0</v>
      </c>
      <c r="E175" s="776">
        <v>0</v>
      </c>
      <c r="F175" s="776">
        <v>0</v>
      </c>
      <c r="G175" s="776">
        <v>0</v>
      </c>
      <c r="H175" s="763"/>
    </row>
    <row r="176" spans="1:10" s="186" customFormat="1" ht="13">
      <c r="A176" s="775" t="s">
        <v>742</v>
      </c>
      <c r="B176" s="775" t="s">
        <v>1669</v>
      </c>
      <c r="C176" s="776">
        <v>0</v>
      </c>
      <c r="D176" s="776">
        <v>0</v>
      </c>
      <c r="E176" s="776">
        <v>0</v>
      </c>
      <c r="F176" s="776">
        <v>0</v>
      </c>
      <c r="G176" s="776">
        <v>0</v>
      </c>
      <c r="H176" s="763"/>
      <c r="I176" s="187">
        <v>1</v>
      </c>
      <c r="J176" s="186">
        <v>1133759</v>
      </c>
    </row>
    <row r="177" spans="1:12" s="186" customFormat="1" ht="13">
      <c r="A177" s="775" t="s">
        <v>744</v>
      </c>
      <c r="B177" s="775" t="s">
        <v>1670</v>
      </c>
      <c r="C177" s="776">
        <v>0</v>
      </c>
      <c r="D177" s="776">
        <v>0</v>
      </c>
      <c r="E177" s="776">
        <v>0</v>
      </c>
      <c r="F177" s="776">
        <v>0</v>
      </c>
      <c r="G177" s="776">
        <v>0</v>
      </c>
      <c r="H177" s="763"/>
      <c r="I177" s="186">
        <f t="shared" ref="I177:I219" si="5">C177+D177+E177+F177+G177</f>
        <v>0</v>
      </c>
      <c r="J177" s="186">
        <v>1133760</v>
      </c>
      <c r="L177" s="186">
        <f>+F177-E177</f>
        <v>0</v>
      </c>
    </row>
    <row r="178" spans="1:12" s="186" customFormat="1" ht="13">
      <c r="A178" s="775" t="s">
        <v>746</v>
      </c>
      <c r="B178" s="775" t="s">
        <v>1671</v>
      </c>
      <c r="C178" s="776">
        <v>0</v>
      </c>
      <c r="D178" s="776">
        <v>0</v>
      </c>
      <c r="E178" s="776">
        <v>0</v>
      </c>
      <c r="F178" s="776">
        <v>0</v>
      </c>
      <c r="G178" s="776">
        <v>0</v>
      </c>
      <c r="H178" s="763"/>
      <c r="I178" s="186">
        <f t="shared" si="5"/>
        <v>0</v>
      </c>
      <c r="J178" s="186">
        <v>1133761</v>
      </c>
    </row>
    <row r="179" spans="1:12" s="186" customFormat="1" ht="13">
      <c r="A179" s="775" t="s">
        <v>748</v>
      </c>
      <c r="B179" s="775" t="s">
        <v>1672</v>
      </c>
      <c r="C179" s="776">
        <v>0</v>
      </c>
      <c r="D179" s="776">
        <v>0</v>
      </c>
      <c r="E179" s="776">
        <v>0</v>
      </c>
      <c r="F179" s="776">
        <v>0</v>
      </c>
      <c r="G179" s="776">
        <v>0</v>
      </c>
      <c r="H179" s="763"/>
      <c r="I179" s="186">
        <f t="shared" si="5"/>
        <v>0</v>
      </c>
      <c r="J179" s="186">
        <v>1133762</v>
      </c>
    </row>
    <row r="180" spans="1:12" s="186" customFormat="1" ht="13">
      <c r="A180" s="775" t="s">
        <v>750</v>
      </c>
      <c r="B180" s="775" t="s">
        <v>1673</v>
      </c>
      <c r="C180" s="776">
        <v>0</v>
      </c>
      <c r="D180" s="776">
        <v>0</v>
      </c>
      <c r="E180" s="776">
        <v>0</v>
      </c>
      <c r="F180" s="776">
        <v>0</v>
      </c>
      <c r="G180" s="776">
        <v>0</v>
      </c>
      <c r="H180" s="763"/>
      <c r="I180" s="186">
        <f t="shared" si="5"/>
        <v>0</v>
      </c>
      <c r="J180" s="186">
        <v>1133763</v>
      </c>
    </row>
    <row r="181" spans="1:12" s="186" customFormat="1" ht="13">
      <c r="A181" s="775" t="s">
        <v>752</v>
      </c>
      <c r="B181" s="775" t="s">
        <v>1674</v>
      </c>
      <c r="C181" s="776">
        <v>0</v>
      </c>
      <c r="D181" s="776">
        <v>0</v>
      </c>
      <c r="E181" s="776">
        <v>0</v>
      </c>
      <c r="F181" s="776">
        <v>0</v>
      </c>
      <c r="G181" s="776">
        <v>0</v>
      </c>
      <c r="H181" s="763"/>
      <c r="I181" s="186">
        <f t="shared" si="5"/>
        <v>0</v>
      </c>
      <c r="J181" s="186">
        <v>1133764</v>
      </c>
    </row>
    <row r="182" spans="1:12" s="186" customFormat="1" ht="13">
      <c r="A182" s="775" t="s">
        <v>754</v>
      </c>
      <c r="B182" s="775" t="s">
        <v>1675</v>
      </c>
      <c r="C182" s="776">
        <v>0</v>
      </c>
      <c r="D182" s="776">
        <v>57727.6</v>
      </c>
      <c r="E182" s="776">
        <v>34221.279999999999</v>
      </c>
      <c r="F182" s="776">
        <v>0</v>
      </c>
      <c r="G182" s="776">
        <v>0</v>
      </c>
      <c r="H182" s="763"/>
      <c r="I182" s="186">
        <f t="shared" si="5"/>
        <v>91948.88</v>
      </c>
      <c r="J182" s="186">
        <v>1133765</v>
      </c>
    </row>
    <row r="183" spans="1:12" s="186" customFormat="1" ht="13">
      <c r="A183" s="777" t="s">
        <v>756</v>
      </c>
      <c r="B183" s="777" t="s">
        <v>1676</v>
      </c>
      <c r="C183" s="778">
        <v>139660.60999999999</v>
      </c>
      <c r="D183" s="778">
        <v>186000.47</v>
      </c>
      <c r="E183" s="778">
        <v>112724.92</v>
      </c>
      <c r="F183" s="778">
        <v>24000</v>
      </c>
      <c r="G183" s="778">
        <v>32500</v>
      </c>
      <c r="H183" s="779"/>
      <c r="I183" s="186">
        <f t="shared" si="5"/>
        <v>494885.99999999994</v>
      </c>
      <c r="J183" s="186">
        <v>1133766</v>
      </c>
    </row>
    <row r="184" spans="1:12" s="186" customFormat="1" ht="12.75" customHeight="1">
      <c r="A184" s="777" t="s">
        <v>758</v>
      </c>
      <c r="B184" s="777" t="s">
        <v>1677</v>
      </c>
      <c r="C184" s="778">
        <v>9403565.2400000002</v>
      </c>
      <c r="D184" s="778">
        <v>9558345.9600000009</v>
      </c>
      <c r="E184" s="778">
        <v>6649310.6399999997</v>
      </c>
      <c r="F184" s="778">
        <v>5878647.7199999997</v>
      </c>
      <c r="G184" s="778">
        <v>9116361</v>
      </c>
      <c r="H184" s="779"/>
      <c r="I184" s="186">
        <f t="shared" si="5"/>
        <v>40606230.560000002</v>
      </c>
      <c r="J184" s="186">
        <v>1133767</v>
      </c>
    </row>
    <row r="185" spans="1:12" s="186" customFormat="1" ht="13">
      <c r="A185" s="775"/>
      <c r="B185" s="775"/>
      <c r="C185" s="776"/>
      <c r="D185" s="776"/>
      <c r="E185" s="776"/>
      <c r="F185" s="776"/>
      <c r="G185" s="776"/>
      <c r="H185" s="763"/>
      <c r="I185" s="186">
        <f t="shared" si="5"/>
        <v>0</v>
      </c>
      <c r="J185" s="186">
        <v>1133768</v>
      </c>
    </row>
    <row r="186" spans="1:12" s="186" customFormat="1" ht="13">
      <c r="A186" s="777" t="s">
        <v>760</v>
      </c>
      <c r="B186" s="777" t="s">
        <v>1678</v>
      </c>
      <c r="C186" s="778" t="s">
        <v>1483</v>
      </c>
      <c r="D186" s="778" t="s">
        <v>1483</v>
      </c>
      <c r="E186" s="778" t="s">
        <v>1483</v>
      </c>
      <c r="F186" s="778" t="s">
        <v>1483</v>
      </c>
      <c r="G186" s="778" t="s">
        <v>1483</v>
      </c>
      <c r="H186" s="779"/>
      <c r="I186" s="186" t="e" vm="1">
        <f t="shared" si="5"/>
        <v>#VALUE!</v>
      </c>
      <c r="J186" s="186">
        <v>1133769</v>
      </c>
    </row>
    <row r="187" spans="1:12" s="186" customFormat="1" ht="12.75" customHeight="1">
      <c r="A187" s="775"/>
      <c r="B187" s="775"/>
      <c r="C187" s="776"/>
      <c r="D187" s="776"/>
      <c r="E187" s="776"/>
      <c r="F187" s="776"/>
      <c r="G187" s="776"/>
      <c r="H187" s="763"/>
      <c r="I187" s="186">
        <f t="shared" si="5"/>
        <v>0</v>
      </c>
      <c r="J187" s="186">
        <v>1133770</v>
      </c>
    </row>
    <row r="188" spans="1:12" s="186" customFormat="1" ht="12.75" customHeight="1">
      <c r="A188" s="777" t="s">
        <v>762</v>
      </c>
      <c r="B188" s="777" t="s">
        <v>1679</v>
      </c>
      <c r="C188" s="778" t="s">
        <v>1483</v>
      </c>
      <c r="D188" s="778" t="s">
        <v>1483</v>
      </c>
      <c r="E188" s="778" t="s">
        <v>1483</v>
      </c>
      <c r="F188" s="778" t="s">
        <v>1483</v>
      </c>
      <c r="G188" s="778" t="s">
        <v>1483</v>
      </c>
      <c r="H188" s="779"/>
      <c r="I188" s="186" t="e" vm="1">
        <f t="shared" si="5"/>
        <v>#VALUE!</v>
      </c>
      <c r="J188" s="186">
        <v>1133771</v>
      </c>
    </row>
    <row r="189" spans="1:12" s="186" customFormat="1" ht="12.75" customHeight="1">
      <c r="A189" s="775"/>
      <c r="B189" s="775"/>
      <c r="C189" s="776"/>
      <c r="D189" s="776"/>
      <c r="E189" s="776"/>
      <c r="F189" s="776"/>
      <c r="G189" s="776"/>
      <c r="H189" s="763"/>
      <c r="I189" s="186">
        <f t="shared" si="5"/>
        <v>0</v>
      </c>
      <c r="J189" s="186">
        <v>1133772</v>
      </c>
    </row>
    <row r="190" spans="1:12" s="186" customFormat="1" ht="12.75" customHeight="1">
      <c r="A190" s="269" t="s">
        <v>764</v>
      </c>
      <c r="B190" s="269" t="s">
        <v>1680</v>
      </c>
      <c r="C190" s="270" t="s">
        <v>1483</v>
      </c>
      <c r="D190" s="270" t="s">
        <v>1483</v>
      </c>
      <c r="E190" s="270" t="s">
        <v>1483</v>
      </c>
      <c r="F190" s="270" t="s">
        <v>1483</v>
      </c>
      <c r="G190" s="270" t="s">
        <v>1483</v>
      </c>
      <c r="H190" s="713"/>
      <c r="I190" s="186" t="e" vm="1">
        <f t="shared" si="5"/>
        <v>#VALUE!</v>
      </c>
      <c r="J190" s="186">
        <v>1133773</v>
      </c>
    </row>
    <row r="191" spans="1:12" s="186" customFormat="1" ht="12.75" customHeight="1">
      <c r="A191" s="775" t="s">
        <v>766</v>
      </c>
      <c r="B191" s="775" t="s">
        <v>1681</v>
      </c>
      <c r="C191" s="776">
        <v>697497.87</v>
      </c>
      <c r="D191" s="776">
        <v>709484.74</v>
      </c>
      <c r="E191" s="776">
        <v>464474.23</v>
      </c>
      <c r="F191" s="776">
        <v>539851</v>
      </c>
      <c r="G191" s="776">
        <v>802063</v>
      </c>
      <c r="H191" s="763"/>
      <c r="I191" s="186">
        <f t="shared" si="5"/>
        <v>3213370.84</v>
      </c>
      <c r="J191" s="186">
        <v>1133774</v>
      </c>
    </row>
    <row r="192" spans="1:12" s="186" customFormat="1" ht="13">
      <c r="A192" s="775" t="s">
        <v>768</v>
      </c>
      <c r="B192" s="775" t="s">
        <v>1682</v>
      </c>
      <c r="C192" s="776">
        <v>44679.92</v>
      </c>
      <c r="D192" s="776">
        <v>45711.62</v>
      </c>
      <c r="E192" s="776">
        <v>38888.879999999997</v>
      </c>
      <c r="F192" s="776">
        <v>21614</v>
      </c>
      <c r="G192" s="776">
        <v>26138</v>
      </c>
      <c r="H192" s="763"/>
      <c r="I192" s="186">
        <f t="shared" si="5"/>
        <v>177032.42</v>
      </c>
      <c r="J192" s="186">
        <v>1133775</v>
      </c>
    </row>
    <row r="193" spans="1:10" s="186" customFormat="1" ht="13">
      <c r="A193" s="775" t="s">
        <v>770</v>
      </c>
      <c r="B193" s="775" t="s">
        <v>1683</v>
      </c>
      <c r="C193" s="776">
        <v>52201.42</v>
      </c>
      <c r="D193" s="776">
        <v>57738.99</v>
      </c>
      <c r="E193" s="776">
        <v>55459.56</v>
      </c>
      <c r="F193" s="776">
        <v>33016</v>
      </c>
      <c r="G193" s="776">
        <v>33016</v>
      </c>
      <c r="H193" s="763"/>
      <c r="I193" s="186">
        <f t="shared" si="5"/>
        <v>231431.97</v>
      </c>
      <c r="J193" s="186">
        <v>1133776</v>
      </c>
    </row>
    <row r="194" spans="1:10" s="186" customFormat="1" ht="12.75" customHeight="1">
      <c r="A194" s="775" t="s">
        <v>772</v>
      </c>
      <c r="B194" s="775" t="s">
        <v>1684</v>
      </c>
      <c r="C194" s="776">
        <v>24204.87</v>
      </c>
      <c r="D194" s="776">
        <v>25440.57</v>
      </c>
      <c r="E194" s="776">
        <v>15234.04</v>
      </c>
      <c r="F194" s="776">
        <v>7274</v>
      </c>
      <c r="G194" s="776">
        <v>14547</v>
      </c>
      <c r="H194" s="763"/>
      <c r="I194" s="186">
        <f t="shared" si="5"/>
        <v>86700.48000000001</v>
      </c>
      <c r="J194" s="186">
        <v>1133777</v>
      </c>
    </row>
    <row r="195" spans="1:10" s="186" customFormat="1" ht="12.75" customHeight="1">
      <c r="A195" s="775" t="s">
        <v>774</v>
      </c>
      <c r="B195" s="775" t="s">
        <v>1685</v>
      </c>
      <c r="C195" s="776">
        <v>26677.79</v>
      </c>
      <c r="D195" s="776">
        <v>24263.82</v>
      </c>
      <c r="E195" s="776">
        <v>15065.04</v>
      </c>
      <c r="F195" s="776">
        <v>6938</v>
      </c>
      <c r="G195" s="776">
        <v>13874</v>
      </c>
      <c r="H195" s="763"/>
      <c r="I195" s="186">
        <f t="shared" si="5"/>
        <v>86818.65</v>
      </c>
      <c r="J195" s="186">
        <v>1133778</v>
      </c>
    </row>
    <row r="196" spans="1:10" s="186" customFormat="1" ht="12.75" customHeight="1">
      <c r="A196" s="775" t="s">
        <v>776</v>
      </c>
      <c r="B196" s="775" t="s">
        <v>1686</v>
      </c>
      <c r="C196" s="776">
        <v>30871.45</v>
      </c>
      <c r="D196" s="776">
        <v>35606.01</v>
      </c>
      <c r="E196" s="776">
        <v>30446.68</v>
      </c>
      <c r="F196" s="776">
        <v>18140</v>
      </c>
      <c r="G196" s="776">
        <v>20360</v>
      </c>
      <c r="H196" s="763"/>
      <c r="I196" s="186">
        <f t="shared" si="5"/>
        <v>135424.14000000001</v>
      </c>
      <c r="J196" s="186">
        <v>1133779</v>
      </c>
    </row>
    <row r="197" spans="1:10" s="186" customFormat="1" ht="12.75" customHeight="1">
      <c r="A197" s="775" t="s">
        <v>778</v>
      </c>
      <c r="B197" s="775" t="s">
        <v>1687</v>
      </c>
      <c r="C197" s="776">
        <v>0</v>
      </c>
      <c r="D197" s="776">
        <v>60</v>
      </c>
      <c r="E197" s="776">
        <v>390</v>
      </c>
      <c r="F197" s="776">
        <v>22.64</v>
      </c>
      <c r="G197" s="776">
        <v>34</v>
      </c>
      <c r="H197" s="763"/>
      <c r="I197" s="186">
        <f t="shared" si="5"/>
        <v>506.64</v>
      </c>
      <c r="J197" s="186">
        <v>1133780</v>
      </c>
    </row>
    <row r="198" spans="1:10" s="186" customFormat="1" ht="12.75" customHeight="1">
      <c r="A198" s="775" t="s">
        <v>780</v>
      </c>
      <c r="B198" s="775" t="s">
        <v>1688</v>
      </c>
      <c r="C198" s="776">
        <v>0</v>
      </c>
      <c r="D198" s="776">
        <v>0</v>
      </c>
      <c r="E198" s="776">
        <v>0</v>
      </c>
      <c r="F198" s="776">
        <v>0</v>
      </c>
      <c r="G198" s="776">
        <v>0</v>
      </c>
      <c r="H198" s="763"/>
      <c r="I198" s="186">
        <f t="shared" si="5"/>
        <v>0</v>
      </c>
      <c r="J198" s="186">
        <v>1133781</v>
      </c>
    </row>
    <row r="199" spans="1:10" s="186" customFormat="1" ht="12.75" customHeight="1">
      <c r="A199" s="775" t="s">
        <v>782</v>
      </c>
      <c r="B199" s="775" t="s">
        <v>1689</v>
      </c>
      <c r="C199" s="776">
        <v>1258.48</v>
      </c>
      <c r="D199" s="776">
        <v>0</v>
      </c>
      <c r="E199" s="776">
        <v>2302.4</v>
      </c>
      <c r="F199" s="776">
        <v>0</v>
      </c>
      <c r="G199" s="776">
        <v>0</v>
      </c>
      <c r="H199" s="763"/>
      <c r="I199" s="186">
        <f t="shared" si="5"/>
        <v>3560.88</v>
      </c>
      <c r="J199" s="186">
        <v>1133782</v>
      </c>
    </row>
    <row r="200" spans="1:10" s="186" customFormat="1" ht="12.75" customHeight="1">
      <c r="A200" s="775" t="s">
        <v>784</v>
      </c>
      <c r="B200" s="775" t="s">
        <v>1690</v>
      </c>
      <c r="C200" s="776">
        <v>37300</v>
      </c>
      <c r="D200" s="776">
        <v>45600</v>
      </c>
      <c r="E200" s="776">
        <v>1000</v>
      </c>
      <c r="F200" s="776">
        <v>0</v>
      </c>
      <c r="G200" s="776">
        <v>34500</v>
      </c>
      <c r="H200" s="763"/>
      <c r="I200" s="186">
        <f t="shared" si="5"/>
        <v>118400</v>
      </c>
      <c r="J200" s="186">
        <v>1133783</v>
      </c>
    </row>
    <row r="201" spans="1:10" s="186" customFormat="1" ht="12.75" customHeight="1">
      <c r="A201" s="775" t="s">
        <v>786</v>
      </c>
      <c r="B201" s="775" t="s">
        <v>1691</v>
      </c>
      <c r="C201" s="776">
        <v>0</v>
      </c>
      <c r="D201" s="776">
        <v>0</v>
      </c>
      <c r="E201" s="776">
        <v>0</v>
      </c>
      <c r="F201" s="776">
        <v>0</v>
      </c>
      <c r="G201" s="776">
        <v>0</v>
      </c>
      <c r="H201" s="763"/>
      <c r="I201" s="186">
        <f t="shared" si="5"/>
        <v>0</v>
      </c>
      <c r="J201" s="186">
        <v>1133784</v>
      </c>
    </row>
    <row r="202" spans="1:10" s="186" customFormat="1" ht="12.75" customHeight="1">
      <c r="A202" s="775" t="s">
        <v>788</v>
      </c>
      <c r="B202" s="775" t="s">
        <v>1692</v>
      </c>
      <c r="C202" s="776">
        <v>0</v>
      </c>
      <c r="D202" s="776">
        <v>0</v>
      </c>
      <c r="E202" s="776">
        <v>0</v>
      </c>
      <c r="F202" s="776">
        <v>0</v>
      </c>
      <c r="G202" s="776">
        <v>0</v>
      </c>
      <c r="H202" s="763"/>
      <c r="I202" s="186">
        <f t="shared" si="5"/>
        <v>0</v>
      </c>
      <c r="J202" s="186">
        <v>1133785</v>
      </c>
    </row>
    <row r="203" spans="1:10" s="186" customFormat="1" ht="12.75" customHeight="1">
      <c r="A203" s="775" t="s">
        <v>790</v>
      </c>
      <c r="B203" s="775" t="s">
        <v>1693</v>
      </c>
      <c r="C203" s="776">
        <v>0</v>
      </c>
      <c r="D203" s="776">
        <v>0</v>
      </c>
      <c r="E203" s="776">
        <v>0</v>
      </c>
      <c r="F203" s="776">
        <v>0</v>
      </c>
      <c r="G203" s="776">
        <v>0</v>
      </c>
      <c r="H203" s="763"/>
      <c r="I203" s="186">
        <f t="shared" si="5"/>
        <v>0</v>
      </c>
      <c r="J203" s="186">
        <v>1133786</v>
      </c>
    </row>
    <row r="204" spans="1:10" s="186" customFormat="1" ht="0.75" customHeight="1">
      <c r="A204" s="775" t="s">
        <v>792</v>
      </c>
      <c r="B204" s="775" t="s">
        <v>1694</v>
      </c>
      <c r="C204" s="776">
        <v>0</v>
      </c>
      <c r="D204" s="776">
        <v>0</v>
      </c>
      <c r="E204" s="776">
        <v>0</v>
      </c>
      <c r="F204" s="776">
        <v>0</v>
      </c>
      <c r="G204" s="776">
        <v>0</v>
      </c>
      <c r="H204" s="763"/>
      <c r="I204" s="186">
        <f t="shared" si="5"/>
        <v>0</v>
      </c>
      <c r="J204" s="186">
        <v>1133787</v>
      </c>
    </row>
    <row r="205" spans="1:10" s="186" customFormat="1" ht="13">
      <c r="A205" s="775" t="s">
        <v>794</v>
      </c>
      <c r="B205" s="775" t="s">
        <v>1695</v>
      </c>
      <c r="C205" s="776">
        <v>0</v>
      </c>
      <c r="D205" s="776">
        <v>0</v>
      </c>
      <c r="E205" s="776">
        <v>0</v>
      </c>
      <c r="F205" s="776">
        <v>0</v>
      </c>
      <c r="G205" s="776">
        <v>0</v>
      </c>
      <c r="H205" s="763"/>
      <c r="I205" s="186">
        <f t="shared" si="5"/>
        <v>0</v>
      </c>
      <c r="J205" s="186">
        <v>1133788</v>
      </c>
    </row>
    <row r="206" spans="1:10" s="186" customFormat="1" ht="13">
      <c r="A206" s="775" t="s">
        <v>796</v>
      </c>
      <c r="B206" s="775" t="s">
        <v>1696</v>
      </c>
      <c r="C206" s="776">
        <v>74535.820000000007</v>
      </c>
      <c r="D206" s="776">
        <v>76797.08</v>
      </c>
      <c r="E206" s="776">
        <v>52227.66</v>
      </c>
      <c r="F206" s="776">
        <v>53647</v>
      </c>
      <c r="G206" s="776">
        <v>78888</v>
      </c>
      <c r="H206" s="763"/>
      <c r="I206" s="186">
        <f t="shared" si="5"/>
        <v>336095.56000000006</v>
      </c>
      <c r="J206" s="186">
        <v>1133789</v>
      </c>
    </row>
    <row r="207" spans="1:10" s="186" customFormat="1" ht="13">
      <c r="A207" s="775" t="s">
        <v>800</v>
      </c>
      <c r="B207" s="775" t="s">
        <v>1697</v>
      </c>
      <c r="C207" s="776">
        <v>280.8</v>
      </c>
      <c r="D207" s="776">
        <v>0</v>
      </c>
      <c r="E207" s="776">
        <v>0</v>
      </c>
      <c r="F207" s="776">
        <v>0</v>
      </c>
      <c r="G207" s="776">
        <v>0</v>
      </c>
      <c r="H207" s="763"/>
      <c r="I207" s="186">
        <f t="shared" si="5"/>
        <v>280.8</v>
      </c>
      <c r="J207" s="186">
        <v>1133790</v>
      </c>
    </row>
    <row r="208" spans="1:10" s="186" customFormat="1" ht="13">
      <c r="A208" s="775" t="s">
        <v>802</v>
      </c>
      <c r="B208" s="775" t="s">
        <v>1698</v>
      </c>
      <c r="C208" s="776">
        <v>0</v>
      </c>
      <c r="D208" s="776">
        <v>0</v>
      </c>
      <c r="E208" s="776">
        <v>0</v>
      </c>
      <c r="F208" s="776">
        <v>0</v>
      </c>
      <c r="G208" s="776">
        <v>0</v>
      </c>
      <c r="H208" s="763"/>
      <c r="I208" s="186">
        <f t="shared" si="5"/>
        <v>0</v>
      </c>
      <c r="J208" s="186">
        <v>1133791</v>
      </c>
    </row>
    <row r="209" spans="1:10" s="186" customFormat="1" ht="13">
      <c r="A209" s="775" t="s">
        <v>804</v>
      </c>
      <c r="B209" s="775" t="s">
        <v>1699</v>
      </c>
      <c r="C209" s="776">
        <v>384.66</v>
      </c>
      <c r="D209" s="776">
        <v>368.92</v>
      </c>
      <c r="E209" s="776">
        <v>-1340</v>
      </c>
      <c r="F209" s="776">
        <v>0</v>
      </c>
      <c r="G209" s="776">
        <v>0</v>
      </c>
      <c r="H209" s="763"/>
      <c r="I209" s="186">
        <f t="shared" si="5"/>
        <v>-586.41999999999996</v>
      </c>
      <c r="J209" s="186">
        <v>1133792</v>
      </c>
    </row>
    <row r="210" spans="1:10" s="186" customFormat="1" ht="12.75" customHeight="1">
      <c r="A210" s="775" t="s">
        <v>806</v>
      </c>
      <c r="B210" s="775" t="s">
        <v>1700</v>
      </c>
      <c r="C210" s="776">
        <v>0</v>
      </c>
      <c r="D210" s="776">
        <v>0</v>
      </c>
      <c r="E210" s="776">
        <v>0</v>
      </c>
      <c r="F210" s="776">
        <v>0</v>
      </c>
      <c r="G210" s="776">
        <v>0</v>
      </c>
      <c r="H210" s="763"/>
      <c r="I210" s="186">
        <f t="shared" si="5"/>
        <v>0</v>
      </c>
      <c r="J210" s="186">
        <v>1133793</v>
      </c>
    </row>
    <row r="211" spans="1:10" s="186" customFormat="1" ht="13">
      <c r="A211" s="775" t="s">
        <v>808</v>
      </c>
      <c r="B211" s="775" t="s">
        <v>1701</v>
      </c>
      <c r="C211" s="776">
        <v>0</v>
      </c>
      <c r="D211" s="776">
        <v>0</v>
      </c>
      <c r="E211" s="776">
        <v>0</v>
      </c>
      <c r="F211" s="776">
        <v>0</v>
      </c>
      <c r="G211" s="776">
        <v>0</v>
      </c>
      <c r="H211" s="763"/>
      <c r="I211" s="186">
        <f t="shared" si="5"/>
        <v>0</v>
      </c>
      <c r="J211" s="186">
        <v>1133794</v>
      </c>
    </row>
    <row r="212" spans="1:10" s="186" customFormat="1" ht="13">
      <c r="A212" s="775" t="s">
        <v>810</v>
      </c>
      <c r="B212" s="775" t="s">
        <v>1702</v>
      </c>
      <c r="C212" s="776">
        <v>0</v>
      </c>
      <c r="D212" s="776">
        <v>0</v>
      </c>
      <c r="E212" s="776">
        <v>0</v>
      </c>
      <c r="F212" s="776">
        <v>0</v>
      </c>
      <c r="G212" s="776">
        <v>0</v>
      </c>
      <c r="H212" s="763"/>
      <c r="I212" s="186">
        <f t="shared" si="5"/>
        <v>0</v>
      </c>
      <c r="J212" s="186">
        <v>1133795</v>
      </c>
    </row>
    <row r="213" spans="1:10" s="186" customFormat="1" ht="13">
      <c r="A213" s="775" t="s">
        <v>812</v>
      </c>
      <c r="B213" s="775" t="s">
        <v>1703</v>
      </c>
      <c r="C213" s="776">
        <v>0</v>
      </c>
      <c r="D213" s="776">
        <v>0</v>
      </c>
      <c r="E213" s="776">
        <v>0</v>
      </c>
      <c r="F213" s="776">
        <v>0</v>
      </c>
      <c r="G213" s="776">
        <v>0</v>
      </c>
      <c r="H213" s="763"/>
      <c r="I213" s="186">
        <f t="shared" si="5"/>
        <v>0</v>
      </c>
      <c r="J213" s="186">
        <v>1133796</v>
      </c>
    </row>
    <row r="214" spans="1:10" s="186" customFormat="1" ht="13">
      <c r="A214" s="775" t="s">
        <v>814</v>
      </c>
      <c r="B214" s="775" t="s">
        <v>1704</v>
      </c>
      <c r="C214" s="776">
        <v>-1710</v>
      </c>
      <c r="D214" s="776">
        <v>990</v>
      </c>
      <c r="E214" s="776">
        <v>0</v>
      </c>
      <c r="F214" s="776">
        <v>0</v>
      </c>
      <c r="G214" s="776">
        <v>0</v>
      </c>
      <c r="H214" s="763"/>
      <c r="I214" s="186">
        <f t="shared" si="5"/>
        <v>-720</v>
      </c>
      <c r="J214" s="186">
        <v>1133797</v>
      </c>
    </row>
    <row r="215" spans="1:10" s="186" customFormat="1" ht="12.75" customHeight="1">
      <c r="A215" s="775" t="s">
        <v>816</v>
      </c>
      <c r="B215" s="775" t="s">
        <v>1705</v>
      </c>
      <c r="C215" s="776">
        <v>38406.36</v>
      </c>
      <c r="D215" s="776">
        <v>42784.84</v>
      </c>
      <c r="E215" s="776">
        <v>28588.560000000001</v>
      </c>
      <c r="F215" s="776">
        <v>32803.360000000001</v>
      </c>
      <c r="G215" s="776">
        <v>49205</v>
      </c>
      <c r="H215" s="763"/>
      <c r="I215" s="186">
        <f t="shared" si="5"/>
        <v>191788.12</v>
      </c>
      <c r="J215" s="186">
        <v>1133798</v>
      </c>
    </row>
    <row r="216" spans="1:10" s="186" customFormat="1" ht="12.75" customHeight="1">
      <c r="A216" s="775" t="s">
        <v>1706</v>
      </c>
      <c r="B216" s="775" t="s">
        <v>1707</v>
      </c>
      <c r="C216" s="776">
        <v>0</v>
      </c>
      <c r="D216" s="776">
        <v>0</v>
      </c>
      <c r="E216" s="776">
        <v>0</v>
      </c>
      <c r="F216" s="776">
        <v>0</v>
      </c>
      <c r="G216" s="776">
        <v>0</v>
      </c>
      <c r="H216" s="763"/>
      <c r="I216" s="186">
        <f t="shared" si="5"/>
        <v>0</v>
      </c>
      <c r="J216" s="186">
        <v>1133799</v>
      </c>
    </row>
    <row r="217" spans="1:10" s="186" customFormat="1" ht="13">
      <c r="A217" s="775" t="s">
        <v>818</v>
      </c>
      <c r="B217" s="775" t="s">
        <v>1708</v>
      </c>
      <c r="C217" s="776">
        <v>0</v>
      </c>
      <c r="D217" s="776">
        <v>0</v>
      </c>
      <c r="E217" s="776">
        <v>0</v>
      </c>
      <c r="F217" s="776">
        <v>0</v>
      </c>
      <c r="G217" s="776">
        <v>0</v>
      </c>
      <c r="H217" s="763"/>
      <c r="I217" s="186">
        <f t="shared" si="5"/>
        <v>0</v>
      </c>
      <c r="J217" s="186">
        <v>1133800</v>
      </c>
    </row>
    <row r="218" spans="1:10" s="186" customFormat="1" ht="12.75" customHeight="1">
      <c r="A218" s="775" t="s">
        <v>820</v>
      </c>
      <c r="B218" s="775" t="s">
        <v>1709</v>
      </c>
      <c r="C218" s="776">
        <v>0</v>
      </c>
      <c r="D218" s="776">
        <v>0</v>
      </c>
      <c r="E218" s="776">
        <v>0</v>
      </c>
      <c r="F218" s="776">
        <v>0</v>
      </c>
      <c r="G218" s="776">
        <v>0</v>
      </c>
      <c r="H218" s="763"/>
      <c r="I218" s="186">
        <f t="shared" si="5"/>
        <v>0</v>
      </c>
      <c r="J218" s="186">
        <v>1133801</v>
      </c>
    </row>
    <row r="219" spans="1:10" s="186" customFormat="1" ht="13">
      <c r="A219" s="775" t="s">
        <v>822</v>
      </c>
      <c r="B219" s="775" t="s">
        <v>1710</v>
      </c>
      <c r="C219" s="776">
        <v>73959.25</v>
      </c>
      <c r="D219" s="776">
        <v>71736.5</v>
      </c>
      <c r="E219" s="776">
        <v>51415</v>
      </c>
      <c r="F219" s="776">
        <v>52077.36</v>
      </c>
      <c r="G219" s="776">
        <v>78116</v>
      </c>
      <c r="H219" s="763"/>
      <c r="I219" s="780">
        <f t="shared" si="5"/>
        <v>327304.11</v>
      </c>
      <c r="J219" s="186">
        <v>1133802</v>
      </c>
    </row>
    <row r="220" spans="1:10" s="186" customFormat="1" ht="13">
      <c r="A220" s="775" t="s">
        <v>824</v>
      </c>
      <c r="B220" s="775" t="s">
        <v>1711</v>
      </c>
      <c r="C220" s="776">
        <v>251635.41</v>
      </c>
      <c r="D220" s="776">
        <v>256270.07999999999</v>
      </c>
      <c r="E220" s="776">
        <v>179828</v>
      </c>
      <c r="F220" s="776">
        <v>180488</v>
      </c>
      <c r="G220" s="776">
        <v>270732</v>
      </c>
      <c r="H220" s="763"/>
    </row>
    <row r="221" spans="1:10" s="186" customFormat="1" ht="13">
      <c r="A221" s="775" t="s">
        <v>826</v>
      </c>
      <c r="B221" s="775" t="s">
        <v>1712</v>
      </c>
      <c r="C221" s="776">
        <v>6890</v>
      </c>
      <c r="D221" s="776">
        <v>6900</v>
      </c>
      <c r="E221" s="776">
        <v>4550</v>
      </c>
      <c r="F221" s="776">
        <v>4840</v>
      </c>
      <c r="G221" s="776">
        <v>7190</v>
      </c>
      <c r="H221" s="763"/>
      <c r="I221" s="187">
        <v>1</v>
      </c>
      <c r="J221" s="186">
        <v>1133803</v>
      </c>
    </row>
    <row r="222" spans="1:10" s="186" customFormat="1" ht="13">
      <c r="A222" s="775" t="s">
        <v>828</v>
      </c>
      <c r="B222" s="775" t="s">
        <v>1713</v>
      </c>
      <c r="C222" s="776">
        <v>541.9</v>
      </c>
      <c r="D222" s="776">
        <v>384.2</v>
      </c>
      <c r="E222" s="776">
        <v>1313.51</v>
      </c>
      <c r="F222" s="776">
        <v>264</v>
      </c>
      <c r="G222" s="776">
        <v>396</v>
      </c>
      <c r="H222" s="763"/>
      <c r="I222" s="186">
        <f t="shared" ref="I222:I229" si="6">C222+D222+E222+F222+G222</f>
        <v>2899.6099999999997</v>
      </c>
      <c r="J222" s="186">
        <v>1133804</v>
      </c>
    </row>
    <row r="223" spans="1:10" s="186" customFormat="1" ht="12.75" customHeight="1">
      <c r="A223" s="775" t="s">
        <v>830</v>
      </c>
      <c r="B223" s="775" t="s">
        <v>1714</v>
      </c>
      <c r="C223" s="776">
        <v>1846.18</v>
      </c>
      <c r="D223" s="776">
        <v>1809.57</v>
      </c>
      <c r="E223" s="776">
        <v>1243.44</v>
      </c>
      <c r="F223" s="776">
        <v>1243.3599999999999</v>
      </c>
      <c r="G223" s="776">
        <v>1865</v>
      </c>
      <c r="H223" s="763"/>
      <c r="I223" s="186">
        <f t="shared" si="6"/>
        <v>8007.55</v>
      </c>
      <c r="J223" s="186">
        <v>1133805</v>
      </c>
    </row>
    <row r="224" spans="1:10" s="186" customFormat="1" ht="12.75" customHeight="1">
      <c r="A224" s="775" t="s">
        <v>832</v>
      </c>
      <c r="B224" s="775" t="s">
        <v>1715</v>
      </c>
      <c r="C224" s="776">
        <v>0</v>
      </c>
      <c r="D224" s="776">
        <v>0</v>
      </c>
      <c r="E224" s="776">
        <v>0</v>
      </c>
      <c r="F224" s="776">
        <v>0</v>
      </c>
      <c r="G224" s="776">
        <v>0</v>
      </c>
      <c r="H224" s="763"/>
      <c r="I224" s="186">
        <f t="shared" si="6"/>
        <v>0</v>
      </c>
      <c r="J224" s="186">
        <v>1133806</v>
      </c>
    </row>
    <row r="225" spans="1:10" s="186" customFormat="1" ht="13">
      <c r="A225" s="775" t="s">
        <v>834</v>
      </c>
      <c r="B225" s="775" t="s">
        <v>1716</v>
      </c>
      <c r="C225" s="776">
        <v>0</v>
      </c>
      <c r="D225" s="776">
        <v>0</v>
      </c>
      <c r="E225" s="776">
        <v>0</v>
      </c>
      <c r="F225" s="776">
        <v>0</v>
      </c>
      <c r="G225" s="776">
        <v>0</v>
      </c>
      <c r="H225" s="763"/>
      <c r="I225" s="186">
        <f t="shared" si="6"/>
        <v>0</v>
      </c>
      <c r="J225" s="186">
        <v>1133807</v>
      </c>
    </row>
    <row r="226" spans="1:10" s="186" customFormat="1" ht="12.75" customHeight="1">
      <c r="A226" s="775" t="s">
        <v>836</v>
      </c>
      <c r="B226" s="775" t="s">
        <v>1717</v>
      </c>
      <c r="C226" s="776">
        <v>28055.93</v>
      </c>
      <c r="D226" s="776">
        <v>50121.96</v>
      </c>
      <c r="E226" s="776">
        <v>35572.36</v>
      </c>
      <c r="F226" s="776">
        <v>31483</v>
      </c>
      <c r="G226" s="776">
        <v>47227</v>
      </c>
      <c r="H226" s="763"/>
      <c r="I226" s="186">
        <f t="shared" si="6"/>
        <v>192460.25</v>
      </c>
      <c r="J226" s="186">
        <v>1133808</v>
      </c>
    </row>
    <row r="227" spans="1:10" s="186" customFormat="1" ht="13">
      <c r="A227" s="775" t="s">
        <v>838</v>
      </c>
      <c r="B227" s="775" t="s">
        <v>1718</v>
      </c>
      <c r="C227" s="776">
        <v>-7425.9</v>
      </c>
      <c r="D227" s="776">
        <v>-9481.2199999999993</v>
      </c>
      <c r="E227" s="776">
        <v>-8644.9</v>
      </c>
      <c r="F227" s="776">
        <v>0</v>
      </c>
      <c r="G227" s="776">
        <v>0</v>
      </c>
      <c r="H227" s="763"/>
      <c r="I227" s="186">
        <f t="shared" si="6"/>
        <v>-25552.019999999997</v>
      </c>
      <c r="J227" s="186">
        <v>1133809</v>
      </c>
    </row>
    <row r="228" spans="1:10" s="186" customFormat="1" ht="12.75" customHeight="1">
      <c r="A228" s="775" t="s">
        <v>840</v>
      </c>
      <c r="B228" s="775" t="s">
        <v>1719</v>
      </c>
      <c r="C228" s="776">
        <v>326.2</v>
      </c>
      <c r="D228" s="776">
        <v>-156.76</v>
      </c>
      <c r="E228" s="776">
        <v>1326.2</v>
      </c>
      <c r="F228" s="776">
        <v>4838</v>
      </c>
      <c r="G228" s="776">
        <v>4838</v>
      </c>
      <c r="H228" s="763"/>
      <c r="I228" s="186">
        <f t="shared" si="6"/>
        <v>11171.64</v>
      </c>
      <c r="J228" s="186">
        <v>1133810</v>
      </c>
    </row>
    <row r="229" spans="1:10" s="186" customFormat="1" ht="13">
      <c r="A229" s="775" t="s">
        <v>1720</v>
      </c>
      <c r="B229" s="775" t="s">
        <v>1721</v>
      </c>
      <c r="C229" s="776">
        <v>0</v>
      </c>
      <c r="D229" s="776">
        <v>0</v>
      </c>
      <c r="E229" s="776">
        <v>0</v>
      </c>
      <c r="F229" s="776">
        <v>0</v>
      </c>
      <c r="G229" s="776">
        <v>0</v>
      </c>
      <c r="H229" s="763"/>
      <c r="I229" s="780">
        <f t="shared" si="6"/>
        <v>0</v>
      </c>
      <c r="J229" s="186">
        <v>1133811</v>
      </c>
    </row>
    <row r="230" spans="1:10" s="186" customFormat="1" ht="13">
      <c r="A230" s="775" t="s">
        <v>842</v>
      </c>
      <c r="B230" s="775" t="s">
        <v>1722</v>
      </c>
      <c r="C230" s="776">
        <v>0</v>
      </c>
      <c r="D230" s="776">
        <v>0</v>
      </c>
      <c r="E230" s="776">
        <v>0</v>
      </c>
      <c r="F230" s="776">
        <v>0</v>
      </c>
      <c r="G230" s="776">
        <v>0</v>
      </c>
      <c r="H230" s="763"/>
    </row>
    <row r="231" spans="1:10" s="186" customFormat="1" ht="13">
      <c r="A231" s="775" t="s">
        <v>844</v>
      </c>
      <c r="B231" s="775" t="s">
        <v>1723</v>
      </c>
      <c r="C231" s="776">
        <v>0</v>
      </c>
      <c r="D231" s="776">
        <v>0</v>
      </c>
      <c r="E231" s="776">
        <v>0</v>
      </c>
      <c r="F231" s="776">
        <v>0</v>
      </c>
      <c r="G231" s="776">
        <v>0</v>
      </c>
      <c r="H231" s="763"/>
      <c r="I231" s="187">
        <v>1</v>
      </c>
      <c r="J231" s="186">
        <v>1133812</v>
      </c>
    </row>
    <row r="232" spans="1:10" s="186" customFormat="1" ht="13">
      <c r="A232" s="775" t="s">
        <v>846</v>
      </c>
      <c r="B232" s="775" t="s">
        <v>1724</v>
      </c>
      <c r="C232" s="776">
        <v>4804.68</v>
      </c>
      <c r="D232" s="776">
        <v>5087.1899999999996</v>
      </c>
      <c r="E232" s="776">
        <v>4690.58</v>
      </c>
      <c r="F232" s="776">
        <v>3516</v>
      </c>
      <c r="G232" s="776">
        <v>5221</v>
      </c>
      <c r="H232" s="763"/>
    </row>
    <row r="233" spans="1:10" s="186" customFormat="1" ht="13">
      <c r="A233" s="775" t="s">
        <v>848</v>
      </c>
      <c r="B233" s="775" t="s">
        <v>1725</v>
      </c>
      <c r="C233" s="776">
        <v>0</v>
      </c>
      <c r="D233" s="776">
        <v>0</v>
      </c>
      <c r="E233" s="776">
        <v>0</v>
      </c>
      <c r="F233" s="776">
        <v>0</v>
      </c>
      <c r="G233" s="776">
        <v>0</v>
      </c>
      <c r="H233" s="763"/>
      <c r="I233" s="187">
        <v>1</v>
      </c>
      <c r="J233" s="186">
        <v>1133813</v>
      </c>
    </row>
    <row r="234" spans="1:10" s="186" customFormat="1" ht="13">
      <c r="A234" s="775" t="s">
        <v>1726</v>
      </c>
      <c r="B234" s="775" t="s">
        <v>1727</v>
      </c>
      <c r="C234" s="776">
        <v>0</v>
      </c>
      <c r="D234" s="776">
        <v>0</v>
      </c>
      <c r="E234" s="776">
        <v>0</v>
      </c>
      <c r="F234" s="776">
        <v>0</v>
      </c>
      <c r="G234" s="776">
        <v>0</v>
      </c>
      <c r="H234" s="763"/>
      <c r="I234" s="186">
        <f t="shared" ref="I234:I257" si="7">C234+D234+E234+F234+G234</f>
        <v>0</v>
      </c>
      <c r="J234" s="186">
        <v>1133814</v>
      </c>
    </row>
    <row r="235" spans="1:10" s="186" customFormat="1" ht="12.75" customHeight="1">
      <c r="A235" s="777" t="s">
        <v>850</v>
      </c>
      <c r="B235" s="777" t="s">
        <v>1728</v>
      </c>
      <c r="C235" s="778">
        <v>1387223.09</v>
      </c>
      <c r="D235" s="778">
        <v>1447518.11</v>
      </c>
      <c r="E235" s="778">
        <v>974031.24</v>
      </c>
      <c r="F235" s="778">
        <v>992055.72</v>
      </c>
      <c r="G235" s="778">
        <v>1488210</v>
      </c>
      <c r="H235" s="779"/>
      <c r="I235" s="186">
        <f t="shared" si="7"/>
        <v>6289038.1600000001</v>
      </c>
      <c r="J235" s="186">
        <v>1133815</v>
      </c>
    </row>
    <row r="236" spans="1:10" s="186" customFormat="1" ht="12.75" customHeight="1">
      <c r="A236" s="775"/>
      <c r="B236" s="775"/>
      <c r="C236" s="776"/>
      <c r="D236" s="776"/>
      <c r="E236" s="776"/>
      <c r="F236" s="776"/>
      <c r="G236" s="776"/>
      <c r="H236" s="763"/>
      <c r="I236" s="186">
        <f t="shared" si="7"/>
        <v>0</v>
      </c>
      <c r="J236" s="186">
        <v>1133816</v>
      </c>
    </row>
    <row r="237" spans="1:10" s="186" customFormat="1" ht="12.75" customHeight="1">
      <c r="A237" s="269" t="s">
        <v>852</v>
      </c>
      <c r="B237" s="269" t="s">
        <v>1729</v>
      </c>
      <c r="C237" s="270" t="s">
        <v>1483</v>
      </c>
      <c r="D237" s="270" t="s">
        <v>1483</v>
      </c>
      <c r="E237" s="270" t="s">
        <v>1483</v>
      </c>
      <c r="F237" s="270" t="s">
        <v>1483</v>
      </c>
      <c r="G237" s="270" t="s">
        <v>1483</v>
      </c>
      <c r="H237" s="713"/>
      <c r="I237" s="186" t="e" vm="1">
        <f t="shared" si="7"/>
        <v>#VALUE!</v>
      </c>
      <c r="J237" s="186">
        <v>1133817</v>
      </c>
    </row>
    <row r="238" spans="1:10" s="186" customFormat="1" ht="12.75" customHeight="1">
      <c r="A238" s="775" t="s">
        <v>854</v>
      </c>
      <c r="B238" s="775" t="s">
        <v>1568</v>
      </c>
      <c r="C238" s="776">
        <v>13380.41</v>
      </c>
      <c r="D238" s="776">
        <v>10948.69</v>
      </c>
      <c r="E238" s="776">
        <v>8788.77</v>
      </c>
      <c r="F238" s="776">
        <v>8586</v>
      </c>
      <c r="G238" s="776">
        <v>13665</v>
      </c>
      <c r="H238" s="763"/>
      <c r="I238" s="186">
        <f t="shared" si="7"/>
        <v>55368.869999999995</v>
      </c>
      <c r="J238" s="186">
        <v>1133818</v>
      </c>
    </row>
    <row r="239" spans="1:10" s="186" customFormat="1" ht="13">
      <c r="A239" s="775" t="s">
        <v>855</v>
      </c>
      <c r="B239" s="775" t="s">
        <v>1730</v>
      </c>
      <c r="C239" s="776">
        <v>0</v>
      </c>
      <c r="D239" s="776">
        <v>0</v>
      </c>
      <c r="E239" s="776">
        <v>0</v>
      </c>
      <c r="F239" s="776">
        <v>0</v>
      </c>
      <c r="G239" s="776">
        <v>0</v>
      </c>
      <c r="H239" s="763"/>
      <c r="I239" s="186">
        <f t="shared" si="7"/>
        <v>0</v>
      </c>
      <c r="J239" s="186">
        <v>1133819</v>
      </c>
    </row>
    <row r="240" spans="1:10" s="186" customFormat="1" ht="13">
      <c r="A240" s="775" t="s">
        <v>857</v>
      </c>
      <c r="B240" s="775" t="s">
        <v>1731</v>
      </c>
      <c r="C240" s="776">
        <v>477759.62</v>
      </c>
      <c r="D240" s="776">
        <v>451915.67</v>
      </c>
      <c r="E240" s="776">
        <v>367975.67999999999</v>
      </c>
      <c r="F240" s="776">
        <v>347826</v>
      </c>
      <c r="G240" s="776">
        <v>521696</v>
      </c>
      <c r="H240" s="763"/>
      <c r="I240" s="186">
        <f t="shared" si="7"/>
        <v>2167172.9699999997</v>
      </c>
      <c r="J240" s="186">
        <v>1133820</v>
      </c>
    </row>
    <row r="241" spans="1:10" s="186" customFormat="1" ht="13">
      <c r="A241" s="775" t="s">
        <v>859</v>
      </c>
      <c r="B241" s="775" t="s">
        <v>1732</v>
      </c>
      <c r="C241" s="776">
        <v>315990.75</v>
      </c>
      <c r="D241" s="776">
        <v>206146.69</v>
      </c>
      <c r="E241" s="776">
        <v>144894.89000000001</v>
      </c>
      <c r="F241" s="776">
        <v>214897</v>
      </c>
      <c r="G241" s="776">
        <v>321914</v>
      </c>
      <c r="H241" s="763"/>
      <c r="I241" s="186">
        <f t="shared" si="7"/>
        <v>1203843.33</v>
      </c>
      <c r="J241" s="186">
        <v>1133821</v>
      </c>
    </row>
    <row r="242" spans="1:10" s="186" customFormat="1" ht="13">
      <c r="A242" s="775" t="s">
        <v>861</v>
      </c>
      <c r="B242" s="775" t="s">
        <v>1733</v>
      </c>
      <c r="C242" s="776">
        <v>0</v>
      </c>
      <c r="D242" s="776">
        <v>8817.14</v>
      </c>
      <c r="E242" s="776">
        <v>0</v>
      </c>
      <c r="F242" s="776">
        <v>0</v>
      </c>
      <c r="G242" s="776">
        <v>0</v>
      </c>
      <c r="H242" s="763"/>
      <c r="I242" s="186">
        <f t="shared" si="7"/>
        <v>8817.14</v>
      </c>
      <c r="J242" s="186">
        <v>1133822</v>
      </c>
    </row>
    <row r="243" spans="1:10" s="186" customFormat="1" ht="13">
      <c r="A243" s="775" t="s">
        <v>863</v>
      </c>
      <c r="B243" s="775" t="s">
        <v>1734</v>
      </c>
      <c r="C243" s="776">
        <v>0</v>
      </c>
      <c r="D243" s="776">
        <v>0</v>
      </c>
      <c r="E243" s="776">
        <v>0</v>
      </c>
      <c r="F243" s="776">
        <v>0</v>
      </c>
      <c r="G243" s="776">
        <v>0</v>
      </c>
      <c r="H243" s="763"/>
      <c r="I243" s="186">
        <f t="shared" si="7"/>
        <v>0</v>
      </c>
      <c r="J243" s="186">
        <v>1133823</v>
      </c>
    </row>
    <row r="244" spans="1:10" s="186" customFormat="1" ht="13">
      <c r="A244" s="775" t="s">
        <v>865</v>
      </c>
      <c r="B244" s="775" t="s">
        <v>1735</v>
      </c>
      <c r="C244" s="776">
        <v>0</v>
      </c>
      <c r="D244" s="776">
        <v>0</v>
      </c>
      <c r="E244" s="776">
        <v>0</v>
      </c>
      <c r="F244" s="776">
        <v>0</v>
      </c>
      <c r="G244" s="776">
        <v>0</v>
      </c>
      <c r="H244" s="763"/>
      <c r="I244" s="186">
        <f t="shared" si="7"/>
        <v>0</v>
      </c>
      <c r="J244" s="186">
        <v>1133824</v>
      </c>
    </row>
    <row r="245" spans="1:10" s="186" customFormat="1" ht="13">
      <c r="A245" s="777" t="s">
        <v>867</v>
      </c>
      <c r="B245" s="777" t="s">
        <v>1736</v>
      </c>
      <c r="C245" s="778">
        <v>807130.78</v>
      </c>
      <c r="D245" s="778">
        <v>677828.19</v>
      </c>
      <c r="E245" s="778">
        <v>521659.34</v>
      </c>
      <c r="F245" s="778">
        <v>571309</v>
      </c>
      <c r="G245" s="778">
        <v>857275</v>
      </c>
      <c r="H245" s="779"/>
      <c r="I245" s="186">
        <f t="shared" si="7"/>
        <v>3435202.31</v>
      </c>
      <c r="J245" s="186">
        <v>1133825</v>
      </c>
    </row>
    <row r="246" spans="1:10" s="186" customFormat="1" ht="13">
      <c r="A246" s="775"/>
      <c r="B246" s="775"/>
      <c r="C246" s="776"/>
      <c r="D246" s="776"/>
      <c r="E246" s="776"/>
      <c r="F246" s="776"/>
      <c r="G246" s="776"/>
      <c r="H246" s="763"/>
      <c r="I246" s="186">
        <f t="shared" si="7"/>
        <v>0</v>
      </c>
      <c r="J246" s="186">
        <v>1133826</v>
      </c>
    </row>
    <row r="247" spans="1:10" s="186" customFormat="1" ht="13">
      <c r="A247" s="269" t="s">
        <v>869</v>
      </c>
      <c r="B247" s="269" t="s">
        <v>1737</v>
      </c>
      <c r="C247" s="270" t="s">
        <v>1483</v>
      </c>
      <c r="D247" s="270" t="s">
        <v>1483</v>
      </c>
      <c r="E247" s="270" t="s">
        <v>1483</v>
      </c>
      <c r="F247" s="270" t="s">
        <v>1483</v>
      </c>
      <c r="G247" s="270" t="s">
        <v>1483</v>
      </c>
      <c r="H247" s="713"/>
      <c r="I247" s="186" t="e" vm="1">
        <f t="shared" si="7"/>
        <v>#VALUE!</v>
      </c>
      <c r="J247" s="186">
        <v>1133827</v>
      </c>
    </row>
    <row r="248" spans="1:10" s="186" customFormat="1" ht="13">
      <c r="A248" s="775"/>
      <c r="B248" s="775"/>
      <c r="C248" s="776"/>
      <c r="D248" s="776"/>
      <c r="E248" s="776"/>
      <c r="F248" s="776"/>
      <c r="G248" s="776"/>
      <c r="H248" s="763"/>
      <c r="I248" s="186">
        <f t="shared" si="7"/>
        <v>0</v>
      </c>
      <c r="J248" s="186">
        <v>1133828</v>
      </c>
    </row>
    <row r="249" spans="1:10" s="186" customFormat="1" ht="13">
      <c r="A249" s="269" t="s">
        <v>871</v>
      </c>
      <c r="B249" s="269" t="s">
        <v>1738</v>
      </c>
      <c r="C249" s="270" t="s">
        <v>1483</v>
      </c>
      <c r="D249" s="270" t="s">
        <v>1483</v>
      </c>
      <c r="E249" s="270" t="s">
        <v>1483</v>
      </c>
      <c r="F249" s="270" t="s">
        <v>1483</v>
      </c>
      <c r="G249" s="270" t="s">
        <v>1483</v>
      </c>
      <c r="H249" s="713"/>
      <c r="I249" s="186" t="e" vm="1">
        <f t="shared" si="7"/>
        <v>#VALUE!</v>
      </c>
      <c r="J249" s="186">
        <v>1133829</v>
      </c>
    </row>
    <row r="250" spans="1:10" s="186" customFormat="1" ht="13">
      <c r="A250" s="775" t="s">
        <v>873</v>
      </c>
      <c r="B250" s="775" t="s">
        <v>1739</v>
      </c>
      <c r="C250" s="776">
        <v>0</v>
      </c>
      <c r="D250" s="776">
        <v>0</v>
      </c>
      <c r="E250" s="776">
        <v>0</v>
      </c>
      <c r="F250" s="776">
        <v>0</v>
      </c>
      <c r="G250" s="776">
        <v>0</v>
      </c>
      <c r="H250" s="763"/>
      <c r="I250" s="186">
        <f t="shared" si="7"/>
        <v>0</v>
      </c>
      <c r="J250" s="186">
        <v>1133830</v>
      </c>
    </row>
    <row r="251" spans="1:10" s="186" customFormat="1" ht="13">
      <c r="A251" s="775" t="s">
        <v>875</v>
      </c>
      <c r="B251" s="775" t="s">
        <v>1740</v>
      </c>
      <c r="C251" s="776">
        <v>79142.23</v>
      </c>
      <c r="D251" s="776">
        <v>77598.45</v>
      </c>
      <c r="E251" s="776">
        <v>45896.47</v>
      </c>
      <c r="F251" s="776">
        <v>60000</v>
      </c>
      <c r="G251" s="776">
        <v>90000</v>
      </c>
      <c r="H251" s="763"/>
      <c r="I251" s="186">
        <f t="shared" si="7"/>
        <v>352637.15</v>
      </c>
      <c r="J251" s="186">
        <v>1133831</v>
      </c>
    </row>
    <row r="252" spans="1:10" s="186" customFormat="1" ht="12.75" customHeight="1">
      <c r="A252" s="775" t="s">
        <v>1741</v>
      </c>
      <c r="B252" s="775" t="s">
        <v>1742</v>
      </c>
      <c r="C252" s="776">
        <v>0</v>
      </c>
      <c r="D252" s="776">
        <v>0</v>
      </c>
      <c r="E252" s="776">
        <v>0</v>
      </c>
      <c r="F252" s="776">
        <v>0</v>
      </c>
      <c r="G252" s="776">
        <v>0</v>
      </c>
      <c r="H252" s="763"/>
      <c r="I252" s="186">
        <f t="shared" si="7"/>
        <v>0</v>
      </c>
      <c r="J252" s="186">
        <v>1133832</v>
      </c>
    </row>
    <row r="253" spans="1:10" s="186" customFormat="1" ht="13">
      <c r="A253" s="775" t="s">
        <v>877</v>
      </c>
      <c r="B253" s="775" t="s">
        <v>1743</v>
      </c>
      <c r="C253" s="776">
        <v>0</v>
      </c>
      <c r="D253" s="776">
        <v>0</v>
      </c>
      <c r="E253" s="776">
        <v>0</v>
      </c>
      <c r="F253" s="776">
        <v>0</v>
      </c>
      <c r="G253" s="776">
        <v>0</v>
      </c>
      <c r="H253" s="763"/>
      <c r="I253" s="186">
        <f t="shared" si="7"/>
        <v>0</v>
      </c>
      <c r="J253" s="186">
        <v>1133833</v>
      </c>
    </row>
    <row r="254" spans="1:10" s="186" customFormat="1" ht="12.75" customHeight="1">
      <c r="A254" s="775" t="s">
        <v>879</v>
      </c>
      <c r="B254" s="775" t="s">
        <v>1744</v>
      </c>
      <c r="C254" s="776">
        <v>0</v>
      </c>
      <c r="D254" s="776">
        <v>0</v>
      </c>
      <c r="E254" s="776">
        <v>0</v>
      </c>
      <c r="F254" s="776">
        <v>0</v>
      </c>
      <c r="G254" s="776">
        <v>0</v>
      </c>
      <c r="H254" s="763"/>
      <c r="I254" s="186">
        <f t="shared" si="7"/>
        <v>0</v>
      </c>
      <c r="J254" s="186">
        <v>1133834</v>
      </c>
    </row>
    <row r="255" spans="1:10" s="186" customFormat="1" ht="12.75" customHeight="1">
      <c r="A255" s="775" t="s">
        <v>881</v>
      </c>
      <c r="B255" s="775" t="s">
        <v>1745</v>
      </c>
      <c r="C255" s="776">
        <v>0</v>
      </c>
      <c r="D255" s="776">
        <v>0</v>
      </c>
      <c r="E255" s="776">
        <v>0</v>
      </c>
      <c r="F255" s="776">
        <v>0</v>
      </c>
      <c r="G255" s="776">
        <v>0</v>
      </c>
      <c r="H255" s="763"/>
      <c r="I255" s="186">
        <f t="shared" si="7"/>
        <v>0</v>
      </c>
      <c r="J255" s="186">
        <v>1133835</v>
      </c>
    </row>
    <row r="256" spans="1:10" s="186" customFormat="1" ht="13">
      <c r="A256" s="775" t="s">
        <v>883</v>
      </c>
      <c r="B256" s="775" t="s">
        <v>1746</v>
      </c>
      <c r="C256" s="776">
        <v>0</v>
      </c>
      <c r="D256" s="776">
        <v>0</v>
      </c>
      <c r="E256" s="776">
        <v>0</v>
      </c>
      <c r="F256" s="776">
        <v>0</v>
      </c>
      <c r="G256" s="776">
        <v>0</v>
      </c>
      <c r="H256" s="763"/>
      <c r="I256" s="186">
        <f t="shared" si="7"/>
        <v>0</v>
      </c>
      <c r="J256" s="186">
        <v>1133836</v>
      </c>
    </row>
    <row r="257" spans="1:10" s="186" customFormat="1" ht="13">
      <c r="A257" s="775" t="s">
        <v>885</v>
      </c>
      <c r="B257" s="775" t="s">
        <v>1747</v>
      </c>
      <c r="C257" s="776">
        <v>0</v>
      </c>
      <c r="D257" s="776">
        <v>0</v>
      </c>
      <c r="E257" s="776">
        <v>0</v>
      </c>
      <c r="F257" s="776">
        <v>0</v>
      </c>
      <c r="G257" s="776">
        <v>0</v>
      </c>
      <c r="H257" s="763"/>
      <c r="I257" s="780">
        <f t="shared" si="7"/>
        <v>0</v>
      </c>
      <c r="J257" s="186">
        <v>1133837</v>
      </c>
    </row>
    <row r="258" spans="1:10" s="186" customFormat="1" ht="13">
      <c r="A258" s="775" t="s">
        <v>887</v>
      </c>
      <c r="B258" s="775" t="s">
        <v>1748</v>
      </c>
      <c r="C258" s="776">
        <v>0</v>
      </c>
      <c r="D258" s="776">
        <v>0</v>
      </c>
      <c r="E258" s="776">
        <v>0</v>
      </c>
      <c r="F258" s="776">
        <v>0</v>
      </c>
      <c r="G258" s="776">
        <v>0</v>
      </c>
      <c r="H258" s="763"/>
    </row>
    <row r="259" spans="1:10" s="186" customFormat="1" ht="13">
      <c r="A259" s="775" t="s">
        <v>889</v>
      </c>
      <c r="B259" s="775" t="s">
        <v>1749</v>
      </c>
      <c r="C259" s="776">
        <v>0</v>
      </c>
      <c r="D259" s="776">
        <v>0</v>
      </c>
      <c r="E259" s="776">
        <v>0</v>
      </c>
      <c r="F259" s="776">
        <v>0</v>
      </c>
      <c r="G259" s="776">
        <v>0</v>
      </c>
      <c r="H259" s="763"/>
      <c r="I259" s="187">
        <v>1</v>
      </c>
      <c r="J259" s="186">
        <v>1133838</v>
      </c>
    </row>
    <row r="260" spans="1:10" s="186" customFormat="1" ht="13">
      <c r="A260" s="775" t="s">
        <v>891</v>
      </c>
      <c r="B260" s="775" t="s">
        <v>1750</v>
      </c>
      <c r="C260" s="776">
        <v>0</v>
      </c>
      <c r="D260" s="776">
        <v>0</v>
      </c>
      <c r="E260" s="776">
        <v>0</v>
      </c>
      <c r="F260" s="776">
        <v>0</v>
      </c>
      <c r="G260" s="776">
        <v>0</v>
      </c>
      <c r="H260" s="763"/>
      <c r="I260" s="186">
        <f t="shared" ref="I260:I298" si="8">C260+D260+E260+F260+G260</f>
        <v>0</v>
      </c>
      <c r="J260" s="186">
        <v>1133839</v>
      </c>
    </row>
    <row r="261" spans="1:10" s="186" customFormat="1" ht="13">
      <c r="A261" s="775" t="s">
        <v>893</v>
      </c>
      <c r="B261" s="775" t="s">
        <v>1751</v>
      </c>
      <c r="C261" s="776">
        <v>0</v>
      </c>
      <c r="D261" s="776">
        <v>0</v>
      </c>
      <c r="E261" s="776">
        <v>0</v>
      </c>
      <c r="F261" s="776">
        <v>0</v>
      </c>
      <c r="G261" s="776">
        <v>0</v>
      </c>
      <c r="H261" s="763"/>
      <c r="I261" s="186">
        <f t="shared" si="8"/>
        <v>0</v>
      </c>
      <c r="J261" s="186">
        <v>1133840</v>
      </c>
    </row>
    <row r="262" spans="1:10" s="186" customFormat="1" ht="13">
      <c r="A262" s="775" t="s">
        <v>895</v>
      </c>
      <c r="B262" s="775" t="s">
        <v>1752</v>
      </c>
      <c r="C262" s="776">
        <v>0</v>
      </c>
      <c r="D262" s="776">
        <v>0</v>
      </c>
      <c r="E262" s="776">
        <v>0</v>
      </c>
      <c r="F262" s="776">
        <v>0</v>
      </c>
      <c r="G262" s="776">
        <v>0</v>
      </c>
      <c r="H262" s="763"/>
      <c r="I262" s="186">
        <f t="shared" si="8"/>
        <v>0</v>
      </c>
      <c r="J262" s="186">
        <v>1133841</v>
      </c>
    </row>
    <row r="263" spans="1:10" s="186" customFormat="1" ht="12.75" hidden="1" customHeight="1">
      <c r="A263" s="775" t="s">
        <v>897</v>
      </c>
      <c r="B263" s="775" t="s">
        <v>1617</v>
      </c>
      <c r="C263" s="776">
        <v>0</v>
      </c>
      <c r="D263" s="776">
        <v>0</v>
      </c>
      <c r="E263" s="776">
        <v>0</v>
      </c>
      <c r="F263" s="776">
        <v>0</v>
      </c>
      <c r="G263" s="776">
        <v>0</v>
      </c>
      <c r="H263" s="763"/>
      <c r="I263" s="186">
        <f t="shared" si="8"/>
        <v>0</v>
      </c>
      <c r="J263" s="186">
        <v>1133842</v>
      </c>
    </row>
    <row r="264" spans="1:10" s="186" customFormat="1" ht="12.75" hidden="1" customHeight="1">
      <c r="A264" s="775" t="s">
        <v>898</v>
      </c>
      <c r="B264" s="775" t="s">
        <v>1753</v>
      </c>
      <c r="C264" s="776">
        <v>0</v>
      </c>
      <c r="D264" s="776">
        <v>0</v>
      </c>
      <c r="E264" s="776">
        <v>0</v>
      </c>
      <c r="F264" s="776">
        <v>0</v>
      </c>
      <c r="G264" s="776">
        <v>0</v>
      </c>
      <c r="H264" s="763"/>
      <c r="I264" s="186">
        <f t="shared" si="8"/>
        <v>0</v>
      </c>
      <c r="J264" s="186">
        <v>1133843</v>
      </c>
    </row>
    <row r="265" spans="1:10" s="186" customFormat="1" ht="12.75" hidden="1" customHeight="1">
      <c r="A265" s="775" t="s">
        <v>900</v>
      </c>
      <c r="B265" s="775" t="s">
        <v>1754</v>
      </c>
      <c r="C265" s="776">
        <v>0</v>
      </c>
      <c r="D265" s="776">
        <v>0</v>
      </c>
      <c r="E265" s="776">
        <v>0</v>
      </c>
      <c r="F265" s="776">
        <v>0</v>
      </c>
      <c r="G265" s="776">
        <v>0</v>
      </c>
      <c r="H265" s="763"/>
      <c r="I265" s="186">
        <f t="shared" si="8"/>
        <v>0</v>
      </c>
      <c r="J265" s="186">
        <v>1133844</v>
      </c>
    </row>
    <row r="266" spans="1:10" s="186" customFormat="1" ht="13">
      <c r="A266" s="775" t="s">
        <v>902</v>
      </c>
      <c r="B266" s="775" t="s">
        <v>1755</v>
      </c>
      <c r="C266" s="776">
        <v>0</v>
      </c>
      <c r="D266" s="776">
        <v>0</v>
      </c>
      <c r="E266" s="776">
        <v>0</v>
      </c>
      <c r="F266" s="776">
        <v>0</v>
      </c>
      <c r="G266" s="776">
        <v>0</v>
      </c>
      <c r="H266" s="763"/>
      <c r="I266" s="186">
        <f t="shared" si="8"/>
        <v>0</v>
      </c>
      <c r="J266" s="186">
        <v>1133845</v>
      </c>
    </row>
    <row r="267" spans="1:10" s="186" customFormat="1" ht="13">
      <c r="A267" s="775" t="s">
        <v>904</v>
      </c>
      <c r="B267" s="775" t="s">
        <v>1756</v>
      </c>
      <c r="C267" s="776">
        <v>0</v>
      </c>
      <c r="D267" s="776">
        <v>0</v>
      </c>
      <c r="E267" s="776">
        <v>0</v>
      </c>
      <c r="F267" s="776">
        <v>0</v>
      </c>
      <c r="G267" s="776">
        <v>0</v>
      </c>
      <c r="H267" s="763"/>
      <c r="I267" s="186">
        <f t="shared" si="8"/>
        <v>0</v>
      </c>
      <c r="J267" s="186">
        <v>1133846</v>
      </c>
    </row>
    <row r="268" spans="1:10" s="186" customFormat="1" ht="13">
      <c r="A268" s="775" t="s">
        <v>906</v>
      </c>
      <c r="B268" s="775" t="s">
        <v>1757</v>
      </c>
      <c r="C268" s="776">
        <v>0</v>
      </c>
      <c r="D268" s="776">
        <v>0</v>
      </c>
      <c r="E268" s="776">
        <v>0</v>
      </c>
      <c r="F268" s="776">
        <v>0</v>
      </c>
      <c r="G268" s="776">
        <v>0</v>
      </c>
      <c r="H268" s="763"/>
      <c r="I268" s="186">
        <f t="shared" si="8"/>
        <v>0</v>
      </c>
      <c r="J268" s="186">
        <v>1133847</v>
      </c>
    </row>
    <row r="269" spans="1:10" s="186" customFormat="1" ht="13">
      <c r="A269" s="775" t="s">
        <v>908</v>
      </c>
      <c r="B269" s="775" t="s">
        <v>1758</v>
      </c>
      <c r="C269" s="776">
        <v>0</v>
      </c>
      <c r="D269" s="776">
        <v>0</v>
      </c>
      <c r="E269" s="776">
        <v>0</v>
      </c>
      <c r="F269" s="776">
        <v>0</v>
      </c>
      <c r="G269" s="776">
        <v>0</v>
      </c>
      <c r="H269" s="763"/>
      <c r="I269" s="186">
        <f t="shared" si="8"/>
        <v>0</v>
      </c>
      <c r="J269" s="186">
        <v>1133848</v>
      </c>
    </row>
    <row r="270" spans="1:10" s="186" customFormat="1" ht="13">
      <c r="A270" s="775" t="s">
        <v>910</v>
      </c>
      <c r="B270" s="775" t="s">
        <v>1759</v>
      </c>
      <c r="C270" s="776">
        <v>0</v>
      </c>
      <c r="D270" s="776">
        <v>0</v>
      </c>
      <c r="E270" s="776">
        <v>0</v>
      </c>
      <c r="F270" s="776">
        <v>0</v>
      </c>
      <c r="G270" s="776">
        <v>0</v>
      </c>
      <c r="H270" s="763"/>
      <c r="I270" s="186">
        <f t="shared" si="8"/>
        <v>0</v>
      </c>
      <c r="J270" s="186">
        <v>1133849</v>
      </c>
    </row>
    <row r="271" spans="1:10" s="186" customFormat="1" ht="13">
      <c r="A271" s="775" t="s">
        <v>912</v>
      </c>
      <c r="B271" s="775" t="s">
        <v>1760</v>
      </c>
      <c r="C271" s="776">
        <v>0</v>
      </c>
      <c r="D271" s="776">
        <v>0</v>
      </c>
      <c r="E271" s="776">
        <v>0</v>
      </c>
      <c r="F271" s="776">
        <v>0</v>
      </c>
      <c r="G271" s="776">
        <v>0</v>
      </c>
      <c r="H271" s="763"/>
      <c r="I271" s="186">
        <f t="shared" si="8"/>
        <v>0</v>
      </c>
      <c r="J271" s="186">
        <v>1133850</v>
      </c>
    </row>
    <row r="272" spans="1:10" s="186" customFormat="1" ht="13">
      <c r="A272" s="775" t="s">
        <v>914</v>
      </c>
      <c r="B272" s="775" t="s">
        <v>1761</v>
      </c>
      <c r="C272" s="776">
        <v>0</v>
      </c>
      <c r="D272" s="776">
        <v>0</v>
      </c>
      <c r="E272" s="776">
        <v>0</v>
      </c>
      <c r="F272" s="776">
        <v>0</v>
      </c>
      <c r="G272" s="776">
        <v>0</v>
      </c>
      <c r="H272" s="763"/>
      <c r="I272" s="186">
        <f t="shared" si="8"/>
        <v>0</v>
      </c>
      <c r="J272" s="186">
        <v>1133851</v>
      </c>
    </row>
    <row r="273" spans="1:10" s="186" customFormat="1" ht="13">
      <c r="A273" s="775" t="s">
        <v>916</v>
      </c>
      <c r="B273" s="775" t="s">
        <v>1762</v>
      </c>
      <c r="C273" s="776">
        <v>0</v>
      </c>
      <c r="D273" s="776">
        <v>0</v>
      </c>
      <c r="E273" s="776">
        <v>0</v>
      </c>
      <c r="F273" s="776">
        <v>0</v>
      </c>
      <c r="G273" s="776">
        <v>0</v>
      </c>
      <c r="H273" s="763"/>
      <c r="I273" s="186">
        <f t="shared" si="8"/>
        <v>0</v>
      </c>
      <c r="J273" s="186">
        <v>1133852</v>
      </c>
    </row>
    <row r="274" spans="1:10" s="186" customFormat="1" ht="13">
      <c r="A274" s="775" t="s">
        <v>918</v>
      </c>
      <c r="B274" s="775" t="s">
        <v>1763</v>
      </c>
      <c r="C274" s="776">
        <v>0</v>
      </c>
      <c r="D274" s="776">
        <v>0</v>
      </c>
      <c r="E274" s="776">
        <v>0</v>
      </c>
      <c r="F274" s="776">
        <v>0</v>
      </c>
      <c r="G274" s="776">
        <v>0</v>
      </c>
      <c r="H274" s="763"/>
      <c r="I274" s="186">
        <f t="shared" si="8"/>
        <v>0</v>
      </c>
      <c r="J274" s="186">
        <v>1133853</v>
      </c>
    </row>
    <row r="275" spans="1:10" s="186" customFormat="1" ht="13">
      <c r="A275" s="777" t="s">
        <v>920</v>
      </c>
      <c r="B275" s="777" t="s">
        <v>1764</v>
      </c>
      <c r="C275" s="778">
        <v>79142.23</v>
      </c>
      <c r="D275" s="778">
        <v>77598.45</v>
      </c>
      <c r="E275" s="778">
        <v>45896.47</v>
      </c>
      <c r="F275" s="778">
        <v>60000</v>
      </c>
      <c r="G275" s="778">
        <v>90000</v>
      </c>
      <c r="H275" s="779"/>
      <c r="I275" s="186">
        <f t="shared" si="8"/>
        <v>352637.15</v>
      </c>
      <c r="J275" s="186">
        <v>1133854</v>
      </c>
    </row>
    <row r="276" spans="1:10" s="186" customFormat="1" ht="13">
      <c r="A276" s="775"/>
      <c r="B276" s="775"/>
      <c r="C276" s="776"/>
      <c r="D276" s="776"/>
      <c r="E276" s="776"/>
      <c r="F276" s="776"/>
      <c r="G276" s="776"/>
      <c r="H276" s="763"/>
      <c r="I276" s="186">
        <f t="shared" si="8"/>
        <v>0</v>
      </c>
      <c r="J276" s="186">
        <v>1133855</v>
      </c>
    </row>
    <row r="277" spans="1:10" s="186" customFormat="1" ht="12.75" customHeight="1">
      <c r="A277" s="269" t="s">
        <v>922</v>
      </c>
      <c r="B277" s="269" t="s">
        <v>1765</v>
      </c>
      <c r="C277" s="270" t="s">
        <v>1483</v>
      </c>
      <c r="D277" s="270" t="s">
        <v>1483</v>
      </c>
      <c r="E277" s="270" t="s">
        <v>1483</v>
      </c>
      <c r="F277" s="270" t="s">
        <v>1483</v>
      </c>
      <c r="G277" s="270" t="s">
        <v>1483</v>
      </c>
      <c r="H277" s="713"/>
      <c r="I277" s="186" t="e" vm="1">
        <f t="shared" si="8"/>
        <v>#VALUE!</v>
      </c>
      <c r="J277" s="186">
        <v>1133856</v>
      </c>
    </row>
    <row r="278" spans="1:10" s="186" customFormat="1" ht="12.75" customHeight="1">
      <c r="A278" s="775" t="s">
        <v>924</v>
      </c>
      <c r="B278" s="775" t="s">
        <v>1766</v>
      </c>
      <c r="C278" s="776">
        <v>0</v>
      </c>
      <c r="D278" s="776">
        <v>0</v>
      </c>
      <c r="E278" s="776">
        <v>0</v>
      </c>
      <c r="F278" s="776">
        <v>0</v>
      </c>
      <c r="G278" s="776">
        <v>0</v>
      </c>
      <c r="H278" s="763"/>
      <c r="I278" s="186">
        <f t="shared" si="8"/>
        <v>0</v>
      </c>
      <c r="J278" s="186">
        <v>1133857</v>
      </c>
    </row>
    <row r="279" spans="1:10" s="186" customFormat="1" ht="12.75" customHeight="1">
      <c r="A279" s="775" t="s">
        <v>926</v>
      </c>
      <c r="B279" s="775" t="s">
        <v>1767</v>
      </c>
      <c r="C279" s="776">
        <v>0</v>
      </c>
      <c r="D279" s="776">
        <v>0</v>
      </c>
      <c r="E279" s="776">
        <v>0</v>
      </c>
      <c r="F279" s="776">
        <v>0</v>
      </c>
      <c r="G279" s="776">
        <v>0</v>
      </c>
      <c r="H279" s="763"/>
      <c r="I279" s="186">
        <f t="shared" si="8"/>
        <v>0</v>
      </c>
      <c r="J279" s="186">
        <v>1133858</v>
      </c>
    </row>
    <row r="280" spans="1:10" s="186" customFormat="1" ht="13">
      <c r="A280" s="775" t="s">
        <v>928</v>
      </c>
      <c r="B280" s="775" t="s">
        <v>1768</v>
      </c>
      <c r="C280" s="776">
        <v>0</v>
      </c>
      <c r="D280" s="776">
        <v>250.36</v>
      </c>
      <c r="E280" s="776">
        <v>0</v>
      </c>
      <c r="F280" s="776">
        <v>0</v>
      </c>
      <c r="G280" s="776">
        <v>0</v>
      </c>
      <c r="H280" s="763"/>
      <c r="I280" s="186">
        <f t="shared" si="8"/>
        <v>250.36</v>
      </c>
      <c r="J280" s="186">
        <v>1133859</v>
      </c>
    </row>
    <row r="281" spans="1:10" s="186" customFormat="1" ht="13">
      <c r="A281" s="775" t="s">
        <v>930</v>
      </c>
      <c r="B281" s="775" t="s">
        <v>1769</v>
      </c>
      <c r="C281" s="776">
        <v>0</v>
      </c>
      <c r="D281" s="776">
        <v>0</v>
      </c>
      <c r="E281" s="776">
        <v>0</v>
      </c>
      <c r="F281" s="776">
        <v>0</v>
      </c>
      <c r="G281" s="776">
        <v>0</v>
      </c>
      <c r="H281" s="763"/>
      <c r="I281" s="186">
        <f t="shared" si="8"/>
        <v>0</v>
      </c>
      <c r="J281" s="186">
        <v>1133860</v>
      </c>
    </row>
    <row r="282" spans="1:10" s="186" customFormat="1" ht="13">
      <c r="A282" s="775" t="s">
        <v>1770</v>
      </c>
      <c r="B282" s="775" t="s">
        <v>1771</v>
      </c>
      <c r="C282" s="776">
        <v>11544.05</v>
      </c>
      <c r="D282" s="776">
        <v>5319.23</v>
      </c>
      <c r="E282" s="776">
        <v>0</v>
      </c>
      <c r="F282" s="776">
        <v>0</v>
      </c>
      <c r="G282" s="776">
        <v>0</v>
      </c>
      <c r="H282" s="763"/>
      <c r="I282" s="186">
        <f t="shared" si="8"/>
        <v>16863.28</v>
      </c>
      <c r="J282" s="186">
        <v>1133861</v>
      </c>
    </row>
    <row r="283" spans="1:10" s="186" customFormat="1" ht="12.75" customHeight="1">
      <c r="A283" s="775" t="s">
        <v>932</v>
      </c>
      <c r="B283" s="775" t="s">
        <v>1772</v>
      </c>
      <c r="C283" s="776">
        <v>0</v>
      </c>
      <c r="D283" s="776">
        <v>0</v>
      </c>
      <c r="E283" s="776">
        <v>0</v>
      </c>
      <c r="F283" s="776">
        <v>0</v>
      </c>
      <c r="G283" s="776">
        <v>0</v>
      </c>
      <c r="H283" s="763"/>
      <c r="I283" s="186">
        <f t="shared" si="8"/>
        <v>0</v>
      </c>
      <c r="J283" s="186">
        <v>1133862</v>
      </c>
    </row>
    <row r="284" spans="1:10" s="186" customFormat="1" ht="13">
      <c r="A284" s="775" t="s">
        <v>934</v>
      </c>
      <c r="B284" s="775" t="s">
        <v>1773</v>
      </c>
      <c r="C284" s="776">
        <v>0</v>
      </c>
      <c r="D284" s="776">
        <v>0</v>
      </c>
      <c r="E284" s="776">
        <v>0</v>
      </c>
      <c r="F284" s="776">
        <v>0</v>
      </c>
      <c r="G284" s="776">
        <v>0</v>
      </c>
      <c r="H284" s="763"/>
      <c r="I284" s="186">
        <f t="shared" si="8"/>
        <v>0</v>
      </c>
      <c r="J284" s="186">
        <v>1133863</v>
      </c>
    </row>
    <row r="285" spans="1:10" s="186" customFormat="1" ht="13">
      <c r="A285" s="775" t="s">
        <v>936</v>
      </c>
      <c r="B285" s="775" t="s">
        <v>1774</v>
      </c>
      <c r="C285" s="776">
        <v>0</v>
      </c>
      <c r="D285" s="776">
        <v>0</v>
      </c>
      <c r="E285" s="776">
        <v>0</v>
      </c>
      <c r="F285" s="776">
        <v>1333.36</v>
      </c>
      <c r="G285" s="776">
        <v>2000</v>
      </c>
      <c r="H285" s="763"/>
      <c r="I285" s="186">
        <f t="shared" si="8"/>
        <v>3333.3599999999997</v>
      </c>
      <c r="J285" s="186">
        <v>1133864</v>
      </c>
    </row>
    <row r="286" spans="1:10" s="186" customFormat="1" ht="12.75" customHeight="1">
      <c r="A286" s="775" t="s">
        <v>938</v>
      </c>
      <c r="B286" s="775" t="s">
        <v>1775</v>
      </c>
      <c r="C286" s="776">
        <v>0</v>
      </c>
      <c r="D286" s="776">
        <v>34072.44</v>
      </c>
      <c r="E286" s="776">
        <v>17894.810000000001</v>
      </c>
      <c r="F286" s="776">
        <v>10000</v>
      </c>
      <c r="G286" s="776">
        <v>10000</v>
      </c>
      <c r="H286" s="763"/>
      <c r="I286" s="186">
        <f t="shared" si="8"/>
        <v>71967.25</v>
      </c>
      <c r="J286" s="186">
        <v>1133865</v>
      </c>
    </row>
    <row r="287" spans="1:10" s="186" customFormat="1" ht="13">
      <c r="A287" s="775" t="s">
        <v>940</v>
      </c>
      <c r="B287" s="775" t="s">
        <v>1776</v>
      </c>
      <c r="C287" s="776">
        <v>24731.78</v>
      </c>
      <c r="D287" s="776">
        <v>35561.31</v>
      </c>
      <c r="E287" s="776">
        <v>2955.95</v>
      </c>
      <c r="F287" s="776">
        <v>23333.360000000001</v>
      </c>
      <c r="G287" s="776">
        <v>35000</v>
      </c>
      <c r="H287" s="763"/>
      <c r="I287" s="186">
        <f t="shared" si="8"/>
        <v>121582.39999999999</v>
      </c>
      <c r="J287" s="186">
        <v>1133866</v>
      </c>
    </row>
    <row r="288" spans="1:10" s="186" customFormat="1" ht="13">
      <c r="A288" s="775" t="s">
        <v>942</v>
      </c>
      <c r="B288" s="775" t="s">
        <v>1777</v>
      </c>
      <c r="C288" s="776">
        <v>262900.3</v>
      </c>
      <c r="D288" s="776">
        <v>190435.85</v>
      </c>
      <c r="E288" s="776">
        <v>248790.47</v>
      </c>
      <c r="F288" s="776">
        <v>133333.35999999999</v>
      </c>
      <c r="G288" s="776">
        <v>200000</v>
      </c>
      <c r="H288" s="763"/>
      <c r="I288" s="186">
        <f t="shared" si="8"/>
        <v>1035459.98</v>
      </c>
      <c r="J288" s="186">
        <v>1133867</v>
      </c>
    </row>
    <row r="289" spans="1:10" s="186" customFormat="1" ht="12.75" customHeight="1">
      <c r="A289" s="775" t="s">
        <v>944</v>
      </c>
      <c r="B289" s="775" t="s">
        <v>1778</v>
      </c>
      <c r="C289" s="776">
        <v>19749.939999999999</v>
      </c>
      <c r="D289" s="776">
        <v>52687.55</v>
      </c>
      <c r="E289" s="776">
        <v>10038.280000000001</v>
      </c>
      <c r="F289" s="776">
        <v>5000</v>
      </c>
      <c r="G289" s="776">
        <v>5000</v>
      </c>
      <c r="H289" s="763"/>
      <c r="I289" s="186">
        <f t="shared" si="8"/>
        <v>92475.77</v>
      </c>
      <c r="J289" s="186">
        <v>1133868</v>
      </c>
    </row>
    <row r="290" spans="1:10" s="186" customFormat="1" ht="12.75" customHeight="1">
      <c r="A290" s="775" t="s">
        <v>946</v>
      </c>
      <c r="B290" s="775" t="s">
        <v>1610</v>
      </c>
      <c r="C290" s="776">
        <v>7130.21</v>
      </c>
      <c r="D290" s="776">
        <v>7100</v>
      </c>
      <c r="E290" s="776">
        <v>3290.21</v>
      </c>
      <c r="F290" s="776">
        <v>6666.64</v>
      </c>
      <c r="G290" s="776">
        <v>10000</v>
      </c>
      <c r="H290" s="763"/>
      <c r="I290" s="186">
        <f t="shared" si="8"/>
        <v>34187.06</v>
      </c>
      <c r="J290" s="186">
        <v>1133869</v>
      </c>
    </row>
    <row r="291" spans="1:10" s="186" customFormat="1" ht="13">
      <c r="A291" s="775" t="s">
        <v>947</v>
      </c>
      <c r="B291" s="775" t="s">
        <v>1779</v>
      </c>
      <c r="C291" s="776">
        <v>36541.39</v>
      </c>
      <c r="D291" s="776">
        <v>42944.42</v>
      </c>
      <c r="E291" s="776">
        <v>25933.16</v>
      </c>
      <c r="F291" s="776">
        <v>14000</v>
      </c>
      <c r="G291" s="776">
        <v>21000</v>
      </c>
      <c r="H291" s="763"/>
      <c r="I291" s="186">
        <f t="shared" si="8"/>
        <v>140418.97</v>
      </c>
      <c r="J291" s="186">
        <v>1133870</v>
      </c>
    </row>
    <row r="292" spans="1:10" s="186" customFormat="1" ht="13">
      <c r="A292" s="775" t="s">
        <v>949</v>
      </c>
      <c r="B292" s="775" t="s">
        <v>1780</v>
      </c>
      <c r="C292" s="776">
        <v>0</v>
      </c>
      <c r="D292" s="776">
        <v>0</v>
      </c>
      <c r="E292" s="776">
        <v>11660.51</v>
      </c>
      <c r="F292" s="776">
        <v>0</v>
      </c>
      <c r="G292" s="776">
        <v>0</v>
      </c>
      <c r="H292" s="763"/>
      <c r="I292" s="186">
        <f t="shared" si="8"/>
        <v>11660.51</v>
      </c>
      <c r="J292" s="186">
        <v>1133871</v>
      </c>
    </row>
    <row r="293" spans="1:10" s="186" customFormat="1" ht="12.75" customHeight="1">
      <c r="A293" s="775" t="s">
        <v>951</v>
      </c>
      <c r="B293" s="775" t="s">
        <v>1781</v>
      </c>
      <c r="C293" s="776">
        <v>0</v>
      </c>
      <c r="D293" s="776">
        <v>0</v>
      </c>
      <c r="E293" s="776">
        <v>0</v>
      </c>
      <c r="F293" s="776">
        <v>0</v>
      </c>
      <c r="G293" s="776">
        <v>0</v>
      </c>
      <c r="H293" s="763"/>
      <c r="I293" s="186">
        <f t="shared" si="8"/>
        <v>0</v>
      </c>
      <c r="J293" s="186">
        <v>1133872</v>
      </c>
    </row>
    <row r="294" spans="1:10" s="186" customFormat="1" ht="12.75" customHeight="1">
      <c r="A294" s="775" t="s">
        <v>953</v>
      </c>
      <c r="B294" s="775" t="s">
        <v>1782</v>
      </c>
      <c r="C294" s="776">
        <v>9020.2999999999993</v>
      </c>
      <c r="D294" s="776">
        <v>7643.04</v>
      </c>
      <c r="E294" s="776">
        <v>40490.67</v>
      </c>
      <c r="F294" s="776">
        <v>10000</v>
      </c>
      <c r="G294" s="776">
        <v>10000</v>
      </c>
      <c r="H294" s="763"/>
      <c r="I294" s="186">
        <f t="shared" si="8"/>
        <v>77154.009999999995</v>
      </c>
      <c r="J294" s="186">
        <v>1133873</v>
      </c>
    </row>
    <row r="295" spans="1:10" s="186" customFormat="1" ht="12.75" customHeight="1">
      <c r="A295" s="775" t="s">
        <v>955</v>
      </c>
      <c r="B295" s="775" t="s">
        <v>1783</v>
      </c>
      <c r="C295" s="776">
        <v>6612.53</v>
      </c>
      <c r="D295" s="776">
        <v>20033</v>
      </c>
      <c r="E295" s="776">
        <v>0</v>
      </c>
      <c r="F295" s="776">
        <v>3333.36</v>
      </c>
      <c r="G295" s="776">
        <v>5000</v>
      </c>
      <c r="H295" s="763"/>
      <c r="I295" s="186">
        <f t="shared" si="8"/>
        <v>34978.89</v>
      </c>
      <c r="J295" s="186">
        <v>1133874</v>
      </c>
    </row>
    <row r="296" spans="1:10" s="186" customFormat="1" ht="12.75" customHeight="1">
      <c r="A296" s="775" t="s">
        <v>957</v>
      </c>
      <c r="B296" s="775" t="s">
        <v>1784</v>
      </c>
      <c r="C296" s="776">
        <v>0</v>
      </c>
      <c r="D296" s="776">
        <v>0</v>
      </c>
      <c r="E296" s="776">
        <v>0</v>
      </c>
      <c r="F296" s="776">
        <v>0</v>
      </c>
      <c r="G296" s="776">
        <v>0</v>
      </c>
      <c r="H296" s="763"/>
      <c r="I296" s="186">
        <f t="shared" si="8"/>
        <v>0</v>
      </c>
      <c r="J296" s="186">
        <v>1133875</v>
      </c>
    </row>
    <row r="297" spans="1:10" s="186" customFormat="1" ht="13">
      <c r="A297" s="775" t="s">
        <v>959</v>
      </c>
      <c r="B297" s="775" t="s">
        <v>1785</v>
      </c>
      <c r="C297" s="776">
        <v>0</v>
      </c>
      <c r="D297" s="776">
        <v>0</v>
      </c>
      <c r="E297" s="776">
        <v>0</v>
      </c>
      <c r="F297" s="776">
        <v>0</v>
      </c>
      <c r="G297" s="776">
        <v>0</v>
      </c>
      <c r="H297" s="763"/>
      <c r="I297" s="186">
        <f t="shared" si="8"/>
        <v>0</v>
      </c>
      <c r="J297" s="186">
        <v>1133876</v>
      </c>
    </row>
    <row r="298" spans="1:10" s="186" customFormat="1" ht="13">
      <c r="A298" s="775" t="s">
        <v>961</v>
      </c>
      <c r="B298" s="775" t="s">
        <v>1786</v>
      </c>
      <c r="C298" s="776">
        <v>0</v>
      </c>
      <c r="D298" s="776">
        <v>0</v>
      </c>
      <c r="E298" s="776">
        <v>0</v>
      </c>
      <c r="F298" s="776">
        <v>0</v>
      </c>
      <c r="G298" s="776">
        <v>0</v>
      </c>
      <c r="H298" s="763"/>
      <c r="I298" s="780">
        <f t="shared" si="8"/>
        <v>0</v>
      </c>
      <c r="J298" s="186">
        <v>1133877</v>
      </c>
    </row>
    <row r="299" spans="1:10" s="186" customFormat="1" ht="13">
      <c r="A299" s="775" t="s">
        <v>963</v>
      </c>
      <c r="B299" s="775" t="s">
        <v>1787</v>
      </c>
      <c r="C299" s="776">
        <v>30175</v>
      </c>
      <c r="D299" s="776">
        <v>50555.55</v>
      </c>
      <c r="E299" s="776">
        <v>29650</v>
      </c>
      <c r="F299" s="776">
        <v>23333.360000000001</v>
      </c>
      <c r="G299" s="776">
        <v>35000</v>
      </c>
      <c r="H299" s="763"/>
    </row>
    <row r="300" spans="1:10" s="186" customFormat="1" ht="13">
      <c r="A300" s="775" t="s">
        <v>965</v>
      </c>
      <c r="B300" s="775" t="s">
        <v>1788</v>
      </c>
      <c r="C300" s="776">
        <v>0</v>
      </c>
      <c r="D300" s="776">
        <v>0</v>
      </c>
      <c r="E300" s="776">
        <v>0</v>
      </c>
      <c r="F300" s="776">
        <v>0</v>
      </c>
      <c r="G300" s="776">
        <v>0</v>
      </c>
      <c r="H300" s="763"/>
      <c r="I300" s="187">
        <v>1</v>
      </c>
      <c r="J300" s="186">
        <v>1133878</v>
      </c>
    </row>
    <row r="301" spans="1:10" s="186" customFormat="1" ht="13">
      <c r="A301" s="775" t="s">
        <v>967</v>
      </c>
      <c r="B301" s="775" t="s">
        <v>1789</v>
      </c>
      <c r="C301" s="776">
        <v>17763.509999999998</v>
      </c>
      <c r="D301" s="776">
        <v>7884.19</v>
      </c>
      <c r="E301" s="776">
        <v>10109.969999999999</v>
      </c>
      <c r="F301" s="776">
        <v>2500</v>
      </c>
      <c r="G301" s="776">
        <v>2500</v>
      </c>
      <c r="H301" s="763"/>
      <c r="I301" s="186">
        <f t="shared" ref="I301:I331" si="9">C301+D301+E301+F301+G301</f>
        <v>40757.67</v>
      </c>
      <c r="J301" s="186">
        <v>1133879</v>
      </c>
    </row>
    <row r="302" spans="1:10" s="186" customFormat="1" ht="13">
      <c r="A302" s="775" t="s">
        <v>969</v>
      </c>
      <c r="B302" s="775" t="s">
        <v>1790</v>
      </c>
      <c r="C302" s="776">
        <v>0</v>
      </c>
      <c r="D302" s="776">
        <v>0</v>
      </c>
      <c r="E302" s="776">
        <v>0</v>
      </c>
      <c r="F302" s="776">
        <v>0</v>
      </c>
      <c r="G302" s="776">
        <v>0</v>
      </c>
      <c r="H302" s="763"/>
      <c r="I302" s="186">
        <f t="shared" si="9"/>
        <v>0</v>
      </c>
      <c r="J302" s="186">
        <v>1133880</v>
      </c>
    </row>
    <row r="303" spans="1:10" s="186" customFormat="1" ht="12.75" hidden="1" customHeight="1">
      <c r="A303" s="775" t="s">
        <v>971</v>
      </c>
      <c r="B303" s="775" t="s">
        <v>1611</v>
      </c>
      <c r="C303" s="776">
        <v>0</v>
      </c>
      <c r="D303" s="776">
        <v>0</v>
      </c>
      <c r="E303" s="776">
        <v>0</v>
      </c>
      <c r="F303" s="776">
        <v>0</v>
      </c>
      <c r="G303" s="776">
        <v>0</v>
      </c>
      <c r="H303" s="763"/>
      <c r="I303" s="186">
        <f t="shared" si="9"/>
        <v>0</v>
      </c>
      <c r="J303" s="186">
        <v>1133881</v>
      </c>
    </row>
    <row r="304" spans="1:10" s="186" customFormat="1" ht="13">
      <c r="A304" s="775" t="s">
        <v>972</v>
      </c>
      <c r="B304" s="775" t="s">
        <v>1791</v>
      </c>
      <c r="C304" s="776">
        <v>0</v>
      </c>
      <c r="D304" s="776">
        <v>0</v>
      </c>
      <c r="E304" s="776">
        <v>0</v>
      </c>
      <c r="F304" s="776">
        <v>0</v>
      </c>
      <c r="G304" s="776">
        <v>0</v>
      </c>
      <c r="H304" s="763"/>
      <c r="I304" s="186">
        <f t="shared" si="9"/>
        <v>0</v>
      </c>
      <c r="J304" s="186">
        <v>1133882</v>
      </c>
    </row>
    <row r="305" spans="1:10" s="186" customFormat="1" ht="13">
      <c r="A305" s="775" t="s">
        <v>974</v>
      </c>
      <c r="B305" s="775" t="s">
        <v>1792</v>
      </c>
      <c r="C305" s="776">
        <v>3418.68</v>
      </c>
      <c r="D305" s="776">
        <v>31965.7</v>
      </c>
      <c r="E305" s="776">
        <v>0</v>
      </c>
      <c r="F305" s="776">
        <v>3333.36</v>
      </c>
      <c r="G305" s="776">
        <v>5000</v>
      </c>
      <c r="H305" s="763"/>
      <c r="I305" s="186">
        <f t="shared" si="9"/>
        <v>43717.74</v>
      </c>
      <c r="J305" s="186">
        <v>1133883</v>
      </c>
    </row>
    <row r="306" spans="1:10" s="186" customFormat="1" ht="13">
      <c r="A306" s="775" t="s">
        <v>976</v>
      </c>
      <c r="B306" s="775" t="s">
        <v>1793</v>
      </c>
      <c r="C306" s="776">
        <v>0</v>
      </c>
      <c r="D306" s="776">
        <v>0</v>
      </c>
      <c r="E306" s="776">
        <v>0</v>
      </c>
      <c r="F306" s="776">
        <v>0</v>
      </c>
      <c r="G306" s="776">
        <v>0</v>
      </c>
      <c r="H306" s="763"/>
      <c r="I306" s="186">
        <f t="shared" si="9"/>
        <v>0</v>
      </c>
      <c r="J306" s="186">
        <v>1133884</v>
      </c>
    </row>
    <row r="307" spans="1:10" s="186" customFormat="1" ht="13">
      <c r="A307" s="775" t="s">
        <v>978</v>
      </c>
      <c r="B307" s="775" t="s">
        <v>1794</v>
      </c>
      <c r="C307" s="776">
        <v>4344.1099999999997</v>
      </c>
      <c r="D307" s="776">
        <v>0</v>
      </c>
      <c r="E307" s="776">
        <v>1970.64</v>
      </c>
      <c r="F307" s="776">
        <v>2000</v>
      </c>
      <c r="G307" s="776">
        <v>3000</v>
      </c>
      <c r="H307" s="763"/>
      <c r="I307" s="186">
        <f t="shared" si="9"/>
        <v>11314.75</v>
      </c>
      <c r="J307" s="186">
        <v>1133885</v>
      </c>
    </row>
    <row r="308" spans="1:10" s="186" customFormat="1" ht="12.75" customHeight="1">
      <c r="A308" s="775" t="s">
        <v>980</v>
      </c>
      <c r="B308" s="775" t="s">
        <v>1795</v>
      </c>
      <c r="C308" s="776">
        <v>0</v>
      </c>
      <c r="D308" s="776">
        <v>0</v>
      </c>
      <c r="E308" s="776">
        <v>0</v>
      </c>
      <c r="F308" s="776">
        <v>1000</v>
      </c>
      <c r="G308" s="776">
        <v>1500</v>
      </c>
      <c r="H308" s="763"/>
      <c r="I308" s="186">
        <f t="shared" si="9"/>
        <v>2500</v>
      </c>
      <c r="J308" s="186">
        <v>1133886</v>
      </c>
    </row>
    <row r="309" spans="1:10" s="186" customFormat="1" ht="13">
      <c r="A309" s="775" t="s">
        <v>982</v>
      </c>
      <c r="B309" s="775" t="s">
        <v>1796</v>
      </c>
      <c r="C309" s="776">
        <v>0</v>
      </c>
      <c r="D309" s="776">
        <v>0</v>
      </c>
      <c r="E309" s="776">
        <v>0</v>
      </c>
      <c r="F309" s="776">
        <v>0</v>
      </c>
      <c r="G309" s="776">
        <v>0</v>
      </c>
      <c r="H309" s="763"/>
      <c r="I309" s="186">
        <f t="shared" si="9"/>
        <v>0</v>
      </c>
      <c r="J309" s="186">
        <v>1133887</v>
      </c>
    </row>
    <row r="310" spans="1:10" s="186" customFormat="1" ht="13">
      <c r="A310" s="775" t="s">
        <v>984</v>
      </c>
      <c r="B310" s="775" t="s">
        <v>1797</v>
      </c>
      <c r="C310" s="776">
        <v>856.21</v>
      </c>
      <c r="D310" s="776">
        <v>7498.38</v>
      </c>
      <c r="E310" s="776">
        <v>3775.79</v>
      </c>
      <c r="F310" s="776">
        <v>6666.64</v>
      </c>
      <c r="G310" s="776">
        <v>10000</v>
      </c>
      <c r="H310" s="763"/>
      <c r="I310" s="186">
        <f t="shared" si="9"/>
        <v>28797.02</v>
      </c>
      <c r="J310" s="186">
        <v>1133888</v>
      </c>
    </row>
    <row r="311" spans="1:10" s="186" customFormat="1" ht="12.75" customHeight="1">
      <c r="A311" s="775" t="s">
        <v>986</v>
      </c>
      <c r="B311" s="775" t="s">
        <v>1798</v>
      </c>
      <c r="C311" s="776">
        <v>0</v>
      </c>
      <c r="D311" s="776">
        <v>0</v>
      </c>
      <c r="E311" s="776">
        <v>0</v>
      </c>
      <c r="F311" s="776">
        <v>0</v>
      </c>
      <c r="G311" s="776">
        <v>0</v>
      </c>
      <c r="H311" s="763"/>
      <c r="I311" s="186">
        <f t="shared" si="9"/>
        <v>0</v>
      </c>
      <c r="J311" s="186">
        <v>1133889</v>
      </c>
    </row>
    <row r="312" spans="1:10" s="186" customFormat="1" ht="13">
      <c r="A312" s="775" t="s">
        <v>988</v>
      </c>
      <c r="B312" s="775" t="s">
        <v>1799</v>
      </c>
      <c r="C312" s="776">
        <v>0</v>
      </c>
      <c r="D312" s="776">
        <v>0</v>
      </c>
      <c r="E312" s="776">
        <v>0</v>
      </c>
      <c r="F312" s="776">
        <v>0</v>
      </c>
      <c r="G312" s="776">
        <v>0</v>
      </c>
      <c r="H312" s="763"/>
      <c r="I312" s="186">
        <f t="shared" si="9"/>
        <v>0</v>
      </c>
      <c r="J312" s="186">
        <v>1133890</v>
      </c>
    </row>
    <row r="313" spans="1:10" s="186" customFormat="1" ht="12.75" customHeight="1">
      <c r="A313" s="775" t="s">
        <v>990</v>
      </c>
      <c r="B313" s="775" t="s">
        <v>1800</v>
      </c>
      <c r="C313" s="776">
        <v>0</v>
      </c>
      <c r="D313" s="776">
        <v>0</v>
      </c>
      <c r="E313" s="776">
        <v>0</v>
      </c>
      <c r="F313" s="776">
        <v>0</v>
      </c>
      <c r="G313" s="776">
        <v>0</v>
      </c>
      <c r="H313" s="763"/>
      <c r="I313" s="186">
        <f t="shared" si="9"/>
        <v>0</v>
      </c>
      <c r="J313" s="186">
        <v>1133891</v>
      </c>
    </row>
    <row r="314" spans="1:10" s="186" customFormat="1" ht="13">
      <c r="A314" s="775" t="s">
        <v>992</v>
      </c>
      <c r="B314" s="775" t="s">
        <v>1801</v>
      </c>
      <c r="C314" s="776">
        <v>0</v>
      </c>
      <c r="D314" s="776">
        <v>0</v>
      </c>
      <c r="E314" s="776">
        <v>0</v>
      </c>
      <c r="F314" s="776">
        <v>0</v>
      </c>
      <c r="G314" s="776">
        <v>0</v>
      </c>
      <c r="H314" s="763"/>
      <c r="I314" s="186">
        <f t="shared" si="9"/>
        <v>0</v>
      </c>
      <c r="J314" s="186">
        <v>1133892</v>
      </c>
    </row>
    <row r="315" spans="1:10" s="186" customFormat="1" ht="13">
      <c r="A315" s="775" t="s">
        <v>994</v>
      </c>
      <c r="B315" s="775" t="s">
        <v>1802</v>
      </c>
      <c r="C315" s="776">
        <v>2972.28</v>
      </c>
      <c r="D315" s="776">
        <v>990.76</v>
      </c>
      <c r="E315" s="776">
        <v>0</v>
      </c>
      <c r="F315" s="776">
        <v>1333.36</v>
      </c>
      <c r="G315" s="776">
        <v>2000</v>
      </c>
      <c r="H315" s="763"/>
      <c r="I315" s="186">
        <f t="shared" si="9"/>
        <v>7296.4</v>
      </c>
      <c r="J315" s="186">
        <v>1133893</v>
      </c>
    </row>
    <row r="316" spans="1:10" s="186" customFormat="1" ht="12.75" customHeight="1">
      <c r="A316" s="775" t="s">
        <v>996</v>
      </c>
      <c r="B316" s="775" t="s">
        <v>1803</v>
      </c>
      <c r="C316" s="776">
        <v>10281.879999999999</v>
      </c>
      <c r="D316" s="776">
        <v>0</v>
      </c>
      <c r="E316" s="776">
        <v>7300</v>
      </c>
      <c r="F316" s="776">
        <v>12333.36</v>
      </c>
      <c r="G316" s="776">
        <v>18500</v>
      </c>
      <c r="H316" s="763"/>
      <c r="I316" s="186">
        <f t="shared" si="9"/>
        <v>48415.24</v>
      </c>
      <c r="J316" s="186">
        <v>1133894</v>
      </c>
    </row>
    <row r="317" spans="1:10" s="186" customFormat="1" ht="12.75" customHeight="1">
      <c r="A317" s="777" t="s">
        <v>998</v>
      </c>
      <c r="B317" s="777" t="s">
        <v>1804</v>
      </c>
      <c r="C317" s="778">
        <v>448042.17</v>
      </c>
      <c r="D317" s="778">
        <v>494941.78</v>
      </c>
      <c r="E317" s="778">
        <v>413860.46</v>
      </c>
      <c r="F317" s="778">
        <v>259500.16</v>
      </c>
      <c r="G317" s="778">
        <v>375500</v>
      </c>
      <c r="H317" s="779"/>
      <c r="I317" s="186">
        <f t="shared" si="9"/>
        <v>1991844.5699999998</v>
      </c>
      <c r="J317" s="186">
        <v>1133895</v>
      </c>
    </row>
    <row r="318" spans="1:10" s="186" customFormat="1" ht="12.75" customHeight="1">
      <c r="A318" s="775"/>
      <c r="B318" s="775"/>
      <c r="C318" s="776"/>
      <c r="D318" s="776"/>
      <c r="E318" s="776"/>
      <c r="F318" s="776"/>
      <c r="G318" s="776"/>
      <c r="H318" s="763"/>
      <c r="I318" s="186">
        <f t="shared" si="9"/>
        <v>0</v>
      </c>
      <c r="J318" s="186">
        <v>1133896</v>
      </c>
    </row>
    <row r="319" spans="1:10" s="186" customFormat="1" ht="13">
      <c r="A319" s="269" t="s">
        <v>1000</v>
      </c>
      <c r="B319" s="269" t="s">
        <v>1805</v>
      </c>
      <c r="C319" s="270" t="s">
        <v>1483</v>
      </c>
      <c r="D319" s="270" t="s">
        <v>1483</v>
      </c>
      <c r="E319" s="270" t="s">
        <v>1483</v>
      </c>
      <c r="F319" s="270" t="s">
        <v>1483</v>
      </c>
      <c r="G319" s="270" t="s">
        <v>1483</v>
      </c>
      <c r="H319" s="713"/>
      <c r="I319" s="186" t="e" vm="1">
        <f t="shared" si="9"/>
        <v>#VALUE!</v>
      </c>
      <c r="J319" s="186">
        <v>1133897</v>
      </c>
    </row>
    <row r="320" spans="1:10" s="186" customFormat="1" ht="12.75" customHeight="1">
      <c r="A320" s="775" t="s">
        <v>1002</v>
      </c>
      <c r="B320" s="775" t="s">
        <v>1806</v>
      </c>
      <c r="C320" s="776">
        <v>0</v>
      </c>
      <c r="D320" s="776">
        <v>0</v>
      </c>
      <c r="E320" s="776">
        <v>0</v>
      </c>
      <c r="F320" s="776">
        <v>0</v>
      </c>
      <c r="G320" s="776">
        <v>0</v>
      </c>
      <c r="H320" s="763"/>
      <c r="I320" s="186">
        <f t="shared" si="9"/>
        <v>0</v>
      </c>
      <c r="J320" s="186">
        <v>1133898</v>
      </c>
    </row>
    <row r="321" spans="1:10" s="186" customFormat="1" ht="12.75" customHeight="1">
      <c r="A321" s="775" t="s">
        <v>1004</v>
      </c>
      <c r="B321" s="775" t="s">
        <v>1807</v>
      </c>
      <c r="C321" s="776">
        <v>0</v>
      </c>
      <c r="D321" s="776">
        <v>0</v>
      </c>
      <c r="E321" s="776">
        <v>0</v>
      </c>
      <c r="F321" s="776">
        <v>0</v>
      </c>
      <c r="G321" s="776">
        <v>0</v>
      </c>
      <c r="H321" s="763"/>
      <c r="I321" s="186">
        <f t="shared" si="9"/>
        <v>0</v>
      </c>
      <c r="J321" s="186">
        <v>1133899</v>
      </c>
    </row>
    <row r="322" spans="1:10" s="186" customFormat="1" ht="12.75" customHeight="1">
      <c r="A322" s="775" t="s">
        <v>1006</v>
      </c>
      <c r="B322" s="775" t="s">
        <v>1808</v>
      </c>
      <c r="C322" s="776">
        <v>0</v>
      </c>
      <c r="D322" s="776">
        <v>0</v>
      </c>
      <c r="E322" s="776">
        <v>0</v>
      </c>
      <c r="F322" s="776">
        <v>0</v>
      </c>
      <c r="G322" s="776">
        <v>0</v>
      </c>
      <c r="H322" s="763"/>
      <c r="I322" s="186">
        <f t="shared" si="9"/>
        <v>0</v>
      </c>
      <c r="J322" s="186">
        <v>1133900</v>
      </c>
    </row>
    <row r="323" spans="1:10" s="186" customFormat="1" ht="12.75" customHeight="1">
      <c r="A323" s="775" t="s">
        <v>1008</v>
      </c>
      <c r="B323" s="775" t="s">
        <v>1809</v>
      </c>
      <c r="C323" s="776">
        <v>0</v>
      </c>
      <c r="D323" s="776">
        <v>0</v>
      </c>
      <c r="E323" s="776">
        <v>0</v>
      </c>
      <c r="F323" s="776">
        <v>0</v>
      </c>
      <c r="G323" s="776">
        <v>0</v>
      </c>
      <c r="H323" s="763"/>
      <c r="I323" s="186">
        <f t="shared" si="9"/>
        <v>0</v>
      </c>
      <c r="J323" s="186">
        <v>1133901</v>
      </c>
    </row>
    <row r="324" spans="1:10" s="186" customFormat="1" ht="13">
      <c r="A324" s="775" t="s">
        <v>1010</v>
      </c>
      <c r="B324" s="775" t="s">
        <v>1810</v>
      </c>
      <c r="C324" s="776">
        <v>0</v>
      </c>
      <c r="D324" s="776">
        <v>0</v>
      </c>
      <c r="E324" s="776">
        <v>0</v>
      </c>
      <c r="F324" s="776">
        <v>0</v>
      </c>
      <c r="G324" s="776">
        <v>0</v>
      </c>
      <c r="H324" s="763"/>
      <c r="I324" s="186">
        <f t="shared" si="9"/>
        <v>0</v>
      </c>
      <c r="J324" s="186">
        <v>1133902</v>
      </c>
    </row>
    <row r="325" spans="1:10" s="186" customFormat="1" ht="12.75" customHeight="1">
      <c r="A325" s="775" t="s">
        <v>1811</v>
      </c>
      <c r="B325" s="775" t="s">
        <v>1812</v>
      </c>
      <c r="C325" s="776">
        <v>0</v>
      </c>
      <c r="D325" s="776">
        <v>0</v>
      </c>
      <c r="E325" s="776">
        <v>0</v>
      </c>
      <c r="F325" s="776">
        <v>0</v>
      </c>
      <c r="G325" s="776">
        <v>0</v>
      </c>
      <c r="H325" s="763"/>
      <c r="I325" s="186">
        <f t="shared" si="9"/>
        <v>0</v>
      </c>
      <c r="J325" s="186">
        <v>1133903</v>
      </c>
    </row>
    <row r="326" spans="1:10" s="186" customFormat="1" ht="12.75" customHeight="1">
      <c r="A326" s="775" t="s">
        <v>1012</v>
      </c>
      <c r="B326" s="775" t="s">
        <v>1813</v>
      </c>
      <c r="C326" s="776">
        <v>27240.16</v>
      </c>
      <c r="D326" s="776">
        <v>27205.46</v>
      </c>
      <c r="E326" s="776">
        <v>14240.88</v>
      </c>
      <c r="F326" s="776">
        <v>16533.36</v>
      </c>
      <c r="G326" s="776">
        <v>24800</v>
      </c>
      <c r="H326" s="763"/>
      <c r="I326" s="186">
        <f t="shared" si="9"/>
        <v>110019.86</v>
      </c>
      <c r="J326" s="186">
        <v>1133904</v>
      </c>
    </row>
    <row r="327" spans="1:10" s="186" customFormat="1" ht="12.75" customHeight="1">
      <c r="A327" s="775" t="s">
        <v>1814</v>
      </c>
      <c r="B327" s="775" t="s">
        <v>1815</v>
      </c>
      <c r="C327" s="776">
        <v>0</v>
      </c>
      <c r="D327" s="776">
        <v>0</v>
      </c>
      <c r="E327" s="776">
        <v>0</v>
      </c>
      <c r="F327" s="776">
        <v>0</v>
      </c>
      <c r="G327" s="776">
        <v>0</v>
      </c>
      <c r="H327" s="763"/>
      <c r="I327" s="186">
        <f t="shared" si="9"/>
        <v>0</v>
      </c>
      <c r="J327" s="186">
        <v>1133905</v>
      </c>
    </row>
    <row r="328" spans="1:10" s="186" customFormat="1" ht="13">
      <c r="A328" s="775" t="s">
        <v>1014</v>
      </c>
      <c r="B328" s="775" t="s">
        <v>1816</v>
      </c>
      <c r="C328" s="776">
        <v>40971.839999999997</v>
      </c>
      <c r="D328" s="776">
        <v>42737.56</v>
      </c>
      <c r="E328" s="776">
        <v>29816.959999999999</v>
      </c>
      <c r="F328" s="776">
        <v>26378</v>
      </c>
      <c r="G328" s="776">
        <v>39567</v>
      </c>
      <c r="H328" s="763"/>
      <c r="I328" s="186">
        <f t="shared" si="9"/>
        <v>179471.35999999999</v>
      </c>
      <c r="J328" s="186">
        <v>1133906</v>
      </c>
    </row>
    <row r="329" spans="1:10" s="186" customFormat="1" ht="13">
      <c r="A329" s="775" t="s">
        <v>1016</v>
      </c>
      <c r="B329" s="775" t="s">
        <v>1817</v>
      </c>
      <c r="C329" s="776">
        <v>1399</v>
      </c>
      <c r="D329" s="776">
        <v>1743.18</v>
      </c>
      <c r="E329" s="776">
        <v>0</v>
      </c>
      <c r="F329" s="776">
        <v>0</v>
      </c>
      <c r="G329" s="776">
        <v>0</v>
      </c>
      <c r="H329" s="763"/>
      <c r="I329" s="780">
        <f t="shared" si="9"/>
        <v>3142.1800000000003</v>
      </c>
      <c r="J329" s="186">
        <v>1133907</v>
      </c>
    </row>
    <row r="330" spans="1:10" s="186" customFormat="1" ht="13">
      <c r="A330" s="775" t="s">
        <v>1018</v>
      </c>
      <c r="B330" s="775" t="s">
        <v>1818</v>
      </c>
      <c r="C330" s="776">
        <v>0</v>
      </c>
      <c r="D330" s="776">
        <v>0</v>
      </c>
      <c r="E330" s="776">
        <v>0</v>
      </c>
      <c r="F330" s="776">
        <v>0</v>
      </c>
      <c r="G330" s="776">
        <v>0</v>
      </c>
      <c r="H330" s="763"/>
      <c r="I330" s="780">
        <f t="shared" si="9"/>
        <v>0</v>
      </c>
      <c r="J330" s="186">
        <v>1133908</v>
      </c>
    </row>
    <row r="331" spans="1:10" s="186" customFormat="1" ht="13">
      <c r="A331" s="775" t="s">
        <v>1020</v>
      </c>
      <c r="B331" s="775" t="s">
        <v>1819</v>
      </c>
      <c r="C331" s="776">
        <v>2380.12</v>
      </c>
      <c r="D331" s="776">
        <v>6922.12</v>
      </c>
      <c r="E331" s="776">
        <v>0</v>
      </c>
      <c r="F331" s="776">
        <v>2466.64</v>
      </c>
      <c r="G331" s="776">
        <v>3700</v>
      </c>
      <c r="H331" s="763"/>
      <c r="I331" s="780">
        <f t="shared" si="9"/>
        <v>15468.88</v>
      </c>
      <c r="J331" s="186">
        <v>1133909</v>
      </c>
    </row>
    <row r="332" spans="1:10" s="186" customFormat="1" ht="13">
      <c r="A332" s="775" t="s">
        <v>1022</v>
      </c>
      <c r="B332" s="775" t="s">
        <v>1820</v>
      </c>
      <c r="C332" s="776">
        <v>25922.62</v>
      </c>
      <c r="D332" s="776">
        <v>30860.33</v>
      </c>
      <c r="E332" s="776">
        <v>23690.799999999999</v>
      </c>
      <c r="F332" s="776">
        <v>13333.36</v>
      </c>
      <c r="G332" s="776">
        <v>20000</v>
      </c>
      <c r="H332" s="763"/>
    </row>
    <row r="333" spans="1:10" s="186" customFormat="1" ht="13">
      <c r="A333" s="775" t="s">
        <v>1821</v>
      </c>
      <c r="B333" s="775" t="s">
        <v>1822</v>
      </c>
      <c r="C333" s="776">
        <v>0</v>
      </c>
      <c r="D333" s="776">
        <v>0</v>
      </c>
      <c r="E333" s="776">
        <v>0</v>
      </c>
      <c r="F333" s="776">
        <v>0</v>
      </c>
      <c r="G333" s="776">
        <v>0</v>
      </c>
      <c r="H333" s="763"/>
      <c r="I333" s="780">
        <v>1</v>
      </c>
      <c r="J333" s="186">
        <v>1133910</v>
      </c>
    </row>
    <row r="334" spans="1:10" s="186" customFormat="1" ht="13">
      <c r="A334" s="775" t="s">
        <v>1024</v>
      </c>
      <c r="B334" s="775" t="s">
        <v>1823</v>
      </c>
      <c r="C334" s="776">
        <v>0</v>
      </c>
      <c r="D334" s="776">
        <v>0</v>
      </c>
      <c r="E334" s="776">
        <v>0</v>
      </c>
      <c r="F334" s="776">
        <v>0</v>
      </c>
      <c r="G334" s="776">
        <v>0</v>
      </c>
      <c r="H334" s="763"/>
    </row>
    <row r="335" spans="1:10" s="186" customFormat="1" ht="13">
      <c r="A335" s="775" t="s">
        <v>1026</v>
      </c>
      <c r="B335" s="775" t="s">
        <v>1824</v>
      </c>
      <c r="C335" s="776">
        <v>45798.35</v>
      </c>
      <c r="D335" s="776">
        <v>25619.86</v>
      </c>
      <c r="E335" s="776">
        <v>12906.22</v>
      </c>
      <c r="F335" s="776">
        <v>20666.64</v>
      </c>
      <c r="G335" s="776">
        <v>31000</v>
      </c>
      <c r="H335" s="763"/>
      <c r="I335" s="187">
        <v>1</v>
      </c>
      <c r="J335" s="186">
        <v>1133911</v>
      </c>
    </row>
    <row r="336" spans="1:10" s="186" customFormat="1" ht="13">
      <c r="A336" s="775" t="s">
        <v>1028</v>
      </c>
      <c r="B336" s="775" t="s">
        <v>1825</v>
      </c>
      <c r="C336" s="776">
        <v>8478.08</v>
      </c>
      <c r="D336" s="776">
        <v>7825.92</v>
      </c>
      <c r="E336" s="776">
        <v>5217.28</v>
      </c>
      <c r="F336" s="776">
        <v>5288.64</v>
      </c>
      <c r="G336" s="776">
        <v>7933</v>
      </c>
      <c r="H336" s="763"/>
      <c r="I336" s="186">
        <f t="shared" ref="I336:I347" si="10">C336+D336+E336+F336+G336</f>
        <v>34742.92</v>
      </c>
      <c r="J336" s="186">
        <v>1133912</v>
      </c>
    </row>
    <row r="337" spans="1:10" s="186" customFormat="1" ht="13">
      <c r="A337" s="775" t="s">
        <v>1030</v>
      </c>
      <c r="B337" s="775" t="s">
        <v>1826</v>
      </c>
      <c r="C337" s="776">
        <v>8600.76</v>
      </c>
      <c r="D337" s="776">
        <v>1660.35</v>
      </c>
      <c r="E337" s="776">
        <v>3375.13</v>
      </c>
      <c r="F337" s="776">
        <v>1666.64</v>
      </c>
      <c r="G337" s="776">
        <v>2500</v>
      </c>
      <c r="H337" s="763"/>
      <c r="I337" s="186">
        <f t="shared" si="10"/>
        <v>17802.88</v>
      </c>
      <c r="J337" s="186">
        <v>1133913</v>
      </c>
    </row>
    <row r="338" spans="1:10" s="186" customFormat="1" ht="13">
      <c r="A338" s="775" t="s">
        <v>1032</v>
      </c>
      <c r="B338" s="775" t="s">
        <v>1827</v>
      </c>
      <c r="C338" s="776">
        <v>1469.81</v>
      </c>
      <c r="D338" s="776">
        <v>14494.53</v>
      </c>
      <c r="E338" s="776">
        <v>0</v>
      </c>
      <c r="F338" s="776">
        <v>0</v>
      </c>
      <c r="G338" s="776">
        <v>0</v>
      </c>
      <c r="H338" s="763"/>
      <c r="I338" s="186">
        <f t="shared" si="10"/>
        <v>15964.34</v>
      </c>
      <c r="J338" s="186">
        <v>1133914</v>
      </c>
    </row>
    <row r="339" spans="1:10" s="186" customFormat="1" ht="13">
      <c r="A339" s="775" t="s">
        <v>1034</v>
      </c>
      <c r="B339" s="775" t="s">
        <v>1828</v>
      </c>
      <c r="C339" s="776">
        <v>0</v>
      </c>
      <c r="D339" s="776">
        <v>0</v>
      </c>
      <c r="E339" s="776">
        <v>0</v>
      </c>
      <c r="F339" s="776">
        <v>0</v>
      </c>
      <c r="G339" s="776">
        <v>0</v>
      </c>
      <c r="H339" s="763"/>
      <c r="I339" s="186">
        <f t="shared" si="10"/>
        <v>0</v>
      </c>
      <c r="J339" s="186">
        <v>1133915</v>
      </c>
    </row>
    <row r="340" spans="1:10" s="186" customFormat="1" ht="13">
      <c r="A340" s="775" t="s">
        <v>1036</v>
      </c>
      <c r="B340" s="775" t="s">
        <v>1829</v>
      </c>
      <c r="C340" s="776">
        <v>0</v>
      </c>
      <c r="D340" s="776">
        <v>0</v>
      </c>
      <c r="E340" s="776">
        <v>0</v>
      </c>
      <c r="F340" s="776">
        <v>0</v>
      </c>
      <c r="G340" s="776">
        <v>0</v>
      </c>
      <c r="H340" s="763"/>
      <c r="I340" s="186">
        <f t="shared" si="10"/>
        <v>0</v>
      </c>
      <c r="J340" s="186">
        <v>1133916</v>
      </c>
    </row>
    <row r="341" spans="1:10" s="186" customFormat="1" ht="12.75" customHeight="1">
      <c r="A341" s="775" t="s">
        <v>1038</v>
      </c>
      <c r="B341" s="775" t="s">
        <v>1830</v>
      </c>
      <c r="C341" s="776">
        <v>0</v>
      </c>
      <c r="D341" s="776">
        <v>0</v>
      </c>
      <c r="E341" s="776">
        <v>0</v>
      </c>
      <c r="F341" s="776">
        <v>0</v>
      </c>
      <c r="G341" s="776">
        <v>0</v>
      </c>
      <c r="H341" s="763"/>
      <c r="I341" s="186">
        <f t="shared" si="10"/>
        <v>0</v>
      </c>
      <c r="J341" s="186">
        <v>1133917</v>
      </c>
    </row>
    <row r="342" spans="1:10" s="186" customFormat="1" ht="13">
      <c r="A342" s="775" t="s">
        <v>1040</v>
      </c>
      <c r="B342" s="775" t="s">
        <v>1831</v>
      </c>
      <c r="C342" s="776">
        <v>8337.65</v>
      </c>
      <c r="D342" s="776">
        <v>9269.6200000000008</v>
      </c>
      <c r="E342" s="776">
        <v>9018.1200000000008</v>
      </c>
      <c r="F342" s="776">
        <v>10000</v>
      </c>
      <c r="G342" s="776">
        <v>10000</v>
      </c>
      <c r="H342" s="763"/>
      <c r="I342" s="186">
        <f t="shared" si="10"/>
        <v>46625.39</v>
      </c>
      <c r="J342" s="186">
        <v>1133918</v>
      </c>
    </row>
    <row r="343" spans="1:10" s="186" customFormat="1" ht="12.75" customHeight="1">
      <c r="A343" s="775" t="s">
        <v>1042</v>
      </c>
      <c r="B343" s="775" t="s">
        <v>1832</v>
      </c>
      <c r="C343" s="776">
        <v>0</v>
      </c>
      <c r="D343" s="776">
        <v>0</v>
      </c>
      <c r="E343" s="776">
        <v>0</v>
      </c>
      <c r="F343" s="776">
        <v>0</v>
      </c>
      <c r="G343" s="776">
        <v>0</v>
      </c>
      <c r="H343" s="763"/>
      <c r="I343" s="186">
        <f t="shared" si="10"/>
        <v>0</v>
      </c>
      <c r="J343" s="186">
        <v>1133919</v>
      </c>
    </row>
    <row r="344" spans="1:10" s="186" customFormat="1" ht="12.75" customHeight="1">
      <c r="A344" s="775" t="s">
        <v>1044</v>
      </c>
      <c r="B344" s="775" t="s">
        <v>1833</v>
      </c>
      <c r="C344" s="776">
        <v>0</v>
      </c>
      <c r="D344" s="776">
        <v>22168.32</v>
      </c>
      <c r="E344" s="776">
        <v>23605.32</v>
      </c>
      <c r="F344" s="776">
        <v>25000</v>
      </c>
      <c r="G344" s="776">
        <v>25000</v>
      </c>
      <c r="H344" s="763"/>
      <c r="I344" s="186">
        <f t="shared" si="10"/>
        <v>95773.64</v>
      </c>
      <c r="J344" s="186">
        <v>1133920</v>
      </c>
    </row>
    <row r="345" spans="1:10" s="186" customFormat="1" ht="12.75" customHeight="1">
      <c r="A345" s="775" t="s">
        <v>1046</v>
      </c>
      <c r="B345" s="775" t="s">
        <v>1834</v>
      </c>
      <c r="C345" s="776">
        <v>0</v>
      </c>
      <c r="D345" s="776">
        <v>0</v>
      </c>
      <c r="E345" s="776">
        <v>0</v>
      </c>
      <c r="F345" s="776">
        <v>0</v>
      </c>
      <c r="G345" s="776">
        <v>0</v>
      </c>
      <c r="H345" s="763"/>
      <c r="I345" s="186">
        <f t="shared" si="10"/>
        <v>0</v>
      </c>
      <c r="J345" s="186">
        <v>1133921</v>
      </c>
    </row>
    <row r="346" spans="1:10" s="186" customFormat="1" ht="13">
      <c r="A346" s="775" t="s">
        <v>1048</v>
      </c>
      <c r="B346" s="775" t="s">
        <v>1835</v>
      </c>
      <c r="C346" s="776">
        <v>0</v>
      </c>
      <c r="D346" s="776">
        <v>0</v>
      </c>
      <c r="E346" s="776">
        <v>0</v>
      </c>
      <c r="F346" s="776">
        <v>0</v>
      </c>
      <c r="G346" s="776">
        <v>0</v>
      </c>
      <c r="H346" s="763"/>
      <c r="I346" s="186">
        <f t="shared" si="10"/>
        <v>0</v>
      </c>
      <c r="J346" s="186">
        <v>1133922</v>
      </c>
    </row>
    <row r="347" spans="1:10" s="186" customFormat="1" ht="13">
      <c r="A347" s="775" t="s">
        <v>1050</v>
      </c>
      <c r="B347" s="775" t="s">
        <v>1836</v>
      </c>
      <c r="C347" s="776">
        <v>18345.439999999999</v>
      </c>
      <c r="D347" s="776">
        <v>7212.99</v>
      </c>
      <c r="E347" s="776">
        <v>11411.79</v>
      </c>
      <c r="F347" s="776">
        <v>10000</v>
      </c>
      <c r="G347" s="776">
        <v>10000</v>
      </c>
      <c r="H347" s="763"/>
      <c r="I347" s="780">
        <f t="shared" si="10"/>
        <v>56970.22</v>
      </c>
      <c r="J347" s="186">
        <v>1133923</v>
      </c>
    </row>
    <row r="348" spans="1:10" s="186" customFormat="1" ht="13">
      <c r="A348" s="775" t="s">
        <v>1052</v>
      </c>
      <c r="B348" s="775" t="s">
        <v>1837</v>
      </c>
      <c r="C348" s="776">
        <v>0</v>
      </c>
      <c r="D348" s="776">
        <v>0</v>
      </c>
      <c r="E348" s="776">
        <v>0</v>
      </c>
      <c r="F348" s="776">
        <v>0</v>
      </c>
      <c r="G348" s="776">
        <v>0</v>
      </c>
      <c r="H348" s="763"/>
    </row>
    <row r="349" spans="1:10" s="186" customFormat="1" ht="13">
      <c r="A349" s="775" t="s">
        <v>1054</v>
      </c>
      <c r="B349" s="775" t="s">
        <v>1838</v>
      </c>
      <c r="C349" s="776">
        <v>0</v>
      </c>
      <c r="D349" s="776">
        <v>0</v>
      </c>
      <c r="E349" s="776">
        <v>0</v>
      </c>
      <c r="F349" s="776">
        <v>0</v>
      </c>
      <c r="G349" s="776">
        <v>0</v>
      </c>
      <c r="H349" s="763"/>
      <c r="I349" s="187">
        <v>1</v>
      </c>
      <c r="J349" s="186">
        <v>1133924</v>
      </c>
    </row>
    <row r="350" spans="1:10" s="186" customFormat="1" ht="13">
      <c r="A350" s="775" t="s">
        <v>1056</v>
      </c>
      <c r="B350" s="775" t="s">
        <v>1839</v>
      </c>
      <c r="C350" s="776">
        <v>0</v>
      </c>
      <c r="D350" s="776">
        <v>0</v>
      </c>
      <c r="E350" s="776">
        <v>0</v>
      </c>
      <c r="F350" s="776">
        <v>0</v>
      </c>
      <c r="G350" s="776">
        <v>0</v>
      </c>
      <c r="H350" s="763"/>
      <c r="I350" s="186">
        <f t="shared" ref="I350:I364" si="11">C350+D350+E350+F350+G350</f>
        <v>0</v>
      </c>
      <c r="J350" s="186">
        <v>1133925</v>
      </c>
    </row>
    <row r="351" spans="1:10" s="186" customFormat="1" ht="13">
      <c r="A351" s="775" t="s">
        <v>1058</v>
      </c>
      <c r="B351" s="775" t="s">
        <v>1840</v>
      </c>
      <c r="C351" s="776">
        <v>0</v>
      </c>
      <c r="D351" s="776">
        <v>0</v>
      </c>
      <c r="E351" s="776">
        <v>0</v>
      </c>
      <c r="F351" s="776">
        <v>0</v>
      </c>
      <c r="G351" s="776">
        <v>0</v>
      </c>
      <c r="H351" s="763"/>
      <c r="I351" s="186">
        <f t="shared" si="11"/>
        <v>0</v>
      </c>
      <c r="J351" s="186">
        <v>1133926</v>
      </c>
    </row>
    <row r="352" spans="1:10" s="186" customFormat="1" ht="13">
      <c r="A352" s="777" t="s">
        <v>1060</v>
      </c>
      <c r="B352" s="777" t="s">
        <v>1841</v>
      </c>
      <c r="C352" s="778">
        <v>188943.83</v>
      </c>
      <c r="D352" s="778">
        <v>197720.24</v>
      </c>
      <c r="E352" s="778">
        <v>133282.5</v>
      </c>
      <c r="F352" s="778">
        <v>131333.28</v>
      </c>
      <c r="G352" s="778">
        <v>174500</v>
      </c>
      <c r="H352" s="779"/>
      <c r="I352" s="186">
        <f t="shared" si="11"/>
        <v>825779.85</v>
      </c>
      <c r="J352" s="186">
        <v>1133927</v>
      </c>
    </row>
    <row r="353" spans="1:10" s="186" customFormat="1" ht="13">
      <c r="A353" s="777" t="s">
        <v>1062</v>
      </c>
      <c r="B353" s="777" t="s">
        <v>1842</v>
      </c>
      <c r="C353" s="778">
        <v>716128.23</v>
      </c>
      <c r="D353" s="778">
        <v>770260.47</v>
      </c>
      <c r="E353" s="778">
        <v>593039.43000000005</v>
      </c>
      <c r="F353" s="778">
        <v>450833.44</v>
      </c>
      <c r="G353" s="778">
        <v>640000</v>
      </c>
      <c r="H353" s="779"/>
      <c r="I353" s="186">
        <f t="shared" si="11"/>
        <v>3170261.57</v>
      </c>
      <c r="J353" s="186">
        <v>1133928</v>
      </c>
    </row>
    <row r="354" spans="1:10" s="186" customFormat="1" ht="13">
      <c r="A354" s="777" t="s">
        <v>1499</v>
      </c>
      <c r="B354" s="777" t="s">
        <v>1843</v>
      </c>
      <c r="C354" s="778">
        <v>2910482.1</v>
      </c>
      <c r="D354" s="778">
        <v>2895606.77</v>
      </c>
      <c r="E354" s="778">
        <v>2088730.01</v>
      </c>
      <c r="F354" s="778">
        <v>2014198.16</v>
      </c>
      <c r="G354" s="778">
        <v>2985485</v>
      </c>
      <c r="H354" s="779"/>
      <c r="I354" s="186">
        <f t="shared" si="11"/>
        <v>12894502.039999999</v>
      </c>
      <c r="J354" s="186">
        <v>1133929</v>
      </c>
    </row>
    <row r="355" spans="1:10" s="186" customFormat="1" ht="13">
      <c r="A355" s="775"/>
      <c r="B355" s="775"/>
      <c r="C355" s="776"/>
      <c r="D355" s="776"/>
      <c r="E355" s="776"/>
      <c r="F355" s="776"/>
      <c r="G355" s="776"/>
      <c r="H355" s="763"/>
      <c r="I355" s="186">
        <f t="shared" si="11"/>
        <v>0</v>
      </c>
      <c r="J355" s="186">
        <v>1133930</v>
      </c>
    </row>
    <row r="356" spans="1:10" s="186" customFormat="1" ht="12.75" customHeight="1">
      <c r="A356" s="777" t="s">
        <v>1064</v>
      </c>
      <c r="B356" s="777" t="s">
        <v>1844</v>
      </c>
      <c r="C356" s="778" t="s">
        <v>1483</v>
      </c>
      <c r="D356" s="778" t="s">
        <v>1483</v>
      </c>
      <c r="E356" s="778" t="s">
        <v>1483</v>
      </c>
      <c r="F356" s="778" t="s">
        <v>1483</v>
      </c>
      <c r="G356" s="778" t="s">
        <v>1483</v>
      </c>
      <c r="H356" s="779"/>
      <c r="I356" s="186" t="e" vm="1">
        <f t="shared" si="11"/>
        <v>#VALUE!</v>
      </c>
      <c r="J356" s="186">
        <v>1133931</v>
      </c>
    </row>
    <row r="357" spans="1:10" s="186" customFormat="1" ht="13">
      <c r="A357" s="775"/>
      <c r="B357" s="775"/>
      <c r="C357" s="776"/>
      <c r="D357" s="776"/>
      <c r="E357" s="776"/>
      <c r="F357" s="776"/>
      <c r="G357" s="776"/>
      <c r="H357" s="763"/>
      <c r="I357" s="186">
        <f t="shared" si="11"/>
        <v>0</v>
      </c>
      <c r="J357" s="186">
        <v>1133932</v>
      </c>
    </row>
    <row r="358" spans="1:10" s="186" customFormat="1" ht="12.75" customHeight="1">
      <c r="A358" s="269" t="s">
        <v>1066</v>
      </c>
      <c r="B358" s="269" t="s">
        <v>1845</v>
      </c>
      <c r="C358" s="270" t="s">
        <v>1483</v>
      </c>
      <c r="D358" s="270" t="s">
        <v>1483</v>
      </c>
      <c r="E358" s="270" t="s">
        <v>1483</v>
      </c>
      <c r="F358" s="270" t="s">
        <v>1483</v>
      </c>
      <c r="G358" s="270" t="s">
        <v>1483</v>
      </c>
      <c r="H358" s="713"/>
      <c r="I358" s="186" t="e" vm="1">
        <f t="shared" si="11"/>
        <v>#VALUE!</v>
      </c>
      <c r="J358" s="186">
        <v>1133933</v>
      </c>
    </row>
    <row r="359" spans="1:10" s="186" customFormat="1" ht="12.75" customHeight="1">
      <c r="A359" s="775" t="s">
        <v>1068</v>
      </c>
      <c r="B359" s="775" t="s">
        <v>1846</v>
      </c>
      <c r="C359" s="776">
        <v>267193.02</v>
      </c>
      <c r="D359" s="776">
        <v>303790.88</v>
      </c>
      <c r="E359" s="776">
        <v>466099.93</v>
      </c>
      <c r="F359" s="776">
        <v>425307</v>
      </c>
      <c r="G359" s="776">
        <v>425307</v>
      </c>
      <c r="H359" s="763"/>
      <c r="I359" s="186">
        <f t="shared" si="11"/>
        <v>1887697.83</v>
      </c>
      <c r="J359" s="186">
        <v>1133934</v>
      </c>
    </row>
    <row r="360" spans="1:10" s="186" customFormat="1" ht="12.75" customHeight="1">
      <c r="A360" s="775" t="s">
        <v>1070</v>
      </c>
      <c r="B360" s="775" t="s">
        <v>1847</v>
      </c>
      <c r="C360" s="776">
        <v>0</v>
      </c>
      <c r="D360" s="776">
        <v>0</v>
      </c>
      <c r="E360" s="776">
        <v>14362.32</v>
      </c>
      <c r="F360" s="776">
        <v>0</v>
      </c>
      <c r="G360" s="776">
        <v>0</v>
      </c>
      <c r="H360" s="763"/>
      <c r="I360" s="186">
        <f t="shared" si="11"/>
        <v>14362.32</v>
      </c>
      <c r="J360" s="186">
        <v>1133935</v>
      </c>
    </row>
    <row r="361" spans="1:10" s="186" customFormat="1" ht="12.75" customHeight="1">
      <c r="A361" s="775" t="s">
        <v>1072</v>
      </c>
      <c r="B361" s="775" t="s">
        <v>1848</v>
      </c>
      <c r="C361" s="776">
        <v>0</v>
      </c>
      <c r="D361" s="776">
        <v>0</v>
      </c>
      <c r="E361" s="776">
        <v>0</v>
      </c>
      <c r="F361" s="776">
        <v>0</v>
      </c>
      <c r="G361" s="776">
        <v>0</v>
      </c>
      <c r="H361" s="763"/>
      <c r="I361" s="186">
        <f t="shared" si="11"/>
        <v>0</v>
      </c>
      <c r="J361" s="186">
        <v>1133936</v>
      </c>
    </row>
    <row r="362" spans="1:10" s="186" customFormat="1" ht="12.75" customHeight="1">
      <c r="A362" s="775" t="s">
        <v>1074</v>
      </c>
      <c r="B362" s="775" t="s">
        <v>1849</v>
      </c>
      <c r="C362" s="776">
        <v>32643</v>
      </c>
      <c r="D362" s="776">
        <v>39328</v>
      </c>
      <c r="E362" s="776">
        <v>63148.82</v>
      </c>
      <c r="F362" s="776">
        <v>55059</v>
      </c>
      <c r="G362" s="776">
        <v>55059</v>
      </c>
      <c r="H362" s="763"/>
      <c r="I362" s="186">
        <f t="shared" si="11"/>
        <v>245237.82</v>
      </c>
      <c r="J362" s="186">
        <v>1133937</v>
      </c>
    </row>
    <row r="363" spans="1:10" s="186" customFormat="1" ht="12.75" customHeight="1">
      <c r="A363" s="775" t="s">
        <v>1076</v>
      </c>
      <c r="B363" s="775" t="s">
        <v>1850</v>
      </c>
      <c r="C363" s="776">
        <v>9683</v>
      </c>
      <c r="D363" s="776">
        <v>11252</v>
      </c>
      <c r="E363" s="776">
        <v>12812</v>
      </c>
      <c r="F363" s="776">
        <v>16026</v>
      </c>
      <c r="G363" s="776">
        <v>16026</v>
      </c>
      <c r="H363" s="763"/>
      <c r="I363" s="186">
        <f t="shared" si="11"/>
        <v>65799</v>
      </c>
      <c r="J363" s="186">
        <v>1133938</v>
      </c>
    </row>
    <row r="364" spans="1:10" s="186" customFormat="1" ht="13">
      <c r="A364" s="775" t="s">
        <v>1078</v>
      </c>
      <c r="B364" s="775" t="s">
        <v>1851</v>
      </c>
      <c r="C364" s="776">
        <v>1310</v>
      </c>
      <c r="D364" s="776">
        <v>1310</v>
      </c>
      <c r="E364" s="776">
        <v>1471</v>
      </c>
      <c r="F364" s="776">
        <v>1834</v>
      </c>
      <c r="G364" s="776">
        <v>1834</v>
      </c>
      <c r="H364" s="763"/>
      <c r="I364" s="780">
        <f t="shared" si="11"/>
        <v>7759</v>
      </c>
      <c r="J364" s="186">
        <v>1133939</v>
      </c>
    </row>
    <row r="365" spans="1:10" s="186" customFormat="1" ht="13">
      <c r="A365" s="775" t="s">
        <v>1080</v>
      </c>
      <c r="B365" s="775" t="s">
        <v>1852</v>
      </c>
      <c r="C365" s="776">
        <v>0</v>
      </c>
      <c r="D365" s="776">
        <v>0</v>
      </c>
      <c r="E365" s="776">
        <v>0</v>
      </c>
      <c r="F365" s="776">
        <v>0</v>
      </c>
      <c r="G365" s="776">
        <v>0</v>
      </c>
      <c r="H365" s="763"/>
    </row>
    <row r="366" spans="1:10" s="186" customFormat="1" ht="13">
      <c r="A366" s="775" t="s">
        <v>1082</v>
      </c>
      <c r="B366" s="775" t="s">
        <v>1853</v>
      </c>
      <c r="C366" s="776">
        <v>0</v>
      </c>
      <c r="D366" s="776">
        <v>195.04</v>
      </c>
      <c r="E366" s="776">
        <v>0</v>
      </c>
      <c r="F366" s="776">
        <v>0</v>
      </c>
      <c r="G366" s="776">
        <v>0</v>
      </c>
      <c r="H366" s="763"/>
      <c r="I366" s="187">
        <v>1</v>
      </c>
      <c r="J366" s="186">
        <v>1133940</v>
      </c>
    </row>
    <row r="367" spans="1:10" s="186" customFormat="1" ht="13">
      <c r="A367" s="775" t="s">
        <v>1084</v>
      </c>
      <c r="B367" s="775" t="s">
        <v>1854</v>
      </c>
      <c r="C367" s="776">
        <v>0</v>
      </c>
      <c r="D367" s="776">
        <v>0</v>
      </c>
      <c r="E367" s="776">
        <v>0</v>
      </c>
      <c r="F367" s="776">
        <v>0</v>
      </c>
      <c r="G367" s="776">
        <v>0</v>
      </c>
      <c r="H367" s="763"/>
      <c r="I367" s="186">
        <f t="shared" ref="I367:I375" si="12">C367+D367+E367+F367+G367</f>
        <v>0</v>
      </c>
      <c r="J367" s="186">
        <v>1133941</v>
      </c>
    </row>
    <row r="368" spans="1:10" s="186" customFormat="1" ht="13">
      <c r="A368" s="775" t="s">
        <v>1086</v>
      </c>
      <c r="B368" s="775" t="s">
        <v>1855</v>
      </c>
      <c r="C368" s="776">
        <v>0</v>
      </c>
      <c r="D368" s="776">
        <v>0</v>
      </c>
      <c r="E368" s="776">
        <v>0</v>
      </c>
      <c r="F368" s="776">
        <v>0</v>
      </c>
      <c r="G368" s="776">
        <v>0</v>
      </c>
      <c r="H368" s="763"/>
      <c r="I368" s="186">
        <f t="shared" si="12"/>
        <v>0</v>
      </c>
      <c r="J368" s="186">
        <v>1133942</v>
      </c>
    </row>
    <row r="369" spans="1:10" s="186" customFormat="1" ht="13">
      <c r="A369" s="775" t="s">
        <v>1088</v>
      </c>
      <c r="B369" s="775" t="s">
        <v>1856</v>
      </c>
      <c r="C369" s="776">
        <v>0</v>
      </c>
      <c r="D369" s="776">
        <v>0</v>
      </c>
      <c r="E369" s="776">
        <v>0</v>
      </c>
      <c r="F369" s="776">
        <v>0</v>
      </c>
      <c r="G369" s="776">
        <v>0</v>
      </c>
      <c r="H369" s="763"/>
      <c r="I369" s="186">
        <f t="shared" si="12"/>
        <v>0</v>
      </c>
      <c r="J369" s="186">
        <v>1133943</v>
      </c>
    </row>
    <row r="370" spans="1:10" s="186" customFormat="1" ht="13">
      <c r="A370" s="775" t="s">
        <v>1090</v>
      </c>
      <c r="B370" s="775" t="s">
        <v>1857</v>
      </c>
      <c r="C370" s="776">
        <v>3000</v>
      </c>
      <c r="D370" s="776">
        <v>3000</v>
      </c>
      <c r="E370" s="776">
        <v>0</v>
      </c>
      <c r="F370" s="776">
        <v>3000</v>
      </c>
      <c r="G370" s="776">
        <v>3000</v>
      </c>
      <c r="H370" s="763"/>
      <c r="I370" s="186">
        <f t="shared" si="12"/>
        <v>12000</v>
      </c>
      <c r="J370" s="186">
        <v>1133944</v>
      </c>
    </row>
    <row r="371" spans="1:10" s="186" customFormat="1" ht="13">
      <c r="A371" s="777" t="s">
        <v>1092</v>
      </c>
      <c r="B371" s="777" t="s">
        <v>1858</v>
      </c>
      <c r="C371" s="778">
        <v>313829.02</v>
      </c>
      <c r="D371" s="778">
        <v>358875.92</v>
      </c>
      <c r="E371" s="778">
        <v>557894.06999999995</v>
      </c>
      <c r="F371" s="778">
        <v>501226</v>
      </c>
      <c r="G371" s="778">
        <v>501226</v>
      </c>
      <c r="H371" s="779"/>
      <c r="I371" s="186">
        <f t="shared" si="12"/>
        <v>2233051.0099999998</v>
      </c>
      <c r="J371" s="186">
        <v>1133945</v>
      </c>
    </row>
    <row r="372" spans="1:10" s="186" customFormat="1" ht="12.75" customHeight="1">
      <c r="A372" s="775"/>
      <c r="B372" s="775"/>
      <c r="C372" s="776"/>
      <c r="D372" s="776"/>
      <c r="E372" s="776"/>
      <c r="F372" s="776"/>
      <c r="G372" s="776"/>
      <c r="H372" s="763"/>
      <c r="I372" s="186">
        <f t="shared" si="12"/>
        <v>0</v>
      </c>
      <c r="J372" s="186">
        <v>1133946</v>
      </c>
    </row>
    <row r="373" spans="1:10" s="186" customFormat="1" ht="12.75" customHeight="1">
      <c r="A373" s="269" t="s">
        <v>1094</v>
      </c>
      <c r="B373" s="269" t="s">
        <v>1859</v>
      </c>
      <c r="C373" s="270" t="s">
        <v>1483</v>
      </c>
      <c r="D373" s="270" t="s">
        <v>1483</v>
      </c>
      <c r="E373" s="270" t="s">
        <v>1483</v>
      </c>
      <c r="F373" s="270" t="s">
        <v>1483</v>
      </c>
      <c r="G373" s="270" t="s">
        <v>1483</v>
      </c>
      <c r="H373" s="713"/>
      <c r="I373" s="186" t="e" vm="1">
        <f t="shared" si="12"/>
        <v>#VALUE!</v>
      </c>
      <c r="J373" s="186">
        <v>1133947</v>
      </c>
    </row>
    <row r="374" spans="1:10" s="186" customFormat="1" ht="13">
      <c r="A374" s="775" t="s">
        <v>1096</v>
      </c>
      <c r="B374" s="775" t="s">
        <v>1860</v>
      </c>
      <c r="C374" s="776">
        <v>208368.3</v>
      </c>
      <c r="D374" s="776">
        <v>257281.1</v>
      </c>
      <c r="E374" s="776">
        <v>136280.9</v>
      </c>
      <c r="F374" s="776">
        <v>145198</v>
      </c>
      <c r="G374" s="776">
        <v>217797</v>
      </c>
      <c r="H374" s="763"/>
      <c r="I374" s="186">
        <f t="shared" si="12"/>
        <v>964925.3</v>
      </c>
      <c r="J374" s="186">
        <v>1133948</v>
      </c>
    </row>
    <row r="375" spans="1:10" s="186" customFormat="1" ht="13">
      <c r="A375" s="775" t="s">
        <v>1097</v>
      </c>
      <c r="B375" s="775" t="s">
        <v>1861</v>
      </c>
      <c r="C375" s="776">
        <v>17268</v>
      </c>
      <c r="D375" s="776">
        <v>32746</v>
      </c>
      <c r="E375" s="776">
        <v>19550</v>
      </c>
      <c r="F375" s="776">
        <v>13650</v>
      </c>
      <c r="G375" s="776">
        <v>27300</v>
      </c>
      <c r="H375" s="763"/>
      <c r="I375" s="780">
        <f t="shared" si="12"/>
        <v>110514</v>
      </c>
      <c r="J375" s="186">
        <v>1133949</v>
      </c>
    </row>
    <row r="376" spans="1:10" s="186" customFormat="1" ht="13">
      <c r="A376" s="775" t="s">
        <v>1099</v>
      </c>
      <c r="B376" s="775" t="s">
        <v>1862</v>
      </c>
      <c r="C376" s="776">
        <v>4755486.74</v>
      </c>
      <c r="D376" s="776">
        <v>4927699.59</v>
      </c>
      <c r="E376" s="776">
        <v>3724147.75</v>
      </c>
      <c r="F376" s="776">
        <v>3779281</v>
      </c>
      <c r="G376" s="776">
        <v>5087406</v>
      </c>
      <c r="H376" s="763"/>
    </row>
    <row r="377" spans="1:10" s="186" customFormat="1" ht="13">
      <c r="A377" s="775" t="s">
        <v>1101</v>
      </c>
      <c r="B377" s="775" t="s">
        <v>1526</v>
      </c>
      <c r="C377" s="776">
        <v>-746975.56</v>
      </c>
      <c r="D377" s="776">
        <v>-756047.45</v>
      </c>
      <c r="E377" s="776">
        <v>-561767.96</v>
      </c>
      <c r="F377" s="776">
        <v>-587886.75</v>
      </c>
      <c r="G377" s="776">
        <v>-790274</v>
      </c>
      <c r="H377" s="763"/>
      <c r="I377" s="187">
        <v>1</v>
      </c>
      <c r="J377" s="186">
        <v>1133950</v>
      </c>
    </row>
    <row r="378" spans="1:10" s="186" customFormat="1" ht="12.75" customHeight="1">
      <c r="A378" s="775" t="s">
        <v>1102</v>
      </c>
      <c r="B378" s="775" t="s">
        <v>1527</v>
      </c>
      <c r="C378" s="776">
        <v>-21660.82</v>
      </c>
      <c r="D378" s="776">
        <v>-19405.560000000001</v>
      </c>
      <c r="E378" s="776">
        <v>-12828.64</v>
      </c>
      <c r="F378" s="776">
        <v>-16862.75</v>
      </c>
      <c r="G378" s="776">
        <v>-22668</v>
      </c>
      <c r="H378" s="763"/>
      <c r="I378" s="186">
        <f t="shared" ref="I378:I409" si="13">C378+D378+E378+F378+G378</f>
        <v>-93425.77</v>
      </c>
      <c r="J378" s="186">
        <v>1133951</v>
      </c>
    </row>
    <row r="379" spans="1:10" s="186" customFormat="1" ht="12.75" customHeight="1">
      <c r="A379" s="775" t="s">
        <v>1103</v>
      </c>
      <c r="B379" s="775" t="s">
        <v>1863</v>
      </c>
      <c r="C379" s="776">
        <v>-11156.1</v>
      </c>
      <c r="D379" s="776">
        <v>-17310.34</v>
      </c>
      <c r="E379" s="776">
        <v>-16072.74</v>
      </c>
      <c r="F379" s="776">
        <v>-10309</v>
      </c>
      <c r="G379" s="776">
        <v>-13858</v>
      </c>
      <c r="H379" s="763"/>
      <c r="I379" s="186">
        <f t="shared" si="13"/>
        <v>-68706.179999999993</v>
      </c>
      <c r="J379" s="186">
        <v>1133952</v>
      </c>
    </row>
    <row r="380" spans="1:10" s="186" customFormat="1" ht="12.75" customHeight="1">
      <c r="A380" s="775" t="s">
        <v>1105</v>
      </c>
      <c r="B380" s="775" t="s">
        <v>1864</v>
      </c>
      <c r="C380" s="776">
        <v>0</v>
      </c>
      <c r="D380" s="776">
        <v>0</v>
      </c>
      <c r="E380" s="776">
        <v>0</v>
      </c>
      <c r="F380" s="776">
        <v>0</v>
      </c>
      <c r="G380" s="776">
        <v>0</v>
      </c>
      <c r="H380" s="763"/>
      <c r="I380" s="186">
        <f t="shared" si="13"/>
        <v>0</v>
      </c>
      <c r="J380" s="186">
        <v>1133953</v>
      </c>
    </row>
    <row r="381" spans="1:10" s="186" customFormat="1" ht="12.75" customHeight="1">
      <c r="A381" s="775" t="s">
        <v>1107</v>
      </c>
      <c r="B381" s="775" t="s">
        <v>1865</v>
      </c>
      <c r="C381" s="776">
        <v>-18520.34</v>
      </c>
      <c r="D381" s="776">
        <v>-18958.099999999999</v>
      </c>
      <c r="E381" s="776">
        <v>-17613.509999999998</v>
      </c>
      <c r="F381" s="776">
        <v>-14347.25</v>
      </c>
      <c r="G381" s="776">
        <v>-19193</v>
      </c>
      <c r="H381" s="763"/>
      <c r="I381" s="186">
        <f t="shared" si="13"/>
        <v>-88632.2</v>
      </c>
      <c r="J381" s="186">
        <v>1133954</v>
      </c>
    </row>
    <row r="382" spans="1:10" s="186" customFormat="1" ht="12.75" customHeight="1">
      <c r="A382" s="775" t="s">
        <v>1109</v>
      </c>
      <c r="B382" s="775" t="s">
        <v>1866</v>
      </c>
      <c r="C382" s="776">
        <v>0</v>
      </c>
      <c r="D382" s="776">
        <v>0</v>
      </c>
      <c r="E382" s="776">
        <v>0</v>
      </c>
      <c r="F382" s="776">
        <v>0</v>
      </c>
      <c r="G382" s="776">
        <v>0</v>
      </c>
      <c r="H382" s="763"/>
      <c r="I382" s="186">
        <f t="shared" si="13"/>
        <v>0</v>
      </c>
      <c r="J382" s="186">
        <v>1133955</v>
      </c>
    </row>
    <row r="383" spans="1:10" s="186" customFormat="1" ht="13">
      <c r="A383" s="775" t="s">
        <v>1111</v>
      </c>
      <c r="B383" s="775" t="s">
        <v>1867</v>
      </c>
      <c r="C383" s="776">
        <v>0</v>
      </c>
      <c r="D383" s="776">
        <v>0</v>
      </c>
      <c r="E383" s="776">
        <v>0</v>
      </c>
      <c r="F383" s="776">
        <v>0</v>
      </c>
      <c r="G383" s="776">
        <v>0</v>
      </c>
      <c r="H383" s="763"/>
      <c r="I383" s="186">
        <f t="shared" si="13"/>
        <v>0</v>
      </c>
      <c r="J383" s="186">
        <v>1133956</v>
      </c>
    </row>
    <row r="384" spans="1:10" s="186" customFormat="1" ht="12.75" customHeight="1">
      <c r="A384" s="775" t="s">
        <v>1113</v>
      </c>
      <c r="B384" s="775" t="s">
        <v>1868</v>
      </c>
      <c r="C384" s="776">
        <v>0</v>
      </c>
      <c r="D384" s="776">
        <v>0</v>
      </c>
      <c r="E384" s="776">
        <v>0</v>
      </c>
      <c r="F384" s="776">
        <v>0</v>
      </c>
      <c r="G384" s="776">
        <v>0</v>
      </c>
      <c r="H384" s="763"/>
      <c r="I384" s="186">
        <f t="shared" si="13"/>
        <v>0</v>
      </c>
      <c r="J384" s="186">
        <v>1133957</v>
      </c>
    </row>
    <row r="385" spans="1:10" s="186" customFormat="1" ht="12.75" customHeight="1">
      <c r="A385" s="775" t="s">
        <v>1115</v>
      </c>
      <c r="B385" s="775" t="s">
        <v>1869</v>
      </c>
      <c r="C385" s="776">
        <v>0</v>
      </c>
      <c r="D385" s="776">
        <v>0</v>
      </c>
      <c r="E385" s="776">
        <v>0</v>
      </c>
      <c r="F385" s="776">
        <v>0</v>
      </c>
      <c r="G385" s="776">
        <v>0</v>
      </c>
      <c r="H385" s="763"/>
      <c r="I385" s="186">
        <f t="shared" si="13"/>
        <v>0</v>
      </c>
      <c r="J385" s="186">
        <v>1133958</v>
      </c>
    </row>
    <row r="386" spans="1:10" s="186" customFormat="1" ht="13">
      <c r="A386" s="775" t="s">
        <v>1117</v>
      </c>
      <c r="B386" s="775" t="s">
        <v>1870</v>
      </c>
      <c r="C386" s="776">
        <v>0</v>
      </c>
      <c r="D386" s="776">
        <v>0</v>
      </c>
      <c r="E386" s="776">
        <v>0</v>
      </c>
      <c r="F386" s="776">
        <v>0</v>
      </c>
      <c r="G386" s="776">
        <v>0</v>
      </c>
      <c r="H386" s="763"/>
      <c r="I386" s="186">
        <f t="shared" si="13"/>
        <v>0</v>
      </c>
      <c r="J386" s="186">
        <v>1133959</v>
      </c>
    </row>
    <row r="387" spans="1:10" s="186" customFormat="1" ht="13">
      <c r="A387" s="775" t="s">
        <v>1119</v>
      </c>
      <c r="B387" s="775" t="s">
        <v>1871</v>
      </c>
      <c r="C387" s="776">
        <v>0</v>
      </c>
      <c r="D387" s="776">
        <v>0</v>
      </c>
      <c r="E387" s="776">
        <v>0</v>
      </c>
      <c r="F387" s="776">
        <v>0</v>
      </c>
      <c r="G387" s="776">
        <v>0</v>
      </c>
      <c r="H387" s="763"/>
      <c r="I387" s="186">
        <f t="shared" si="13"/>
        <v>0</v>
      </c>
      <c r="J387" s="186">
        <v>1133960</v>
      </c>
    </row>
    <row r="388" spans="1:10" s="186" customFormat="1" ht="12.75" customHeight="1">
      <c r="A388" s="777" t="s">
        <v>1121</v>
      </c>
      <c r="B388" s="777" t="s">
        <v>1872</v>
      </c>
      <c r="C388" s="778">
        <v>4182810.22</v>
      </c>
      <c r="D388" s="778">
        <v>4406005.24</v>
      </c>
      <c r="E388" s="778">
        <v>3271695.8</v>
      </c>
      <c r="F388" s="778">
        <v>3308723.25</v>
      </c>
      <c r="G388" s="778">
        <v>4486510</v>
      </c>
      <c r="H388" s="779"/>
      <c r="I388" s="186">
        <f t="shared" si="13"/>
        <v>19655744.510000002</v>
      </c>
      <c r="J388" s="186">
        <v>1133961</v>
      </c>
    </row>
    <row r="389" spans="1:10" s="186" customFormat="1" ht="13">
      <c r="A389" s="775"/>
      <c r="B389" s="775"/>
      <c r="C389" s="776"/>
      <c r="D389" s="776"/>
      <c r="E389" s="776"/>
      <c r="F389" s="776"/>
      <c r="G389" s="776"/>
      <c r="H389" s="763"/>
      <c r="I389" s="186">
        <f t="shared" si="13"/>
        <v>0</v>
      </c>
      <c r="J389" s="186">
        <v>1133962</v>
      </c>
    </row>
    <row r="390" spans="1:10" s="186" customFormat="1" ht="13">
      <c r="A390" s="269" t="s">
        <v>1123</v>
      </c>
      <c r="B390" s="269" t="s">
        <v>1873</v>
      </c>
      <c r="C390" s="270" t="s">
        <v>1483</v>
      </c>
      <c r="D390" s="270" t="s">
        <v>1483</v>
      </c>
      <c r="E390" s="270" t="s">
        <v>1483</v>
      </c>
      <c r="F390" s="270" t="s">
        <v>1483</v>
      </c>
      <c r="G390" s="270" t="s">
        <v>1483</v>
      </c>
      <c r="H390" s="713"/>
      <c r="I390" s="186" t="e" vm="1">
        <f t="shared" si="13"/>
        <v>#VALUE!</v>
      </c>
      <c r="J390" s="186">
        <v>1133963</v>
      </c>
    </row>
    <row r="391" spans="1:10" s="186" customFormat="1" ht="12.75" customHeight="1">
      <c r="A391" s="775" t="s">
        <v>1125</v>
      </c>
      <c r="B391" s="775" t="s">
        <v>1874</v>
      </c>
      <c r="C391" s="776">
        <v>10775</v>
      </c>
      <c r="D391" s="776">
        <v>6650</v>
      </c>
      <c r="E391" s="776">
        <v>1500</v>
      </c>
      <c r="F391" s="776">
        <v>3333.36</v>
      </c>
      <c r="G391" s="776">
        <v>5000</v>
      </c>
      <c r="H391" s="763"/>
      <c r="I391" s="186">
        <f t="shared" si="13"/>
        <v>27258.36</v>
      </c>
      <c r="J391" s="186">
        <v>1133964</v>
      </c>
    </row>
    <row r="392" spans="1:10" s="186" customFormat="1" ht="13">
      <c r="A392" s="775" t="s">
        <v>1127</v>
      </c>
      <c r="B392" s="775" t="s">
        <v>1587</v>
      </c>
      <c r="C392" s="776">
        <v>132673.32</v>
      </c>
      <c r="D392" s="776">
        <v>136321.79999999999</v>
      </c>
      <c r="E392" s="776">
        <v>93380.4</v>
      </c>
      <c r="F392" s="776">
        <v>93380.4</v>
      </c>
      <c r="G392" s="776">
        <v>140070.6</v>
      </c>
      <c r="H392" s="763"/>
      <c r="I392" s="186">
        <f t="shared" si="13"/>
        <v>595826.52</v>
      </c>
      <c r="J392" s="186">
        <v>1133965</v>
      </c>
    </row>
    <row r="393" spans="1:10" s="186" customFormat="1" ht="13">
      <c r="A393" s="775" t="s">
        <v>1875</v>
      </c>
      <c r="B393" s="775" t="s">
        <v>1876</v>
      </c>
      <c r="C393" s="776">
        <v>0</v>
      </c>
      <c r="D393" s="776">
        <v>0</v>
      </c>
      <c r="E393" s="776">
        <v>0</v>
      </c>
      <c r="F393" s="776">
        <v>0</v>
      </c>
      <c r="G393" s="776">
        <v>0</v>
      </c>
      <c r="H393" s="763"/>
      <c r="I393" s="186">
        <f t="shared" si="13"/>
        <v>0</v>
      </c>
      <c r="J393" s="186">
        <v>1133966</v>
      </c>
    </row>
    <row r="394" spans="1:10" s="186" customFormat="1" ht="12.75" customHeight="1">
      <c r="A394" s="775" t="s">
        <v>1128</v>
      </c>
      <c r="B394" s="775" t="s">
        <v>1600</v>
      </c>
      <c r="C394" s="776">
        <v>12444.49</v>
      </c>
      <c r="D394" s="776">
        <v>12616.13</v>
      </c>
      <c r="E394" s="776">
        <v>1242.75</v>
      </c>
      <c r="F394" s="776">
        <v>6666.64</v>
      </c>
      <c r="G394" s="776">
        <v>10000</v>
      </c>
      <c r="H394" s="763"/>
      <c r="I394" s="186">
        <f t="shared" si="13"/>
        <v>42970.01</v>
      </c>
      <c r="J394" s="186">
        <v>1133967</v>
      </c>
    </row>
    <row r="395" spans="1:10" s="186" customFormat="1" ht="13">
      <c r="A395" s="775" t="s">
        <v>1131</v>
      </c>
      <c r="B395" s="775" t="s">
        <v>1877</v>
      </c>
      <c r="C395" s="776">
        <v>17777.63</v>
      </c>
      <c r="D395" s="776">
        <v>500</v>
      </c>
      <c r="E395" s="776">
        <v>500</v>
      </c>
      <c r="F395" s="776">
        <v>150</v>
      </c>
      <c r="G395" s="776">
        <v>500</v>
      </c>
      <c r="H395" s="763"/>
      <c r="I395" s="186">
        <f t="shared" si="13"/>
        <v>19427.63</v>
      </c>
      <c r="J395" s="186">
        <v>1133968</v>
      </c>
    </row>
    <row r="396" spans="1:10" s="186" customFormat="1" ht="12.75" customHeight="1">
      <c r="A396" s="775" t="s">
        <v>1133</v>
      </c>
      <c r="B396" s="775" t="s">
        <v>1663</v>
      </c>
      <c r="C396" s="776">
        <v>9350</v>
      </c>
      <c r="D396" s="776">
        <v>16750</v>
      </c>
      <c r="E396" s="776">
        <v>17000</v>
      </c>
      <c r="F396" s="776">
        <v>16750</v>
      </c>
      <c r="G396" s="776">
        <v>16750</v>
      </c>
      <c r="H396" s="763"/>
      <c r="I396" s="186">
        <f t="shared" si="13"/>
        <v>76600</v>
      </c>
      <c r="J396" s="186">
        <v>1133969</v>
      </c>
    </row>
    <row r="397" spans="1:10" s="186" customFormat="1" ht="12.75" customHeight="1">
      <c r="A397" s="775" t="s">
        <v>1134</v>
      </c>
      <c r="B397" s="775" t="s">
        <v>1878</v>
      </c>
      <c r="C397" s="776">
        <v>0</v>
      </c>
      <c r="D397" s="776">
        <v>0</v>
      </c>
      <c r="E397" s="776">
        <v>0</v>
      </c>
      <c r="F397" s="776">
        <v>0</v>
      </c>
      <c r="G397" s="776">
        <v>0</v>
      </c>
      <c r="H397" s="763"/>
      <c r="I397" s="186">
        <f t="shared" si="13"/>
        <v>0</v>
      </c>
      <c r="J397" s="186">
        <v>1133970</v>
      </c>
    </row>
    <row r="398" spans="1:10" s="186" customFormat="1" ht="13">
      <c r="A398" s="775" t="s">
        <v>1879</v>
      </c>
      <c r="B398" s="775" t="s">
        <v>1880</v>
      </c>
      <c r="C398" s="776">
        <v>0</v>
      </c>
      <c r="D398" s="776">
        <v>0</v>
      </c>
      <c r="E398" s="776">
        <v>0</v>
      </c>
      <c r="F398" s="776">
        <v>0</v>
      </c>
      <c r="G398" s="776">
        <v>0</v>
      </c>
      <c r="H398" s="763"/>
      <c r="I398" s="186">
        <f t="shared" si="13"/>
        <v>0</v>
      </c>
      <c r="J398" s="186">
        <v>1133971</v>
      </c>
    </row>
    <row r="399" spans="1:10" s="186" customFormat="1" ht="13">
      <c r="A399" s="775" t="s">
        <v>1136</v>
      </c>
      <c r="B399" s="775" t="s">
        <v>1881</v>
      </c>
      <c r="C399" s="776">
        <v>8991.2900000000009</v>
      </c>
      <c r="D399" s="776">
        <v>9890</v>
      </c>
      <c r="E399" s="776">
        <v>4505</v>
      </c>
      <c r="F399" s="776">
        <v>2333.36</v>
      </c>
      <c r="G399" s="776">
        <v>3500</v>
      </c>
      <c r="H399" s="763"/>
      <c r="I399" s="186">
        <f t="shared" si="13"/>
        <v>29219.65</v>
      </c>
      <c r="J399" s="186">
        <v>1133972</v>
      </c>
    </row>
    <row r="400" spans="1:10" s="186" customFormat="1" ht="12.75" customHeight="1">
      <c r="A400" s="777" t="s">
        <v>1138</v>
      </c>
      <c r="B400" s="777" t="s">
        <v>1882</v>
      </c>
      <c r="C400" s="778">
        <v>192011.73</v>
      </c>
      <c r="D400" s="778">
        <v>182727.93</v>
      </c>
      <c r="E400" s="778">
        <v>118128.15</v>
      </c>
      <c r="F400" s="778">
        <v>122613.75999999999</v>
      </c>
      <c r="G400" s="778">
        <v>175820.6</v>
      </c>
      <c r="H400" s="779"/>
      <c r="I400" s="186">
        <f t="shared" si="13"/>
        <v>791302.17</v>
      </c>
      <c r="J400" s="186">
        <v>1133973</v>
      </c>
    </row>
    <row r="401" spans="1:10" s="186" customFormat="1" ht="13">
      <c r="A401" s="775"/>
      <c r="B401" s="775"/>
      <c r="C401" s="776"/>
      <c r="D401" s="776"/>
      <c r="E401" s="776"/>
      <c r="F401" s="776"/>
      <c r="G401" s="776"/>
      <c r="H401" s="763"/>
      <c r="I401" s="186">
        <f t="shared" si="13"/>
        <v>0</v>
      </c>
      <c r="J401" s="186">
        <v>1133974</v>
      </c>
    </row>
    <row r="402" spans="1:10" s="186" customFormat="1" ht="12.75" customHeight="1">
      <c r="A402" s="269" t="s">
        <v>1140</v>
      </c>
      <c r="B402" s="269" t="s">
        <v>1883</v>
      </c>
      <c r="C402" s="270" t="s">
        <v>1483</v>
      </c>
      <c r="D402" s="270" t="s">
        <v>1483</v>
      </c>
      <c r="E402" s="270" t="s">
        <v>1483</v>
      </c>
      <c r="F402" s="270" t="s">
        <v>1483</v>
      </c>
      <c r="G402" s="270" t="s">
        <v>1483</v>
      </c>
      <c r="H402" s="713"/>
      <c r="I402" s="186" t="e" vm="1">
        <f t="shared" si="13"/>
        <v>#VALUE!</v>
      </c>
      <c r="J402" s="186">
        <v>1133975</v>
      </c>
    </row>
    <row r="403" spans="1:10" s="186" customFormat="1" ht="12.75" customHeight="1">
      <c r="A403" s="775" t="s">
        <v>1142</v>
      </c>
      <c r="B403" s="775" t="s">
        <v>1884</v>
      </c>
      <c r="C403" s="776">
        <v>0</v>
      </c>
      <c r="D403" s="776">
        <v>0</v>
      </c>
      <c r="E403" s="776">
        <v>0</v>
      </c>
      <c r="F403" s="776">
        <v>0</v>
      </c>
      <c r="G403" s="776">
        <v>0</v>
      </c>
      <c r="H403" s="763"/>
      <c r="I403" s="186">
        <f t="shared" si="13"/>
        <v>0</v>
      </c>
      <c r="J403" s="186">
        <v>1133976</v>
      </c>
    </row>
    <row r="404" spans="1:10" s="186" customFormat="1" ht="13">
      <c r="A404" s="775" t="s">
        <v>1144</v>
      </c>
      <c r="B404" s="775" t="s">
        <v>1885</v>
      </c>
      <c r="C404" s="776">
        <v>0</v>
      </c>
      <c r="D404" s="776">
        <v>0</v>
      </c>
      <c r="E404" s="776">
        <v>0</v>
      </c>
      <c r="F404" s="776">
        <v>0</v>
      </c>
      <c r="G404" s="776">
        <v>0</v>
      </c>
      <c r="H404" s="763"/>
      <c r="I404" s="186">
        <f t="shared" si="13"/>
        <v>0</v>
      </c>
      <c r="J404" s="186">
        <v>1133977</v>
      </c>
    </row>
    <row r="405" spans="1:10" s="186" customFormat="1" ht="13">
      <c r="A405" s="775" t="s">
        <v>1146</v>
      </c>
      <c r="B405" s="775" t="s">
        <v>1886</v>
      </c>
      <c r="C405" s="776">
        <v>0</v>
      </c>
      <c r="D405" s="776">
        <v>0</v>
      </c>
      <c r="E405" s="776">
        <v>0</v>
      </c>
      <c r="F405" s="776">
        <v>0</v>
      </c>
      <c r="G405" s="776">
        <v>0</v>
      </c>
      <c r="H405" s="763"/>
      <c r="I405" s="186">
        <f t="shared" si="13"/>
        <v>0</v>
      </c>
      <c r="J405" s="186">
        <v>1133978</v>
      </c>
    </row>
    <row r="406" spans="1:10" s="186" customFormat="1" ht="12.75" customHeight="1">
      <c r="A406" s="775" t="s">
        <v>1148</v>
      </c>
      <c r="B406" s="775" t="s">
        <v>1887</v>
      </c>
      <c r="C406" s="776">
        <v>0</v>
      </c>
      <c r="D406" s="776">
        <v>0</v>
      </c>
      <c r="E406" s="776">
        <v>0</v>
      </c>
      <c r="F406" s="776">
        <v>0</v>
      </c>
      <c r="G406" s="776">
        <v>0</v>
      </c>
      <c r="H406" s="763"/>
      <c r="I406" s="186">
        <f t="shared" si="13"/>
        <v>0</v>
      </c>
      <c r="J406" s="186">
        <v>1133979</v>
      </c>
    </row>
    <row r="407" spans="1:10" s="186" customFormat="1" ht="12.75" customHeight="1">
      <c r="A407" s="775" t="s">
        <v>1150</v>
      </c>
      <c r="B407" s="775" t="s">
        <v>1888</v>
      </c>
      <c r="C407" s="776">
        <v>0</v>
      </c>
      <c r="D407" s="776">
        <v>0</v>
      </c>
      <c r="E407" s="776">
        <v>0</v>
      </c>
      <c r="F407" s="776">
        <v>0</v>
      </c>
      <c r="G407" s="776">
        <v>0</v>
      </c>
      <c r="H407" s="763"/>
      <c r="I407" s="186">
        <f t="shared" si="13"/>
        <v>0</v>
      </c>
      <c r="J407" s="186">
        <v>1133980</v>
      </c>
    </row>
    <row r="408" spans="1:10" s="186" customFormat="1" ht="13">
      <c r="A408" s="775" t="s">
        <v>1152</v>
      </c>
      <c r="B408" s="775" t="s">
        <v>1889</v>
      </c>
      <c r="C408" s="776">
        <v>0</v>
      </c>
      <c r="D408" s="776">
        <v>0</v>
      </c>
      <c r="E408" s="776">
        <v>0</v>
      </c>
      <c r="F408" s="776">
        <v>0</v>
      </c>
      <c r="G408" s="776">
        <v>0</v>
      </c>
      <c r="H408" s="763"/>
      <c r="I408" s="186">
        <f t="shared" si="13"/>
        <v>0</v>
      </c>
      <c r="J408" s="186">
        <v>1133981</v>
      </c>
    </row>
    <row r="409" spans="1:10" s="186" customFormat="1" ht="13">
      <c r="A409" s="775" t="s">
        <v>1154</v>
      </c>
      <c r="B409" s="775" t="s">
        <v>1890</v>
      </c>
      <c r="C409" s="776">
        <v>0</v>
      </c>
      <c r="D409" s="776">
        <v>0</v>
      </c>
      <c r="E409" s="776">
        <v>0</v>
      </c>
      <c r="F409" s="776">
        <v>0</v>
      </c>
      <c r="G409" s="776">
        <v>0</v>
      </c>
      <c r="H409" s="763"/>
      <c r="I409" s="186">
        <f t="shared" si="13"/>
        <v>0</v>
      </c>
      <c r="J409" s="186">
        <v>1133982</v>
      </c>
    </row>
    <row r="410" spans="1:10" s="186" customFormat="1" ht="13">
      <c r="A410" s="775" t="s">
        <v>1156</v>
      </c>
      <c r="B410" s="775" t="s">
        <v>1891</v>
      </c>
      <c r="C410" s="776">
        <v>0</v>
      </c>
      <c r="D410" s="776">
        <v>0</v>
      </c>
      <c r="E410" s="776">
        <v>0</v>
      </c>
      <c r="F410" s="776">
        <v>0</v>
      </c>
      <c r="G410" s="776">
        <v>0</v>
      </c>
      <c r="H410" s="763"/>
      <c r="I410" s="186">
        <f t="shared" ref="I410:I441" si="14">C410+D410+E410+F410+G410</f>
        <v>0</v>
      </c>
      <c r="J410" s="186">
        <v>1133983</v>
      </c>
    </row>
    <row r="411" spans="1:10" s="186" customFormat="1" ht="13">
      <c r="A411" s="775" t="s">
        <v>1158</v>
      </c>
      <c r="B411" s="775" t="s">
        <v>1643</v>
      </c>
      <c r="C411" s="776">
        <v>0</v>
      </c>
      <c r="D411" s="776">
        <v>0</v>
      </c>
      <c r="E411" s="776">
        <v>0</v>
      </c>
      <c r="F411" s="776">
        <v>0</v>
      </c>
      <c r="G411" s="776">
        <v>0</v>
      </c>
      <c r="H411" s="763"/>
      <c r="I411" s="186">
        <f t="shared" si="14"/>
        <v>0</v>
      </c>
      <c r="J411" s="186">
        <v>1133984</v>
      </c>
    </row>
    <row r="412" spans="1:10" s="186" customFormat="1" ht="13">
      <c r="A412" s="775" t="s">
        <v>1159</v>
      </c>
      <c r="B412" s="775" t="s">
        <v>1892</v>
      </c>
      <c r="C412" s="776">
        <v>1417.57</v>
      </c>
      <c r="D412" s="776">
        <v>1765.81</v>
      </c>
      <c r="E412" s="776">
        <v>1447.55</v>
      </c>
      <c r="F412" s="776">
        <v>1600</v>
      </c>
      <c r="G412" s="776">
        <v>2400</v>
      </c>
      <c r="H412" s="763"/>
      <c r="I412" s="186">
        <f t="shared" si="14"/>
        <v>8630.93</v>
      </c>
      <c r="J412" s="186">
        <v>1133985</v>
      </c>
    </row>
    <row r="413" spans="1:10" s="186" customFormat="1" ht="12.75" customHeight="1">
      <c r="A413" s="775" t="s">
        <v>1161</v>
      </c>
      <c r="B413" s="775" t="s">
        <v>1893</v>
      </c>
      <c r="C413" s="776">
        <v>0</v>
      </c>
      <c r="D413" s="776">
        <v>0</v>
      </c>
      <c r="E413" s="776">
        <v>0</v>
      </c>
      <c r="F413" s="776">
        <v>0</v>
      </c>
      <c r="G413" s="776">
        <v>0</v>
      </c>
      <c r="H413" s="763"/>
      <c r="I413" s="186">
        <f t="shared" si="14"/>
        <v>0</v>
      </c>
      <c r="J413" s="186">
        <v>1133986</v>
      </c>
    </row>
    <row r="414" spans="1:10" s="186" customFormat="1" ht="12.75" customHeight="1">
      <c r="A414" s="775" t="s">
        <v>1163</v>
      </c>
      <c r="B414" s="775" t="s">
        <v>1894</v>
      </c>
      <c r="C414" s="776">
        <v>722.13</v>
      </c>
      <c r="D414" s="776">
        <v>636.44000000000005</v>
      </c>
      <c r="E414" s="776">
        <v>436.3</v>
      </c>
      <c r="F414" s="776">
        <v>183.36</v>
      </c>
      <c r="G414" s="776">
        <v>275</v>
      </c>
      <c r="H414" s="763"/>
      <c r="I414" s="186">
        <f t="shared" si="14"/>
        <v>2253.23</v>
      </c>
      <c r="J414" s="186">
        <v>1133987</v>
      </c>
    </row>
    <row r="415" spans="1:10" s="186" customFormat="1" ht="12.75" customHeight="1">
      <c r="A415" s="775" t="s">
        <v>1165</v>
      </c>
      <c r="B415" s="775" t="s">
        <v>1895</v>
      </c>
      <c r="C415" s="776">
        <v>0</v>
      </c>
      <c r="D415" s="776">
        <v>0</v>
      </c>
      <c r="E415" s="776">
        <v>0</v>
      </c>
      <c r="F415" s="776">
        <v>0</v>
      </c>
      <c r="G415" s="776">
        <v>0</v>
      </c>
      <c r="H415" s="763"/>
      <c r="I415" s="186">
        <f t="shared" si="14"/>
        <v>0</v>
      </c>
      <c r="J415" s="186">
        <v>1133988</v>
      </c>
    </row>
    <row r="416" spans="1:10" s="186" customFormat="1" ht="13">
      <c r="A416" s="775" t="s">
        <v>1166</v>
      </c>
      <c r="B416" s="775" t="s">
        <v>1896</v>
      </c>
      <c r="C416" s="776">
        <v>0</v>
      </c>
      <c r="D416" s="776">
        <v>0</v>
      </c>
      <c r="E416" s="776">
        <v>0</v>
      </c>
      <c r="F416" s="776">
        <v>0</v>
      </c>
      <c r="G416" s="776">
        <v>0</v>
      </c>
      <c r="H416" s="763"/>
      <c r="I416" s="186">
        <f t="shared" si="14"/>
        <v>0</v>
      </c>
      <c r="J416" s="186">
        <v>1133989</v>
      </c>
    </row>
    <row r="417" spans="1:10" s="186" customFormat="1" ht="12.75" customHeight="1">
      <c r="A417" s="775" t="s">
        <v>1168</v>
      </c>
      <c r="B417" s="775" t="s">
        <v>1897</v>
      </c>
      <c r="C417" s="776">
        <v>0</v>
      </c>
      <c r="D417" s="776">
        <v>0</v>
      </c>
      <c r="E417" s="776">
        <v>0</v>
      </c>
      <c r="F417" s="776">
        <v>0</v>
      </c>
      <c r="G417" s="776">
        <v>0</v>
      </c>
      <c r="H417" s="763"/>
      <c r="I417" s="186">
        <f t="shared" si="14"/>
        <v>0</v>
      </c>
      <c r="J417" s="186">
        <v>1133990</v>
      </c>
    </row>
    <row r="418" spans="1:10" s="186" customFormat="1" ht="12.75" customHeight="1">
      <c r="A418" s="775" t="s">
        <v>1170</v>
      </c>
      <c r="B418" s="775" t="s">
        <v>1898</v>
      </c>
      <c r="C418" s="776">
        <v>0</v>
      </c>
      <c r="D418" s="776">
        <v>0</v>
      </c>
      <c r="E418" s="776">
        <v>0</v>
      </c>
      <c r="F418" s="776">
        <v>0</v>
      </c>
      <c r="G418" s="776">
        <v>0</v>
      </c>
      <c r="H418" s="763"/>
      <c r="I418" s="186">
        <f t="shared" si="14"/>
        <v>0</v>
      </c>
      <c r="J418" s="186">
        <v>1133991</v>
      </c>
    </row>
    <row r="419" spans="1:10" s="186" customFormat="1" ht="13">
      <c r="A419" s="775" t="s">
        <v>1172</v>
      </c>
      <c r="B419" s="775" t="s">
        <v>1899</v>
      </c>
      <c r="C419" s="776">
        <v>0</v>
      </c>
      <c r="D419" s="776">
        <v>0</v>
      </c>
      <c r="E419" s="776">
        <v>0</v>
      </c>
      <c r="F419" s="776">
        <v>0</v>
      </c>
      <c r="G419" s="776">
        <v>0</v>
      </c>
      <c r="H419" s="763"/>
      <c r="I419" s="186">
        <f t="shared" si="14"/>
        <v>0</v>
      </c>
      <c r="J419" s="186">
        <v>1133992</v>
      </c>
    </row>
    <row r="420" spans="1:10" s="186" customFormat="1" ht="13">
      <c r="A420" s="775" t="s">
        <v>1174</v>
      </c>
      <c r="B420" s="775" t="s">
        <v>1900</v>
      </c>
      <c r="C420" s="776">
        <v>350</v>
      </c>
      <c r="D420" s="776">
        <v>600</v>
      </c>
      <c r="E420" s="776">
        <v>400</v>
      </c>
      <c r="F420" s="776">
        <v>666.64</v>
      </c>
      <c r="G420" s="776">
        <v>1000</v>
      </c>
      <c r="H420" s="763"/>
      <c r="I420" s="186">
        <f t="shared" si="14"/>
        <v>3016.64</v>
      </c>
      <c r="J420" s="186">
        <v>1133993</v>
      </c>
    </row>
    <row r="421" spans="1:10" s="186" customFormat="1" ht="12.75" customHeight="1">
      <c r="A421" s="775" t="s">
        <v>1176</v>
      </c>
      <c r="B421" s="775" t="s">
        <v>1901</v>
      </c>
      <c r="C421" s="776">
        <v>0</v>
      </c>
      <c r="D421" s="776">
        <v>0</v>
      </c>
      <c r="E421" s="776">
        <v>0</v>
      </c>
      <c r="F421" s="776">
        <v>0</v>
      </c>
      <c r="G421" s="776">
        <v>0</v>
      </c>
      <c r="H421" s="763"/>
      <c r="I421" s="186">
        <f t="shared" si="14"/>
        <v>0</v>
      </c>
      <c r="J421" s="186">
        <v>1133994</v>
      </c>
    </row>
    <row r="422" spans="1:10" s="186" customFormat="1" ht="12.75" customHeight="1">
      <c r="A422" s="775" t="s">
        <v>1178</v>
      </c>
      <c r="B422" s="775" t="s">
        <v>1902</v>
      </c>
      <c r="C422" s="776">
        <v>0</v>
      </c>
      <c r="D422" s="776">
        <v>0</v>
      </c>
      <c r="E422" s="776">
        <v>0</v>
      </c>
      <c r="F422" s="776">
        <v>0</v>
      </c>
      <c r="G422" s="776">
        <v>0</v>
      </c>
      <c r="H422" s="763"/>
      <c r="I422" s="186">
        <f t="shared" si="14"/>
        <v>0</v>
      </c>
      <c r="J422" s="186">
        <v>1133995</v>
      </c>
    </row>
    <row r="423" spans="1:10" s="186" customFormat="1" ht="13">
      <c r="A423" s="775" t="s">
        <v>1180</v>
      </c>
      <c r="B423" s="775" t="s">
        <v>1903</v>
      </c>
      <c r="C423" s="776">
        <v>9312.01</v>
      </c>
      <c r="D423" s="776">
        <v>9124.41</v>
      </c>
      <c r="E423" s="776">
        <v>6353.92</v>
      </c>
      <c r="F423" s="776">
        <v>5866.64</v>
      </c>
      <c r="G423" s="776">
        <v>8800</v>
      </c>
      <c r="H423" s="763"/>
      <c r="I423" s="186">
        <f t="shared" si="14"/>
        <v>39456.979999999996</v>
      </c>
      <c r="J423" s="186">
        <v>1133996</v>
      </c>
    </row>
    <row r="424" spans="1:10" s="186" customFormat="1" ht="13">
      <c r="A424" s="775" t="s">
        <v>1182</v>
      </c>
      <c r="B424" s="775" t="s">
        <v>1904</v>
      </c>
      <c r="C424" s="776">
        <v>2942.2</v>
      </c>
      <c r="D424" s="776">
        <v>2989.9</v>
      </c>
      <c r="E424" s="776">
        <v>2014.3</v>
      </c>
      <c r="F424" s="776">
        <v>2666.64</v>
      </c>
      <c r="G424" s="776">
        <v>4000</v>
      </c>
      <c r="H424" s="763"/>
      <c r="I424" s="186">
        <f t="shared" si="14"/>
        <v>14613.04</v>
      </c>
      <c r="J424" s="186">
        <v>1133997</v>
      </c>
    </row>
    <row r="425" spans="1:10" s="186" customFormat="1" ht="13">
      <c r="A425" s="775" t="s">
        <v>1184</v>
      </c>
      <c r="B425" s="775" t="s">
        <v>1905</v>
      </c>
      <c r="C425" s="776">
        <v>0</v>
      </c>
      <c r="D425" s="776">
        <v>0</v>
      </c>
      <c r="E425" s="776">
        <v>0</v>
      </c>
      <c r="F425" s="776">
        <v>0</v>
      </c>
      <c r="G425" s="776">
        <v>0</v>
      </c>
      <c r="H425" s="763"/>
      <c r="I425" s="186">
        <f t="shared" si="14"/>
        <v>0</v>
      </c>
      <c r="J425" s="186">
        <v>1133998</v>
      </c>
    </row>
    <row r="426" spans="1:10" s="186" customFormat="1" ht="13">
      <c r="A426" s="775" t="s">
        <v>1186</v>
      </c>
      <c r="B426" s="775" t="s">
        <v>1906</v>
      </c>
      <c r="C426" s="776">
        <v>14437.39</v>
      </c>
      <c r="D426" s="776">
        <v>15112.8</v>
      </c>
      <c r="E426" s="776">
        <v>17328.560000000001</v>
      </c>
      <c r="F426" s="776">
        <v>12000</v>
      </c>
      <c r="G426" s="776">
        <v>16000</v>
      </c>
      <c r="H426" s="763"/>
      <c r="I426" s="186">
        <f t="shared" si="14"/>
        <v>74878.75</v>
      </c>
      <c r="J426" s="186">
        <v>1133999</v>
      </c>
    </row>
    <row r="427" spans="1:10" s="186" customFormat="1" ht="12.75" customHeight="1">
      <c r="A427" s="775" t="s">
        <v>1188</v>
      </c>
      <c r="B427" s="775" t="s">
        <v>1907</v>
      </c>
      <c r="C427" s="776">
        <v>1300</v>
      </c>
      <c r="D427" s="776">
        <v>1200</v>
      </c>
      <c r="E427" s="776">
        <v>0</v>
      </c>
      <c r="F427" s="776">
        <v>0</v>
      </c>
      <c r="G427" s="776">
        <v>1500</v>
      </c>
      <c r="H427" s="763"/>
      <c r="I427" s="186">
        <f t="shared" si="14"/>
        <v>4000</v>
      </c>
      <c r="J427" s="186">
        <v>1134000</v>
      </c>
    </row>
    <row r="428" spans="1:10" s="186" customFormat="1" ht="13">
      <c r="A428" s="775" t="s">
        <v>1190</v>
      </c>
      <c r="B428" s="775" t="s">
        <v>1908</v>
      </c>
      <c r="C428" s="776">
        <v>0</v>
      </c>
      <c r="D428" s="776">
        <v>0</v>
      </c>
      <c r="E428" s="776">
        <v>0</v>
      </c>
      <c r="F428" s="776">
        <v>0</v>
      </c>
      <c r="G428" s="776">
        <v>0</v>
      </c>
      <c r="H428" s="763"/>
      <c r="I428" s="186">
        <f t="shared" si="14"/>
        <v>0</v>
      </c>
      <c r="J428" s="186">
        <v>1134001</v>
      </c>
    </row>
    <row r="429" spans="1:10" s="186" customFormat="1" ht="12.75" customHeight="1">
      <c r="A429" s="775" t="s">
        <v>1192</v>
      </c>
      <c r="B429" s="775" t="s">
        <v>1909</v>
      </c>
      <c r="C429" s="776">
        <v>6724.2</v>
      </c>
      <c r="D429" s="776">
        <v>7208</v>
      </c>
      <c r="E429" s="776">
        <v>4239.1000000000004</v>
      </c>
      <c r="F429" s="776">
        <v>4000</v>
      </c>
      <c r="G429" s="776">
        <v>6000</v>
      </c>
      <c r="H429" s="763"/>
      <c r="I429" s="186">
        <f t="shared" si="14"/>
        <v>28171.300000000003</v>
      </c>
      <c r="J429" s="186">
        <v>1134002</v>
      </c>
    </row>
    <row r="430" spans="1:10" s="186" customFormat="1" ht="12.75" customHeight="1">
      <c r="A430" s="775" t="s">
        <v>1194</v>
      </c>
      <c r="B430" s="775" t="s">
        <v>1614</v>
      </c>
      <c r="C430" s="776">
        <v>5516.06</v>
      </c>
      <c r="D430" s="776">
        <v>11821.28</v>
      </c>
      <c r="E430" s="776">
        <v>3060</v>
      </c>
      <c r="F430" s="776">
        <v>7416.64</v>
      </c>
      <c r="G430" s="776">
        <v>11125</v>
      </c>
      <c r="H430" s="763"/>
      <c r="I430" s="186">
        <f t="shared" si="14"/>
        <v>38938.979999999996</v>
      </c>
      <c r="J430" s="186">
        <v>1134003</v>
      </c>
    </row>
    <row r="431" spans="1:10" s="186" customFormat="1" ht="13">
      <c r="A431" s="775" t="s">
        <v>1195</v>
      </c>
      <c r="B431" s="775" t="s">
        <v>1910</v>
      </c>
      <c r="C431" s="776">
        <v>0</v>
      </c>
      <c r="D431" s="776">
        <v>0</v>
      </c>
      <c r="E431" s="776">
        <v>0</v>
      </c>
      <c r="F431" s="776">
        <v>0</v>
      </c>
      <c r="G431" s="776">
        <v>0</v>
      </c>
      <c r="H431" s="763"/>
      <c r="I431" s="186">
        <f t="shared" si="14"/>
        <v>0</v>
      </c>
      <c r="J431" s="186">
        <v>1134004</v>
      </c>
    </row>
    <row r="432" spans="1:10" s="186" customFormat="1" ht="12.75" customHeight="1">
      <c r="A432" s="775" t="s">
        <v>1197</v>
      </c>
      <c r="B432" s="775" t="s">
        <v>1911</v>
      </c>
      <c r="C432" s="776">
        <v>895</v>
      </c>
      <c r="D432" s="776">
        <v>910</v>
      </c>
      <c r="E432" s="776">
        <v>690</v>
      </c>
      <c r="F432" s="776">
        <v>690</v>
      </c>
      <c r="G432" s="776">
        <v>1000</v>
      </c>
      <c r="H432" s="763"/>
      <c r="I432" s="186">
        <f t="shared" si="14"/>
        <v>4185</v>
      </c>
      <c r="J432" s="186">
        <v>1134005</v>
      </c>
    </row>
    <row r="433" spans="1:10" s="186" customFormat="1" ht="12.75" customHeight="1">
      <c r="A433" s="775" t="s">
        <v>1199</v>
      </c>
      <c r="B433" s="775" t="s">
        <v>1912</v>
      </c>
      <c r="C433" s="776">
        <v>3840.25</v>
      </c>
      <c r="D433" s="776">
        <v>4110.3100000000004</v>
      </c>
      <c r="E433" s="776">
        <v>0</v>
      </c>
      <c r="F433" s="776">
        <v>0</v>
      </c>
      <c r="G433" s="776">
        <v>1000</v>
      </c>
      <c r="H433" s="763"/>
      <c r="I433" s="186">
        <f t="shared" si="14"/>
        <v>8950.5600000000013</v>
      </c>
      <c r="J433" s="186">
        <v>1134006</v>
      </c>
    </row>
    <row r="434" spans="1:10" s="186" customFormat="1" ht="13">
      <c r="A434" s="775" t="s">
        <v>1201</v>
      </c>
      <c r="B434" s="775" t="s">
        <v>1913</v>
      </c>
      <c r="C434" s="776">
        <v>300</v>
      </c>
      <c r="D434" s="776">
        <v>0</v>
      </c>
      <c r="E434" s="776">
        <v>0</v>
      </c>
      <c r="F434" s="776">
        <v>0</v>
      </c>
      <c r="G434" s="776">
        <v>0</v>
      </c>
      <c r="H434" s="763"/>
      <c r="I434" s="186">
        <f t="shared" si="14"/>
        <v>300</v>
      </c>
      <c r="J434" s="186">
        <v>1134007</v>
      </c>
    </row>
    <row r="435" spans="1:10" s="186" customFormat="1" ht="12.75" customHeight="1">
      <c r="A435" s="775" t="s">
        <v>1203</v>
      </c>
      <c r="B435" s="775" t="s">
        <v>1914</v>
      </c>
      <c r="C435" s="776">
        <v>1062.8499999999999</v>
      </c>
      <c r="D435" s="776">
        <v>0</v>
      </c>
      <c r="E435" s="776">
        <v>0</v>
      </c>
      <c r="F435" s="776">
        <v>1200</v>
      </c>
      <c r="G435" s="776">
        <v>1200</v>
      </c>
      <c r="H435" s="763"/>
      <c r="I435" s="186">
        <f t="shared" si="14"/>
        <v>3462.85</v>
      </c>
      <c r="J435" s="186">
        <v>1134008</v>
      </c>
    </row>
    <row r="436" spans="1:10" s="186" customFormat="1" ht="12.75" customHeight="1">
      <c r="A436" s="775" t="s">
        <v>1205</v>
      </c>
      <c r="B436" s="775" t="s">
        <v>1915</v>
      </c>
      <c r="C436" s="776">
        <v>0</v>
      </c>
      <c r="D436" s="776">
        <v>0</v>
      </c>
      <c r="E436" s="776">
        <v>0</v>
      </c>
      <c r="F436" s="776">
        <v>0</v>
      </c>
      <c r="G436" s="776">
        <v>0</v>
      </c>
      <c r="H436" s="763"/>
      <c r="I436" s="186">
        <f t="shared" si="14"/>
        <v>0</v>
      </c>
      <c r="J436" s="186">
        <v>1134009</v>
      </c>
    </row>
    <row r="437" spans="1:10" s="186" customFormat="1" ht="12.75" customHeight="1">
      <c r="A437" s="775" t="s">
        <v>1207</v>
      </c>
      <c r="B437" s="775" t="s">
        <v>1916</v>
      </c>
      <c r="C437" s="776">
        <v>0</v>
      </c>
      <c r="D437" s="776">
        <v>0</v>
      </c>
      <c r="E437" s="776">
        <v>0</v>
      </c>
      <c r="F437" s="776">
        <v>0</v>
      </c>
      <c r="G437" s="776">
        <v>0</v>
      </c>
      <c r="H437" s="763"/>
      <c r="I437" s="186">
        <f t="shared" si="14"/>
        <v>0</v>
      </c>
      <c r="J437" s="186">
        <v>1134010</v>
      </c>
    </row>
    <row r="438" spans="1:10" s="186" customFormat="1" ht="12.75" customHeight="1">
      <c r="A438" s="775" t="s">
        <v>1209</v>
      </c>
      <c r="B438" s="775" t="s">
        <v>1917</v>
      </c>
      <c r="C438" s="776">
        <v>0</v>
      </c>
      <c r="D438" s="776">
        <v>0</v>
      </c>
      <c r="E438" s="776">
        <v>0</v>
      </c>
      <c r="F438" s="776">
        <v>0</v>
      </c>
      <c r="G438" s="776">
        <v>0</v>
      </c>
      <c r="H438" s="763"/>
      <c r="I438" s="186">
        <f t="shared" si="14"/>
        <v>0</v>
      </c>
      <c r="J438" s="186">
        <v>1134011</v>
      </c>
    </row>
    <row r="439" spans="1:10" s="186" customFormat="1" ht="12.75" customHeight="1">
      <c r="A439" s="775" t="s">
        <v>1211</v>
      </c>
      <c r="B439" s="775" t="s">
        <v>1918</v>
      </c>
      <c r="C439" s="776">
        <v>0</v>
      </c>
      <c r="D439" s="776">
        <v>0</v>
      </c>
      <c r="E439" s="776">
        <v>0</v>
      </c>
      <c r="F439" s="776">
        <v>0</v>
      </c>
      <c r="G439" s="776">
        <v>0</v>
      </c>
      <c r="H439" s="763"/>
      <c r="I439" s="186">
        <f t="shared" si="14"/>
        <v>0</v>
      </c>
      <c r="J439" s="186">
        <v>1134012</v>
      </c>
    </row>
    <row r="440" spans="1:10" s="186" customFormat="1" ht="12.75" customHeight="1">
      <c r="A440" s="775" t="s">
        <v>1213</v>
      </c>
      <c r="B440" s="775" t="s">
        <v>1919</v>
      </c>
      <c r="C440" s="776">
        <v>0</v>
      </c>
      <c r="D440" s="776">
        <v>0</v>
      </c>
      <c r="E440" s="776">
        <v>0</v>
      </c>
      <c r="F440" s="776">
        <v>0</v>
      </c>
      <c r="G440" s="776">
        <v>0</v>
      </c>
      <c r="H440" s="763"/>
      <c r="I440" s="186">
        <f t="shared" si="14"/>
        <v>0</v>
      </c>
      <c r="J440" s="186">
        <v>1134013</v>
      </c>
    </row>
    <row r="441" spans="1:10" s="186" customFormat="1" ht="12.75" customHeight="1">
      <c r="A441" s="775" t="s">
        <v>1215</v>
      </c>
      <c r="B441" s="775" t="s">
        <v>1920</v>
      </c>
      <c r="C441" s="776">
        <v>0</v>
      </c>
      <c r="D441" s="776">
        <v>0</v>
      </c>
      <c r="E441" s="776">
        <v>0</v>
      </c>
      <c r="F441" s="776">
        <v>0</v>
      </c>
      <c r="G441" s="776">
        <v>0</v>
      </c>
      <c r="H441" s="763"/>
      <c r="I441" s="186">
        <f t="shared" si="14"/>
        <v>0</v>
      </c>
      <c r="J441" s="186">
        <v>1134014</v>
      </c>
    </row>
    <row r="442" spans="1:10" s="186" customFormat="1" ht="13">
      <c r="A442" s="775" t="s">
        <v>1217</v>
      </c>
      <c r="B442" s="775" t="s">
        <v>1921</v>
      </c>
      <c r="C442" s="776">
        <v>0</v>
      </c>
      <c r="D442" s="776">
        <v>0</v>
      </c>
      <c r="E442" s="776">
        <v>0</v>
      </c>
      <c r="F442" s="776">
        <v>0</v>
      </c>
      <c r="G442" s="776">
        <v>0</v>
      </c>
      <c r="H442" s="763"/>
      <c r="I442" s="186">
        <f t="shared" ref="I442:I447" si="15">C442+D442+E442+F442+G442</f>
        <v>0</v>
      </c>
      <c r="J442" s="186">
        <v>1134015</v>
      </c>
    </row>
    <row r="443" spans="1:10" s="186" customFormat="1" ht="12.75" customHeight="1">
      <c r="A443" s="775" t="s">
        <v>1219</v>
      </c>
      <c r="B443" s="775" t="s">
        <v>1922</v>
      </c>
      <c r="C443" s="776">
        <v>0</v>
      </c>
      <c r="D443" s="776">
        <v>0</v>
      </c>
      <c r="E443" s="776">
        <v>0</v>
      </c>
      <c r="F443" s="776">
        <v>0</v>
      </c>
      <c r="G443" s="776">
        <v>0</v>
      </c>
      <c r="H443" s="763"/>
      <c r="I443" s="186">
        <f t="shared" si="15"/>
        <v>0</v>
      </c>
      <c r="J443" s="186">
        <v>1134016</v>
      </c>
    </row>
    <row r="444" spans="1:10" s="186" customFormat="1" ht="12.75" customHeight="1">
      <c r="A444" s="775" t="s">
        <v>1221</v>
      </c>
      <c r="B444" s="775" t="s">
        <v>1923</v>
      </c>
      <c r="C444" s="776">
        <v>6334.7</v>
      </c>
      <c r="D444" s="776">
        <v>5977.42</v>
      </c>
      <c r="E444" s="776">
        <v>2585.9</v>
      </c>
      <c r="F444" s="776">
        <v>3000</v>
      </c>
      <c r="G444" s="776">
        <v>4500</v>
      </c>
      <c r="H444" s="763"/>
      <c r="I444" s="186">
        <f t="shared" si="15"/>
        <v>22398.019999999997</v>
      </c>
      <c r="J444" s="186">
        <v>1134017</v>
      </c>
    </row>
    <row r="445" spans="1:10" s="186" customFormat="1" ht="12.75" customHeight="1">
      <c r="A445" s="775" t="s">
        <v>1223</v>
      </c>
      <c r="B445" s="775" t="s">
        <v>1924</v>
      </c>
      <c r="C445" s="776">
        <v>0</v>
      </c>
      <c r="D445" s="776">
        <v>0</v>
      </c>
      <c r="E445" s="776">
        <v>0</v>
      </c>
      <c r="F445" s="776">
        <v>0</v>
      </c>
      <c r="G445" s="776">
        <v>500</v>
      </c>
      <c r="H445" s="763"/>
      <c r="I445" s="186">
        <f t="shared" si="15"/>
        <v>500</v>
      </c>
      <c r="J445" s="186">
        <v>1134018</v>
      </c>
    </row>
    <row r="446" spans="1:10" s="186" customFormat="1" ht="13">
      <c r="A446" s="775" t="s">
        <v>1925</v>
      </c>
      <c r="B446" s="775" t="s">
        <v>1926</v>
      </c>
      <c r="C446" s="776">
        <v>0</v>
      </c>
      <c r="D446" s="776">
        <v>0</v>
      </c>
      <c r="E446" s="776">
        <v>0</v>
      </c>
      <c r="F446" s="776">
        <v>0</v>
      </c>
      <c r="G446" s="776">
        <v>0</v>
      </c>
      <c r="H446" s="763"/>
      <c r="I446" s="186">
        <f t="shared" si="15"/>
        <v>0</v>
      </c>
      <c r="J446" s="186">
        <v>1134019</v>
      </c>
    </row>
    <row r="447" spans="1:10" s="186" customFormat="1" ht="13">
      <c r="A447" s="775" t="s">
        <v>1225</v>
      </c>
      <c r="B447" s="775" t="s">
        <v>1927</v>
      </c>
      <c r="C447" s="776">
        <v>0</v>
      </c>
      <c r="D447" s="776">
        <v>0</v>
      </c>
      <c r="E447" s="776">
        <v>0</v>
      </c>
      <c r="F447" s="776">
        <v>0</v>
      </c>
      <c r="G447" s="776">
        <v>0</v>
      </c>
      <c r="H447" s="763"/>
      <c r="I447" s="780">
        <f t="shared" si="15"/>
        <v>0</v>
      </c>
      <c r="J447" s="186">
        <v>1134020</v>
      </c>
    </row>
    <row r="448" spans="1:10" s="186" customFormat="1" ht="13">
      <c r="A448" s="775" t="s">
        <v>1928</v>
      </c>
      <c r="B448" s="775" t="s">
        <v>1929</v>
      </c>
      <c r="C448" s="776">
        <v>0</v>
      </c>
      <c r="D448" s="776">
        <v>0</v>
      </c>
      <c r="E448" s="776">
        <v>0</v>
      </c>
      <c r="F448" s="776">
        <v>0</v>
      </c>
      <c r="G448" s="776">
        <v>0</v>
      </c>
      <c r="H448" s="763"/>
    </row>
    <row r="449" spans="1:10" s="186" customFormat="1" ht="13">
      <c r="A449" s="775" t="s">
        <v>1227</v>
      </c>
      <c r="B449" s="775" t="s">
        <v>1930</v>
      </c>
      <c r="C449" s="776">
        <v>0</v>
      </c>
      <c r="D449" s="776">
        <v>0</v>
      </c>
      <c r="E449" s="776">
        <v>0</v>
      </c>
      <c r="F449" s="776">
        <v>0</v>
      </c>
      <c r="G449" s="776">
        <v>0</v>
      </c>
      <c r="H449" s="763"/>
      <c r="I449" s="187">
        <v>1</v>
      </c>
      <c r="J449" s="186">
        <v>1134021</v>
      </c>
    </row>
    <row r="450" spans="1:10" s="186" customFormat="1" ht="13">
      <c r="A450" s="775" t="s">
        <v>1229</v>
      </c>
      <c r="B450" s="775" t="s">
        <v>1931</v>
      </c>
      <c r="C450" s="776">
        <v>0</v>
      </c>
      <c r="D450" s="776">
        <v>155.69</v>
      </c>
      <c r="E450" s="776">
        <v>0</v>
      </c>
      <c r="F450" s="776">
        <v>333.36</v>
      </c>
      <c r="G450" s="776">
        <v>500</v>
      </c>
      <c r="H450" s="763"/>
      <c r="I450" s="186">
        <f t="shared" ref="I450:I472" si="16">C450+D450+E450+F450+G450</f>
        <v>989.05</v>
      </c>
      <c r="J450" s="186">
        <v>1134022</v>
      </c>
    </row>
    <row r="451" spans="1:10" s="186" customFormat="1" ht="13">
      <c r="A451" s="775" t="s">
        <v>1231</v>
      </c>
      <c r="B451" s="775" t="s">
        <v>1657</v>
      </c>
      <c r="C451" s="776">
        <v>0</v>
      </c>
      <c r="D451" s="776">
        <v>0</v>
      </c>
      <c r="E451" s="776">
        <v>0</v>
      </c>
      <c r="F451" s="776">
        <v>0</v>
      </c>
      <c r="G451" s="776">
        <v>0</v>
      </c>
      <c r="H451" s="763"/>
      <c r="I451" s="186">
        <f t="shared" si="16"/>
        <v>0</v>
      </c>
      <c r="J451" s="186">
        <v>1134023</v>
      </c>
    </row>
    <row r="452" spans="1:10" s="186" customFormat="1" ht="12.75" hidden="1" customHeight="1">
      <c r="A452" s="775" t="s">
        <v>1232</v>
      </c>
      <c r="B452" s="775" t="s">
        <v>1660</v>
      </c>
      <c r="C452" s="776">
        <v>0</v>
      </c>
      <c r="D452" s="776">
        <v>0</v>
      </c>
      <c r="E452" s="776">
        <v>0</v>
      </c>
      <c r="F452" s="776">
        <v>0</v>
      </c>
      <c r="G452" s="776">
        <v>0</v>
      </c>
      <c r="H452" s="763"/>
      <c r="I452" s="186">
        <f t="shared" si="16"/>
        <v>0</v>
      </c>
      <c r="J452" s="186">
        <v>1134024</v>
      </c>
    </row>
    <row r="453" spans="1:10" s="186" customFormat="1" ht="12.75" hidden="1" customHeight="1">
      <c r="A453" s="775" t="s">
        <v>1233</v>
      </c>
      <c r="B453" s="775" t="s">
        <v>1661</v>
      </c>
      <c r="C453" s="776">
        <v>0</v>
      </c>
      <c r="D453" s="776">
        <v>0</v>
      </c>
      <c r="E453" s="776">
        <v>0</v>
      </c>
      <c r="F453" s="776">
        <v>0</v>
      </c>
      <c r="G453" s="776">
        <v>0</v>
      </c>
      <c r="H453" s="763"/>
      <c r="I453" s="186">
        <f t="shared" si="16"/>
        <v>0</v>
      </c>
      <c r="J453" s="186">
        <v>1134025</v>
      </c>
    </row>
    <row r="454" spans="1:10" s="186" customFormat="1" ht="12.75" hidden="1" customHeight="1">
      <c r="A454" s="775" t="s">
        <v>1234</v>
      </c>
      <c r="B454" s="775" t="s">
        <v>1932</v>
      </c>
      <c r="C454" s="776">
        <v>0</v>
      </c>
      <c r="D454" s="776">
        <v>0</v>
      </c>
      <c r="E454" s="776">
        <v>0</v>
      </c>
      <c r="F454" s="776">
        <v>0</v>
      </c>
      <c r="G454" s="776">
        <v>0</v>
      </c>
      <c r="H454" s="763"/>
      <c r="I454" s="186">
        <f t="shared" si="16"/>
        <v>0</v>
      </c>
      <c r="J454" s="186">
        <v>1134026</v>
      </c>
    </row>
    <row r="455" spans="1:10" s="186" customFormat="1" ht="13">
      <c r="A455" s="775" t="s">
        <v>1236</v>
      </c>
      <c r="B455" s="775" t="s">
        <v>1933</v>
      </c>
      <c r="C455" s="776">
        <v>4056</v>
      </c>
      <c r="D455" s="776">
        <v>3972</v>
      </c>
      <c r="E455" s="776">
        <v>4965</v>
      </c>
      <c r="F455" s="776">
        <v>4965</v>
      </c>
      <c r="G455" s="776">
        <v>4965</v>
      </c>
      <c r="H455" s="763"/>
      <c r="I455" s="186">
        <f t="shared" si="16"/>
        <v>22923</v>
      </c>
      <c r="J455" s="186">
        <v>1134027</v>
      </c>
    </row>
    <row r="456" spans="1:10" s="186" customFormat="1" ht="12.75" customHeight="1">
      <c r="A456" s="775" t="s">
        <v>1238</v>
      </c>
      <c r="B456" s="775" t="s">
        <v>1659</v>
      </c>
      <c r="C456" s="776">
        <v>6320</v>
      </c>
      <c r="D456" s="776">
        <v>7584</v>
      </c>
      <c r="E456" s="776">
        <v>7584</v>
      </c>
      <c r="F456" s="776">
        <v>7560</v>
      </c>
      <c r="G456" s="776">
        <v>7560</v>
      </c>
      <c r="H456" s="763"/>
      <c r="I456" s="186">
        <f t="shared" si="16"/>
        <v>36608</v>
      </c>
      <c r="J456" s="186">
        <v>1134028</v>
      </c>
    </row>
    <row r="457" spans="1:10" s="186" customFormat="1" ht="12.75" customHeight="1">
      <c r="A457" s="775" t="s">
        <v>1240</v>
      </c>
      <c r="B457" s="775" t="s">
        <v>1934</v>
      </c>
      <c r="C457" s="776">
        <v>1575</v>
      </c>
      <c r="D457" s="776">
        <v>1575</v>
      </c>
      <c r="E457" s="776">
        <v>1575</v>
      </c>
      <c r="F457" s="776">
        <v>1575</v>
      </c>
      <c r="G457" s="776">
        <v>1575</v>
      </c>
      <c r="H457" s="763"/>
      <c r="I457" s="186">
        <f t="shared" si="16"/>
        <v>7875</v>
      </c>
      <c r="J457" s="186">
        <v>1134029</v>
      </c>
    </row>
    <row r="458" spans="1:10" s="186" customFormat="1" ht="12.75" customHeight="1">
      <c r="A458" s="775" t="s">
        <v>1242</v>
      </c>
      <c r="B458" s="775" t="s">
        <v>1665</v>
      </c>
      <c r="C458" s="776">
        <v>0</v>
      </c>
      <c r="D458" s="776">
        <v>0</v>
      </c>
      <c r="E458" s="776">
        <v>0</v>
      </c>
      <c r="F458" s="776">
        <v>0</v>
      </c>
      <c r="G458" s="776">
        <v>0</v>
      </c>
      <c r="H458" s="763"/>
      <c r="I458" s="186">
        <f t="shared" si="16"/>
        <v>0</v>
      </c>
      <c r="J458" s="186">
        <v>1134030</v>
      </c>
    </row>
    <row r="459" spans="1:10" s="186" customFormat="1" ht="12.75" customHeight="1">
      <c r="A459" s="775" t="s">
        <v>1243</v>
      </c>
      <c r="B459" s="775" t="s">
        <v>1652</v>
      </c>
      <c r="C459" s="776">
        <v>625</v>
      </c>
      <c r="D459" s="776">
        <v>125</v>
      </c>
      <c r="E459" s="776">
        <v>125</v>
      </c>
      <c r="F459" s="776">
        <v>250</v>
      </c>
      <c r="G459" s="776">
        <v>500</v>
      </c>
      <c r="H459" s="763"/>
      <c r="I459" s="186">
        <f t="shared" si="16"/>
        <v>1625</v>
      </c>
      <c r="J459" s="186">
        <v>1134031</v>
      </c>
    </row>
    <row r="460" spans="1:10" s="186" customFormat="1" ht="12.75" customHeight="1">
      <c r="A460" s="775" t="s">
        <v>1244</v>
      </c>
      <c r="B460" s="775" t="s">
        <v>1935</v>
      </c>
      <c r="C460" s="776">
        <v>0</v>
      </c>
      <c r="D460" s="776">
        <v>0</v>
      </c>
      <c r="E460" s="776">
        <v>0</v>
      </c>
      <c r="F460" s="776">
        <v>0</v>
      </c>
      <c r="G460" s="776">
        <v>0</v>
      </c>
      <c r="H460" s="763"/>
      <c r="I460" s="186">
        <f t="shared" si="16"/>
        <v>0</v>
      </c>
      <c r="J460" s="186">
        <v>1134032</v>
      </c>
    </row>
    <row r="461" spans="1:10" s="186" customFormat="1" ht="12.75" customHeight="1">
      <c r="A461" s="775" t="s">
        <v>1246</v>
      </c>
      <c r="B461" s="775" t="s">
        <v>1936</v>
      </c>
      <c r="C461" s="776">
        <v>0</v>
      </c>
      <c r="D461" s="776">
        <v>0</v>
      </c>
      <c r="E461" s="776">
        <v>0</v>
      </c>
      <c r="F461" s="776">
        <v>0</v>
      </c>
      <c r="G461" s="776">
        <v>0</v>
      </c>
      <c r="H461" s="763"/>
      <c r="I461" s="186">
        <f t="shared" si="16"/>
        <v>0</v>
      </c>
      <c r="J461" s="186">
        <v>1134033</v>
      </c>
    </row>
    <row r="462" spans="1:10" s="186" customFormat="1" ht="12.75" customHeight="1">
      <c r="A462" s="775" t="s">
        <v>1248</v>
      </c>
      <c r="B462" s="775" t="s">
        <v>1937</v>
      </c>
      <c r="C462" s="776">
        <v>1052.3499999999999</v>
      </c>
      <c r="D462" s="776">
        <v>1272.54</v>
      </c>
      <c r="E462" s="776">
        <v>880.83</v>
      </c>
      <c r="F462" s="776">
        <v>866.64</v>
      </c>
      <c r="G462" s="776">
        <v>1300</v>
      </c>
      <c r="H462" s="763"/>
      <c r="I462" s="186">
        <f t="shared" si="16"/>
        <v>5372.36</v>
      </c>
      <c r="J462" s="186">
        <v>1134034</v>
      </c>
    </row>
    <row r="463" spans="1:10" s="186" customFormat="1" ht="12.75" customHeight="1">
      <c r="A463" s="775" t="s">
        <v>1250</v>
      </c>
      <c r="B463" s="775" t="s">
        <v>1593</v>
      </c>
      <c r="C463" s="776">
        <v>0</v>
      </c>
      <c r="D463" s="776">
        <v>0</v>
      </c>
      <c r="E463" s="776">
        <v>0</v>
      </c>
      <c r="F463" s="776">
        <v>0</v>
      </c>
      <c r="G463" s="776">
        <v>0</v>
      </c>
      <c r="H463" s="763"/>
      <c r="I463" s="186">
        <f t="shared" si="16"/>
        <v>0</v>
      </c>
      <c r="J463" s="186">
        <v>1134035</v>
      </c>
    </row>
    <row r="464" spans="1:10" s="186" customFormat="1" ht="12.75" customHeight="1">
      <c r="A464" s="775" t="s">
        <v>1251</v>
      </c>
      <c r="B464" s="775" t="s">
        <v>1938</v>
      </c>
      <c r="C464" s="776">
        <v>0</v>
      </c>
      <c r="D464" s="776">
        <v>0</v>
      </c>
      <c r="E464" s="776">
        <v>0</v>
      </c>
      <c r="F464" s="776">
        <v>0</v>
      </c>
      <c r="G464" s="776">
        <v>0</v>
      </c>
      <c r="H464" s="763"/>
      <c r="I464" s="186">
        <f t="shared" si="16"/>
        <v>0</v>
      </c>
      <c r="J464" s="186">
        <v>1134036</v>
      </c>
    </row>
    <row r="465" spans="1:10" s="186" customFormat="1" ht="12.75" customHeight="1">
      <c r="A465" s="775" t="s">
        <v>1253</v>
      </c>
      <c r="B465" s="775" t="s">
        <v>1939</v>
      </c>
      <c r="C465" s="776">
        <v>0</v>
      </c>
      <c r="D465" s="776">
        <v>0</v>
      </c>
      <c r="E465" s="776">
        <v>0</v>
      </c>
      <c r="F465" s="776">
        <v>0</v>
      </c>
      <c r="G465" s="776">
        <v>0</v>
      </c>
      <c r="H465" s="763"/>
      <c r="I465" s="186">
        <f t="shared" si="16"/>
        <v>0</v>
      </c>
      <c r="J465" s="186">
        <v>1134037</v>
      </c>
    </row>
    <row r="466" spans="1:10" s="186" customFormat="1" ht="12.75" customHeight="1">
      <c r="A466" s="775" t="s">
        <v>1255</v>
      </c>
      <c r="B466" s="775" t="s">
        <v>1940</v>
      </c>
      <c r="C466" s="776">
        <v>0</v>
      </c>
      <c r="D466" s="776">
        <v>0</v>
      </c>
      <c r="E466" s="776">
        <v>0</v>
      </c>
      <c r="F466" s="776">
        <v>0</v>
      </c>
      <c r="G466" s="776">
        <v>0</v>
      </c>
      <c r="H466" s="763"/>
      <c r="I466" s="186">
        <f t="shared" si="16"/>
        <v>0</v>
      </c>
      <c r="J466" s="186">
        <v>1134038</v>
      </c>
    </row>
    <row r="467" spans="1:10" s="186" customFormat="1" ht="13">
      <c r="A467" s="775" t="s">
        <v>1257</v>
      </c>
      <c r="B467" s="775" t="s">
        <v>1941</v>
      </c>
      <c r="C467" s="776">
        <v>0</v>
      </c>
      <c r="D467" s="776">
        <v>0</v>
      </c>
      <c r="E467" s="776">
        <v>0</v>
      </c>
      <c r="F467" s="776">
        <v>0</v>
      </c>
      <c r="G467" s="776">
        <v>0</v>
      </c>
      <c r="H467" s="763"/>
      <c r="I467" s="780">
        <f t="shared" si="16"/>
        <v>0</v>
      </c>
      <c r="J467" s="186">
        <v>1134039</v>
      </c>
    </row>
    <row r="468" spans="1:10" s="186" customFormat="1" ht="13">
      <c r="A468" s="775" t="s">
        <v>1259</v>
      </c>
      <c r="B468" s="775" t="s">
        <v>1942</v>
      </c>
      <c r="C468" s="776">
        <v>0</v>
      </c>
      <c r="D468" s="776">
        <v>0</v>
      </c>
      <c r="E468" s="776">
        <v>0</v>
      </c>
      <c r="F468" s="776">
        <v>0</v>
      </c>
      <c r="G468" s="776">
        <v>0</v>
      </c>
      <c r="H468" s="763"/>
      <c r="I468" s="780">
        <f t="shared" si="16"/>
        <v>0</v>
      </c>
      <c r="J468" s="186">
        <v>1134040</v>
      </c>
    </row>
    <row r="469" spans="1:10" s="186" customFormat="1" ht="12.75" hidden="1" customHeight="1">
      <c r="A469" s="775" t="s">
        <v>1261</v>
      </c>
      <c r="B469" s="775" t="s">
        <v>1580</v>
      </c>
      <c r="C469" s="776">
        <v>0</v>
      </c>
      <c r="D469" s="776">
        <v>0</v>
      </c>
      <c r="E469" s="776">
        <v>0</v>
      </c>
      <c r="F469" s="776">
        <v>0</v>
      </c>
      <c r="G469" s="776">
        <v>0</v>
      </c>
      <c r="H469" s="763"/>
      <c r="I469" s="780">
        <f t="shared" si="16"/>
        <v>0</v>
      </c>
      <c r="J469" s="186">
        <v>1134041</v>
      </c>
    </row>
    <row r="470" spans="1:10" s="186" customFormat="1" ht="12.75" hidden="1" customHeight="1">
      <c r="A470" s="775" t="s">
        <v>1262</v>
      </c>
      <c r="B470" s="775" t="s">
        <v>1943</v>
      </c>
      <c r="C470" s="776">
        <v>0</v>
      </c>
      <c r="D470" s="776">
        <v>0</v>
      </c>
      <c r="E470" s="776">
        <v>0</v>
      </c>
      <c r="F470" s="776">
        <v>0</v>
      </c>
      <c r="G470" s="776">
        <v>0</v>
      </c>
      <c r="H470" s="763"/>
      <c r="I470" s="780">
        <f t="shared" si="16"/>
        <v>0</v>
      </c>
      <c r="J470" s="186">
        <v>1134042</v>
      </c>
    </row>
    <row r="471" spans="1:10" s="186" customFormat="1" ht="13">
      <c r="A471" s="775" t="s">
        <v>1264</v>
      </c>
      <c r="B471" s="775" t="s">
        <v>1944</v>
      </c>
      <c r="C471" s="776">
        <v>0</v>
      </c>
      <c r="D471" s="776">
        <v>0</v>
      </c>
      <c r="E471" s="776">
        <v>0</v>
      </c>
      <c r="F471" s="776">
        <v>0</v>
      </c>
      <c r="G471" s="776">
        <v>0</v>
      </c>
      <c r="H471" s="763"/>
      <c r="I471" s="780">
        <f t="shared" si="16"/>
        <v>0</v>
      </c>
      <c r="J471" s="186">
        <v>1134043</v>
      </c>
    </row>
    <row r="472" spans="1:10" s="186" customFormat="1" ht="13">
      <c r="A472" s="775" t="s">
        <v>1266</v>
      </c>
      <c r="B472" s="775" t="s">
        <v>1945</v>
      </c>
      <c r="C472" s="776">
        <v>0</v>
      </c>
      <c r="D472" s="776">
        <v>0</v>
      </c>
      <c r="E472" s="776">
        <v>0</v>
      </c>
      <c r="F472" s="776">
        <v>0</v>
      </c>
      <c r="G472" s="776">
        <v>0</v>
      </c>
      <c r="H472" s="763"/>
      <c r="I472" s="780">
        <f t="shared" si="16"/>
        <v>0</v>
      </c>
      <c r="J472" s="186">
        <v>1134044</v>
      </c>
    </row>
    <row r="473" spans="1:10" s="186" customFormat="1" ht="13">
      <c r="A473" s="775" t="s">
        <v>1946</v>
      </c>
      <c r="B473" s="775" t="s">
        <v>1947</v>
      </c>
      <c r="C473" s="776">
        <v>0</v>
      </c>
      <c r="D473" s="776">
        <v>0</v>
      </c>
      <c r="E473" s="776">
        <v>0</v>
      </c>
      <c r="F473" s="776">
        <v>0</v>
      </c>
      <c r="G473" s="776">
        <v>0</v>
      </c>
      <c r="H473" s="763"/>
    </row>
    <row r="474" spans="1:10" s="186" customFormat="1" ht="13">
      <c r="A474" s="775" t="s">
        <v>1948</v>
      </c>
      <c r="B474" s="775" t="s">
        <v>1949</v>
      </c>
      <c r="C474" s="776">
        <v>0</v>
      </c>
      <c r="D474" s="776">
        <v>0</v>
      </c>
      <c r="E474" s="776">
        <v>0</v>
      </c>
      <c r="F474" s="776">
        <v>0</v>
      </c>
      <c r="G474" s="776">
        <v>0</v>
      </c>
      <c r="H474" s="763"/>
      <c r="I474" s="187">
        <v>1</v>
      </c>
      <c r="J474" s="186">
        <v>1134045</v>
      </c>
    </row>
    <row r="475" spans="1:10" s="186" customFormat="1" ht="13">
      <c r="A475" s="775" t="s">
        <v>1268</v>
      </c>
      <c r="B475" s="775" t="s">
        <v>1950</v>
      </c>
      <c r="C475" s="776">
        <v>2661.79</v>
      </c>
      <c r="D475" s="776">
        <v>8854.25</v>
      </c>
      <c r="E475" s="776">
        <v>3547.09</v>
      </c>
      <c r="F475" s="776">
        <v>800</v>
      </c>
      <c r="G475" s="776">
        <v>1200</v>
      </c>
      <c r="H475" s="763"/>
    </row>
    <row r="476" spans="1:10" s="186" customFormat="1" ht="13">
      <c r="A476" s="777" t="s">
        <v>1270</v>
      </c>
      <c r="B476" s="777" t="s">
        <v>1951</v>
      </c>
      <c r="C476" s="778">
        <v>71444.5</v>
      </c>
      <c r="D476" s="778">
        <v>84994.85</v>
      </c>
      <c r="E476" s="778">
        <v>57232.55</v>
      </c>
      <c r="F476" s="778">
        <v>55639.92</v>
      </c>
      <c r="G476" s="778">
        <v>76900</v>
      </c>
      <c r="H476" s="779"/>
      <c r="I476" s="187">
        <v>1</v>
      </c>
      <c r="J476" s="186">
        <v>1134046</v>
      </c>
    </row>
    <row r="477" spans="1:10" s="186" customFormat="1" ht="12.75" hidden="1" customHeight="1">
      <c r="A477" s="775"/>
      <c r="B477" s="775"/>
      <c r="C477" s="776"/>
      <c r="D477" s="776"/>
      <c r="E477" s="776"/>
      <c r="F477" s="776"/>
      <c r="G477" s="776"/>
      <c r="H477" s="763"/>
      <c r="I477" s="186">
        <f t="shared" ref="I477:I485" si="17">C477+D477+E477+F477+G477</f>
        <v>0</v>
      </c>
      <c r="J477" s="186">
        <v>1134047</v>
      </c>
    </row>
    <row r="478" spans="1:10" s="186" customFormat="1" ht="13">
      <c r="A478" s="269" t="s">
        <v>1272</v>
      </c>
      <c r="B478" s="269" t="s">
        <v>1952</v>
      </c>
      <c r="C478" s="270" t="s">
        <v>1483</v>
      </c>
      <c r="D478" s="270" t="s">
        <v>1483</v>
      </c>
      <c r="E478" s="270" t="s">
        <v>1483</v>
      </c>
      <c r="F478" s="270" t="s">
        <v>1483</v>
      </c>
      <c r="G478" s="270" t="s">
        <v>1483</v>
      </c>
      <c r="H478" s="713"/>
      <c r="I478" s="186" t="e" vm="1">
        <f t="shared" si="17"/>
        <v>#VALUE!</v>
      </c>
      <c r="J478" s="186">
        <v>1134048</v>
      </c>
    </row>
    <row r="479" spans="1:10" s="186" customFormat="1" ht="13">
      <c r="A479" s="775" t="s">
        <v>1274</v>
      </c>
      <c r="B479" s="775" t="s">
        <v>1953</v>
      </c>
      <c r="C479" s="776">
        <v>588409.25</v>
      </c>
      <c r="D479" s="776">
        <v>582446.37</v>
      </c>
      <c r="E479" s="776">
        <v>382336.38</v>
      </c>
      <c r="F479" s="776">
        <v>382336.38</v>
      </c>
      <c r="G479" s="776">
        <v>572950.62</v>
      </c>
      <c r="H479" s="763"/>
      <c r="I479" s="186">
        <f t="shared" si="17"/>
        <v>2508479</v>
      </c>
      <c r="J479" s="186">
        <v>1134049</v>
      </c>
    </row>
    <row r="480" spans="1:10" s="186" customFormat="1" ht="12.75" hidden="1" customHeight="1">
      <c r="A480" s="775" t="s">
        <v>323</v>
      </c>
      <c r="B480" s="775" t="s">
        <v>1954</v>
      </c>
      <c r="C480" s="776">
        <v>188474.23</v>
      </c>
      <c r="D480" s="776">
        <v>194437.11</v>
      </c>
      <c r="E480" s="776">
        <v>135585.94</v>
      </c>
      <c r="F480" s="776">
        <v>135585.94</v>
      </c>
      <c r="G480" s="776">
        <v>203932.86</v>
      </c>
      <c r="H480" s="763"/>
      <c r="I480" s="186">
        <f t="shared" si="17"/>
        <v>858016.08</v>
      </c>
      <c r="J480" s="186">
        <v>1134050</v>
      </c>
    </row>
    <row r="481" spans="1:10" s="186" customFormat="1" ht="12.75" hidden="1" customHeight="1">
      <c r="A481" s="775" t="s">
        <v>1276</v>
      </c>
      <c r="B481" s="775" t="s">
        <v>1955</v>
      </c>
      <c r="C481" s="776">
        <v>0</v>
      </c>
      <c r="D481" s="776">
        <v>0</v>
      </c>
      <c r="E481" s="776">
        <v>0</v>
      </c>
      <c r="F481" s="776">
        <v>0</v>
      </c>
      <c r="G481" s="776">
        <v>0</v>
      </c>
      <c r="H481" s="763"/>
      <c r="I481" s="186">
        <f t="shared" si="17"/>
        <v>0</v>
      </c>
      <c r="J481" s="186">
        <v>1134051</v>
      </c>
    </row>
    <row r="482" spans="1:10" s="186" customFormat="1" ht="12.75" hidden="1" customHeight="1">
      <c r="A482" s="775" t="s">
        <v>1278</v>
      </c>
      <c r="B482" s="775" t="s">
        <v>1956</v>
      </c>
      <c r="C482" s="776">
        <v>0</v>
      </c>
      <c r="D482" s="776">
        <v>0</v>
      </c>
      <c r="E482" s="776">
        <v>0</v>
      </c>
      <c r="F482" s="776">
        <v>0</v>
      </c>
      <c r="G482" s="776">
        <v>0</v>
      </c>
      <c r="H482" s="763"/>
      <c r="I482" s="186">
        <f t="shared" si="17"/>
        <v>0</v>
      </c>
      <c r="J482" s="186">
        <v>1134052</v>
      </c>
    </row>
    <row r="483" spans="1:10" s="186" customFormat="1" ht="12.75" hidden="1" customHeight="1">
      <c r="A483" s="775" t="s">
        <v>1280</v>
      </c>
      <c r="B483" s="775" t="s">
        <v>1957</v>
      </c>
      <c r="C483" s="776">
        <v>0</v>
      </c>
      <c r="D483" s="776">
        <v>0</v>
      </c>
      <c r="E483" s="776">
        <v>0</v>
      </c>
      <c r="F483" s="776">
        <v>0</v>
      </c>
      <c r="G483" s="776">
        <v>0</v>
      </c>
      <c r="H483" s="763"/>
      <c r="I483" s="186">
        <f t="shared" si="17"/>
        <v>0</v>
      </c>
      <c r="J483" s="186">
        <v>1134053</v>
      </c>
    </row>
    <row r="484" spans="1:10" s="186" customFormat="1" ht="12.75" hidden="1" customHeight="1">
      <c r="A484" s="775" t="s">
        <v>1282</v>
      </c>
      <c r="B484" s="775" t="s">
        <v>1958</v>
      </c>
      <c r="C484" s="776">
        <v>0</v>
      </c>
      <c r="D484" s="776">
        <v>0</v>
      </c>
      <c r="E484" s="776">
        <v>0</v>
      </c>
      <c r="F484" s="776">
        <v>0</v>
      </c>
      <c r="G484" s="776">
        <v>0</v>
      </c>
      <c r="H484" s="763"/>
      <c r="I484" s="186">
        <f t="shared" si="17"/>
        <v>0</v>
      </c>
      <c r="J484" s="186">
        <v>1134054</v>
      </c>
    </row>
    <row r="485" spans="1:10" s="186" customFormat="1" ht="13">
      <c r="A485" s="775" t="s">
        <v>1284</v>
      </c>
      <c r="B485" s="775" t="s">
        <v>1959</v>
      </c>
      <c r="C485" s="776">
        <v>0</v>
      </c>
      <c r="D485" s="776">
        <v>0</v>
      </c>
      <c r="E485" s="776">
        <v>74857.759999999995</v>
      </c>
      <c r="F485" s="776">
        <v>74858</v>
      </c>
      <c r="G485" s="776">
        <v>112287</v>
      </c>
      <c r="H485" s="763"/>
      <c r="I485" s="780">
        <f t="shared" si="17"/>
        <v>262002.76</v>
      </c>
      <c r="J485" s="186">
        <v>1134055</v>
      </c>
    </row>
    <row r="486" spans="1:10" s="186" customFormat="1" ht="13">
      <c r="A486" s="775" t="s">
        <v>1286</v>
      </c>
      <c r="B486" s="775" t="s">
        <v>1960</v>
      </c>
      <c r="C486" s="776">
        <v>0</v>
      </c>
      <c r="D486" s="776">
        <v>0</v>
      </c>
      <c r="E486" s="776">
        <v>0</v>
      </c>
      <c r="F486" s="776">
        <v>0</v>
      </c>
      <c r="G486" s="776">
        <v>0</v>
      </c>
      <c r="H486" s="763"/>
    </row>
    <row r="487" spans="1:10" s="186" customFormat="1" ht="13">
      <c r="A487" s="775" t="s">
        <v>1288</v>
      </c>
      <c r="B487" s="775" t="s">
        <v>1961</v>
      </c>
      <c r="C487" s="776">
        <v>0</v>
      </c>
      <c r="D487" s="776">
        <v>0</v>
      </c>
      <c r="E487" s="776">
        <v>0</v>
      </c>
      <c r="F487" s="776">
        <v>0</v>
      </c>
      <c r="G487" s="776">
        <v>0</v>
      </c>
      <c r="H487" s="763"/>
      <c r="I487" s="187">
        <v>1</v>
      </c>
      <c r="J487" s="186">
        <v>1134056</v>
      </c>
    </row>
    <row r="488" spans="1:10" s="186" customFormat="1" ht="12.75" customHeight="1">
      <c r="A488" s="775" t="s">
        <v>1290</v>
      </c>
      <c r="B488" s="775" t="s">
        <v>1962</v>
      </c>
      <c r="C488" s="776">
        <v>0</v>
      </c>
      <c r="D488" s="776">
        <v>0</v>
      </c>
      <c r="E488" s="776">
        <v>0</v>
      </c>
      <c r="F488" s="776">
        <v>0</v>
      </c>
      <c r="G488" s="776">
        <v>0</v>
      </c>
      <c r="H488" s="763"/>
      <c r="I488" s="186">
        <f t="shared" ref="I488:I519" si="18">C488+D488+E488+F488+G488</f>
        <v>0</v>
      </c>
      <c r="J488" s="186">
        <v>1134057</v>
      </c>
    </row>
    <row r="489" spans="1:10" s="186" customFormat="1" ht="12.75" customHeight="1">
      <c r="A489" s="775" t="s">
        <v>1292</v>
      </c>
      <c r="B489" s="775" t="s">
        <v>1963</v>
      </c>
      <c r="C489" s="776">
        <v>0</v>
      </c>
      <c r="D489" s="776">
        <v>0</v>
      </c>
      <c r="E489" s="776">
        <v>0</v>
      </c>
      <c r="F489" s="776">
        <v>0</v>
      </c>
      <c r="G489" s="776">
        <v>0</v>
      </c>
      <c r="H489" s="763"/>
      <c r="I489" s="186">
        <f t="shared" si="18"/>
        <v>0</v>
      </c>
      <c r="J489" s="186">
        <v>1134058</v>
      </c>
    </row>
    <row r="490" spans="1:10" s="186" customFormat="1" ht="13">
      <c r="A490" s="775" t="s">
        <v>1294</v>
      </c>
      <c r="B490" s="775" t="s">
        <v>1964</v>
      </c>
      <c r="C490" s="776">
        <v>0</v>
      </c>
      <c r="D490" s="776">
        <v>0</v>
      </c>
      <c r="E490" s="776">
        <v>0</v>
      </c>
      <c r="F490" s="776">
        <v>0</v>
      </c>
      <c r="G490" s="776">
        <v>0</v>
      </c>
      <c r="H490" s="763"/>
      <c r="I490" s="186">
        <f t="shared" si="18"/>
        <v>0</v>
      </c>
      <c r="J490" s="186">
        <v>1134059</v>
      </c>
    </row>
    <row r="491" spans="1:10" s="186" customFormat="1" ht="13">
      <c r="A491" s="775" t="s">
        <v>1296</v>
      </c>
      <c r="B491" s="775" t="s">
        <v>1965</v>
      </c>
      <c r="C491" s="776">
        <v>0</v>
      </c>
      <c r="D491" s="776">
        <v>0</v>
      </c>
      <c r="E491" s="776">
        <v>0</v>
      </c>
      <c r="F491" s="776">
        <v>0</v>
      </c>
      <c r="G491" s="776">
        <v>0</v>
      </c>
      <c r="H491" s="763"/>
      <c r="I491" s="186">
        <f t="shared" si="18"/>
        <v>0</v>
      </c>
      <c r="J491" s="186">
        <v>1134060</v>
      </c>
    </row>
    <row r="492" spans="1:10" s="186" customFormat="1" ht="13">
      <c r="A492" s="775" t="s">
        <v>1298</v>
      </c>
      <c r="B492" s="775" t="s">
        <v>1966</v>
      </c>
      <c r="C492" s="776">
        <v>0</v>
      </c>
      <c r="D492" s="776">
        <v>0</v>
      </c>
      <c r="E492" s="776">
        <v>0</v>
      </c>
      <c r="F492" s="776">
        <v>0</v>
      </c>
      <c r="G492" s="776">
        <v>0</v>
      </c>
      <c r="H492" s="763"/>
      <c r="I492" s="186">
        <f t="shared" si="18"/>
        <v>0</v>
      </c>
      <c r="J492" s="186">
        <v>1134061</v>
      </c>
    </row>
    <row r="493" spans="1:10" s="186" customFormat="1" ht="13">
      <c r="A493" s="775" t="s">
        <v>1300</v>
      </c>
      <c r="B493" s="775" t="s">
        <v>1967</v>
      </c>
      <c r="C493" s="776">
        <v>0</v>
      </c>
      <c r="D493" s="776">
        <v>0</v>
      </c>
      <c r="E493" s="776">
        <v>0</v>
      </c>
      <c r="F493" s="776">
        <v>0</v>
      </c>
      <c r="G493" s="776">
        <v>0</v>
      </c>
      <c r="H493" s="763"/>
      <c r="I493" s="186">
        <f t="shared" si="18"/>
        <v>0</v>
      </c>
      <c r="J493" s="186">
        <v>1134062</v>
      </c>
    </row>
    <row r="494" spans="1:10" s="186" customFormat="1" ht="12.75" hidden="1" customHeight="1">
      <c r="A494" s="775" t="s">
        <v>1302</v>
      </c>
      <c r="B494" s="775" t="s">
        <v>1968</v>
      </c>
      <c r="C494" s="776">
        <v>0</v>
      </c>
      <c r="D494" s="776">
        <v>0</v>
      </c>
      <c r="E494" s="776">
        <v>1250</v>
      </c>
      <c r="F494" s="776">
        <v>0</v>
      </c>
      <c r="G494" s="776">
        <v>0</v>
      </c>
      <c r="H494" s="763"/>
      <c r="I494" s="186">
        <f t="shared" si="18"/>
        <v>1250</v>
      </c>
      <c r="J494" s="186">
        <v>1134063</v>
      </c>
    </row>
    <row r="495" spans="1:10" s="186" customFormat="1" ht="13">
      <c r="A495" s="775" t="s">
        <v>325</v>
      </c>
      <c r="B495" s="775" t="s">
        <v>1969</v>
      </c>
      <c r="C495" s="776">
        <v>1250</v>
      </c>
      <c r="D495" s="776">
        <v>1250</v>
      </c>
      <c r="E495" s="776">
        <v>0</v>
      </c>
      <c r="F495" s="776">
        <v>1250</v>
      </c>
      <c r="G495" s="776">
        <v>1250</v>
      </c>
      <c r="H495" s="763"/>
      <c r="I495" s="186">
        <f t="shared" si="18"/>
        <v>5000</v>
      </c>
      <c r="J495" s="186">
        <v>1134064</v>
      </c>
    </row>
    <row r="496" spans="1:10" s="186" customFormat="1" ht="13">
      <c r="A496" s="775" t="s">
        <v>327</v>
      </c>
      <c r="B496" s="775" t="s">
        <v>1970</v>
      </c>
      <c r="C496" s="776">
        <v>0</v>
      </c>
      <c r="D496" s="776">
        <v>0</v>
      </c>
      <c r="E496" s="776">
        <v>0</v>
      </c>
      <c r="F496" s="776">
        <v>0</v>
      </c>
      <c r="G496" s="776">
        <v>0</v>
      </c>
      <c r="H496" s="763"/>
      <c r="I496" s="186">
        <f t="shared" si="18"/>
        <v>0</v>
      </c>
      <c r="J496" s="186">
        <v>1134065</v>
      </c>
    </row>
    <row r="497" spans="1:10" s="186" customFormat="1" ht="13">
      <c r="A497" s="777" t="s">
        <v>1304</v>
      </c>
      <c r="B497" s="777" t="s">
        <v>1971</v>
      </c>
      <c r="C497" s="778">
        <v>778133.48</v>
      </c>
      <c r="D497" s="778">
        <v>778133.48</v>
      </c>
      <c r="E497" s="778">
        <v>594030.07999999996</v>
      </c>
      <c r="F497" s="778">
        <v>594030.31999999995</v>
      </c>
      <c r="G497" s="778">
        <v>890420.48</v>
      </c>
      <c r="H497" s="779"/>
      <c r="I497" s="186">
        <f t="shared" si="18"/>
        <v>3634747.84</v>
      </c>
      <c r="J497" s="186">
        <v>1134066</v>
      </c>
    </row>
    <row r="498" spans="1:10" s="186" customFormat="1" ht="12.75" customHeight="1">
      <c r="A498" s="777" t="s">
        <v>1306</v>
      </c>
      <c r="B498" s="777" t="s">
        <v>1972</v>
      </c>
      <c r="C498" s="778">
        <v>5538228.9500000002</v>
      </c>
      <c r="D498" s="778">
        <v>5810737.4199999999</v>
      </c>
      <c r="E498" s="778">
        <v>4598980.6500000004</v>
      </c>
      <c r="F498" s="778">
        <v>4582233.25</v>
      </c>
      <c r="G498" s="778">
        <v>6130877.0800000001</v>
      </c>
      <c r="H498" s="779"/>
      <c r="I498" s="186">
        <f t="shared" si="18"/>
        <v>26661057.350000001</v>
      </c>
      <c r="J498" s="186">
        <v>1134067</v>
      </c>
    </row>
    <row r="499" spans="1:10" s="186" customFormat="1" ht="12.75" customHeight="1">
      <c r="A499" s="777" t="s">
        <v>1309</v>
      </c>
      <c r="B499" s="777" t="s">
        <v>1843</v>
      </c>
      <c r="C499" s="778">
        <v>11359193.15</v>
      </c>
      <c r="D499" s="778">
        <v>11601950.960000001</v>
      </c>
      <c r="E499" s="778">
        <v>8776440.6699999999</v>
      </c>
      <c r="F499" s="778">
        <v>8610629.5700000003</v>
      </c>
      <c r="G499" s="778">
        <v>12101847.08</v>
      </c>
      <c r="H499" s="779"/>
      <c r="I499" s="186">
        <f t="shared" si="18"/>
        <v>52450061.43</v>
      </c>
      <c r="J499" s="186">
        <v>1134068</v>
      </c>
    </row>
    <row r="500" spans="1:10" s="186" customFormat="1" ht="13">
      <c r="A500" s="777" t="s">
        <v>1311</v>
      </c>
      <c r="B500" s="777" t="s">
        <v>1973</v>
      </c>
      <c r="C500" s="778">
        <v>11359193.15</v>
      </c>
      <c r="D500" s="778">
        <v>11601950.960000001</v>
      </c>
      <c r="E500" s="778">
        <v>8776440.6699999999</v>
      </c>
      <c r="F500" s="778">
        <v>8610629.5700000003</v>
      </c>
      <c r="G500" s="778">
        <v>12101847.08</v>
      </c>
      <c r="H500" s="779"/>
      <c r="I500" s="186">
        <f t="shared" si="18"/>
        <v>52450061.43</v>
      </c>
      <c r="J500" s="186">
        <v>1134069</v>
      </c>
    </row>
    <row r="501" spans="1:10" s="186" customFormat="1" ht="12.75" customHeight="1">
      <c r="A501" s="777" t="s">
        <v>1499</v>
      </c>
      <c r="B501" s="777" t="s">
        <v>1973</v>
      </c>
      <c r="C501" s="778">
        <v>8448711.0500000007</v>
      </c>
      <c r="D501" s="778">
        <v>8706344.1899999995</v>
      </c>
      <c r="E501" s="778">
        <v>6687710.6600000001</v>
      </c>
      <c r="F501" s="778">
        <v>6596431.4100000001</v>
      </c>
      <c r="G501" s="778">
        <v>9116362.0800000001</v>
      </c>
      <c r="H501" s="779"/>
      <c r="I501" s="186">
        <f t="shared" si="18"/>
        <v>39555559.390000001</v>
      </c>
      <c r="J501" s="186">
        <v>1134070</v>
      </c>
    </row>
    <row r="502" spans="1:10" s="186" customFormat="1" ht="12.75" customHeight="1">
      <c r="A502" s="777" t="s">
        <v>1499</v>
      </c>
      <c r="B502" s="777" t="s">
        <v>1974</v>
      </c>
      <c r="C502" s="778">
        <v>954854.19</v>
      </c>
      <c r="D502" s="778">
        <v>852001.77</v>
      </c>
      <c r="E502" s="778">
        <v>-38400.019999999997</v>
      </c>
      <c r="F502" s="778">
        <v>-717783.69</v>
      </c>
      <c r="G502" s="778">
        <v>-1.08</v>
      </c>
      <c r="H502" s="779"/>
      <c r="I502" s="186">
        <f t="shared" si="18"/>
        <v>1050671.17</v>
      </c>
      <c r="J502" s="186">
        <v>1134071</v>
      </c>
    </row>
    <row r="503" spans="1:10" s="186" customFormat="1" ht="13">
      <c r="A503" s="775"/>
      <c r="B503" s="775"/>
      <c r="C503" s="776"/>
      <c r="D503" s="776"/>
      <c r="E503" s="776"/>
      <c r="F503" s="776"/>
      <c r="G503" s="776"/>
      <c r="H503" s="763"/>
      <c r="I503" s="186">
        <f t="shared" si="18"/>
        <v>0</v>
      </c>
      <c r="J503" s="186">
        <v>1134072</v>
      </c>
    </row>
    <row r="504" spans="1:10" s="186" customFormat="1" ht="13">
      <c r="A504" s="269" t="s">
        <v>1313</v>
      </c>
      <c r="B504" s="269" t="s">
        <v>1975</v>
      </c>
      <c r="C504" s="270" t="s">
        <v>1483</v>
      </c>
      <c r="D504" s="270" t="s">
        <v>1483</v>
      </c>
      <c r="E504" s="270" t="s">
        <v>1483</v>
      </c>
      <c r="F504" s="270" t="s">
        <v>1483</v>
      </c>
      <c r="G504" s="270" t="s">
        <v>1483</v>
      </c>
      <c r="H504" s="713"/>
      <c r="I504" s="186" t="e" vm="1">
        <f t="shared" si="18"/>
        <v>#VALUE!</v>
      </c>
      <c r="J504" s="186">
        <v>1134073</v>
      </c>
    </row>
    <row r="505" spans="1:10" s="186" customFormat="1" ht="12.75" customHeight="1">
      <c r="A505" s="775"/>
      <c r="B505" s="775"/>
      <c r="C505" s="776"/>
      <c r="D505" s="776"/>
      <c r="E505" s="776"/>
      <c r="F505" s="776"/>
      <c r="G505" s="776"/>
      <c r="H505" s="763"/>
      <c r="I505" s="186">
        <f t="shared" si="18"/>
        <v>0</v>
      </c>
      <c r="J505" s="186">
        <v>1134074</v>
      </c>
    </row>
    <row r="506" spans="1:10" s="186" customFormat="1" ht="13">
      <c r="A506" s="269" t="s">
        <v>1315</v>
      </c>
      <c r="B506" s="269" t="s">
        <v>1976</v>
      </c>
      <c r="C506" s="270" t="s">
        <v>1483</v>
      </c>
      <c r="D506" s="270" t="s">
        <v>1483</v>
      </c>
      <c r="E506" s="270" t="s">
        <v>1483</v>
      </c>
      <c r="F506" s="270" t="s">
        <v>1483</v>
      </c>
      <c r="G506" s="270" t="s">
        <v>1483</v>
      </c>
      <c r="H506" s="713"/>
      <c r="I506" s="186" t="e" vm="1">
        <f t="shared" si="18"/>
        <v>#VALUE!</v>
      </c>
      <c r="J506" s="186">
        <v>1134075</v>
      </c>
    </row>
    <row r="507" spans="1:10" s="186" customFormat="1" ht="12.75" customHeight="1">
      <c r="A507" s="775" t="s">
        <v>648</v>
      </c>
      <c r="B507" s="775" t="s">
        <v>1977</v>
      </c>
      <c r="C507" s="776">
        <v>0</v>
      </c>
      <c r="D507" s="776">
        <v>0</v>
      </c>
      <c r="E507" s="776">
        <v>0</v>
      </c>
      <c r="F507" s="776">
        <v>0</v>
      </c>
      <c r="G507" s="776">
        <v>0</v>
      </c>
      <c r="H507" s="763"/>
      <c r="I507" s="186">
        <f t="shared" si="18"/>
        <v>0</v>
      </c>
      <c r="J507" s="186">
        <v>1134076</v>
      </c>
    </row>
    <row r="508" spans="1:10" s="186" customFormat="1" ht="12.75" customHeight="1">
      <c r="A508" s="775" t="s">
        <v>1317</v>
      </c>
      <c r="B508" s="775" t="s">
        <v>1978</v>
      </c>
      <c r="C508" s="776">
        <v>0</v>
      </c>
      <c r="D508" s="776">
        <v>0</v>
      </c>
      <c r="E508" s="776">
        <v>0</v>
      </c>
      <c r="F508" s="776">
        <v>0</v>
      </c>
      <c r="G508" s="776">
        <v>0</v>
      </c>
      <c r="H508" s="763"/>
      <c r="I508" s="186">
        <f t="shared" si="18"/>
        <v>0</v>
      </c>
      <c r="J508" s="186">
        <v>1134077</v>
      </c>
    </row>
    <row r="509" spans="1:10" s="186" customFormat="1" ht="12.75" customHeight="1">
      <c r="A509" s="775" t="s">
        <v>1319</v>
      </c>
      <c r="B509" s="775" t="s">
        <v>1979</v>
      </c>
      <c r="C509" s="776">
        <v>0</v>
      </c>
      <c r="D509" s="776">
        <v>0</v>
      </c>
      <c r="E509" s="776">
        <v>0</v>
      </c>
      <c r="F509" s="776">
        <v>0</v>
      </c>
      <c r="G509" s="776">
        <v>0</v>
      </c>
      <c r="H509" s="763"/>
      <c r="I509" s="186">
        <f t="shared" si="18"/>
        <v>0</v>
      </c>
      <c r="J509" s="186">
        <v>1134078</v>
      </c>
    </row>
    <row r="510" spans="1:10" s="186" customFormat="1" ht="12.75" customHeight="1">
      <c r="A510" s="775" t="s">
        <v>1321</v>
      </c>
      <c r="B510" s="775" t="s">
        <v>1980</v>
      </c>
      <c r="C510" s="776">
        <v>0</v>
      </c>
      <c r="D510" s="776">
        <v>0</v>
      </c>
      <c r="E510" s="776">
        <v>0</v>
      </c>
      <c r="F510" s="776">
        <v>0</v>
      </c>
      <c r="G510" s="776">
        <v>0</v>
      </c>
      <c r="H510" s="763"/>
      <c r="I510" s="186">
        <f t="shared" si="18"/>
        <v>0</v>
      </c>
      <c r="J510" s="186">
        <v>1134079</v>
      </c>
    </row>
    <row r="511" spans="1:10" s="186" customFormat="1" ht="12.75" customHeight="1">
      <c r="A511" s="775" t="s">
        <v>1323</v>
      </c>
      <c r="B511" s="775" t="s">
        <v>1981</v>
      </c>
      <c r="C511" s="776">
        <v>0</v>
      </c>
      <c r="D511" s="776">
        <v>0</v>
      </c>
      <c r="E511" s="776">
        <v>0</v>
      </c>
      <c r="F511" s="776">
        <v>0</v>
      </c>
      <c r="G511" s="776">
        <v>0</v>
      </c>
      <c r="H511" s="763"/>
      <c r="I511" s="186">
        <f t="shared" si="18"/>
        <v>0</v>
      </c>
      <c r="J511" s="186">
        <v>1134080</v>
      </c>
    </row>
    <row r="512" spans="1:10" s="186" customFormat="1" ht="13">
      <c r="A512" s="775" t="s">
        <v>1329</v>
      </c>
      <c r="B512" s="775" t="s">
        <v>1982</v>
      </c>
      <c r="C512" s="776">
        <v>0</v>
      </c>
      <c r="D512" s="776">
        <v>-1010715.88</v>
      </c>
      <c r="E512" s="776">
        <v>-22958.17</v>
      </c>
      <c r="F512" s="776">
        <v>0</v>
      </c>
      <c r="G512" s="776">
        <v>0</v>
      </c>
      <c r="H512" s="763"/>
      <c r="I512" s="186">
        <f t="shared" si="18"/>
        <v>-1033674.05</v>
      </c>
      <c r="J512" s="186">
        <v>1134081</v>
      </c>
    </row>
    <row r="513" spans="1:10" s="186" customFormat="1" ht="12.75" customHeight="1">
      <c r="A513" s="775" t="s">
        <v>1325</v>
      </c>
      <c r="B513" s="775" t="s">
        <v>1983</v>
      </c>
      <c r="C513" s="776">
        <v>0</v>
      </c>
      <c r="D513" s="776">
        <v>0</v>
      </c>
      <c r="E513" s="776">
        <v>0</v>
      </c>
      <c r="F513" s="776">
        <v>0</v>
      </c>
      <c r="G513" s="776">
        <v>0</v>
      </c>
      <c r="H513" s="763"/>
      <c r="I513" s="186">
        <f t="shared" si="18"/>
        <v>0</v>
      </c>
      <c r="J513" s="186">
        <v>1134082</v>
      </c>
    </row>
    <row r="514" spans="1:10" s="186" customFormat="1" ht="13">
      <c r="A514" s="775" t="s">
        <v>353</v>
      </c>
      <c r="B514" s="775" t="s">
        <v>1984</v>
      </c>
      <c r="C514" s="776">
        <v>0</v>
      </c>
      <c r="D514" s="776">
        <v>0</v>
      </c>
      <c r="E514" s="776">
        <v>0</v>
      </c>
      <c r="F514" s="776">
        <v>0</v>
      </c>
      <c r="G514" s="776">
        <v>0</v>
      </c>
      <c r="H514" s="763"/>
      <c r="I514" s="186">
        <f t="shared" si="18"/>
        <v>0</v>
      </c>
      <c r="J514" s="186">
        <v>1134083</v>
      </c>
    </row>
    <row r="515" spans="1:10" s="186" customFormat="1" ht="12.75" customHeight="1">
      <c r="A515" s="775" t="s">
        <v>355</v>
      </c>
      <c r="B515" s="775" t="s">
        <v>1985</v>
      </c>
      <c r="C515" s="776">
        <v>0</v>
      </c>
      <c r="D515" s="776">
        <v>0</v>
      </c>
      <c r="E515" s="776">
        <v>0</v>
      </c>
      <c r="F515" s="776">
        <v>0</v>
      </c>
      <c r="G515" s="776">
        <v>0</v>
      </c>
      <c r="H515" s="763"/>
      <c r="I515" s="186">
        <f t="shared" si="18"/>
        <v>0</v>
      </c>
      <c r="J515" s="186">
        <v>1134084</v>
      </c>
    </row>
    <row r="516" spans="1:10" s="186" customFormat="1" ht="12.75" customHeight="1">
      <c r="A516" s="775" t="s">
        <v>1331</v>
      </c>
      <c r="B516" s="775" t="s">
        <v>1986</v>
      </c>
      <c r="C516" s="776">
        <v>0</v>
      </c>
      <c r="D516" s="776">
        <v>0</v>
      </c>
      <c r="E516" s="776">
        <v>0</v>
      </c>
      <c r="F516" s="776">
        <v>0</v>
      </c>
      <c r="G516" s="776">
        <v>0</v>
      </c>
      <c r="H516" s="763"/>
      <c r="I516" s="186">
        <f t="shared" si="18"/>
        <v>0</v>
      </c>
      <c r="J516" s="186">
        <v>1134085</v>
      </c>
    </row>
    <row r="517" spans="1:10" s="186" customFormat="1" ht="13">
      <c r="A517" s="777" t="s">
        <v>1333</v>
      </c>
      <c r="B517" s="777" t="s">
        <v>1987</v>
      </c>
      <c r="C517" s="778">
        <v>0</v>
      </c>
      <c r="D517" s="778">
        <v>1010715.88</v>
      </c>
      <c r="E517" s="778">
        <v>22958.17</v>
      </c>
      <c r="F517" s="778">
        <v>0</v>
      </c>
      <c r="G517" s="778">
        <v>0</v>
      </c>
      <c r="H517" s="779"/>
      <c r="I517" s="186">
        <f t="shared" si="18"/>
        <v>1033674.05</v>
      </c>
      <c r="J517" s="186">
        <v>1134086</v>
      </c>
    </row>
    <row r="518" spans="1:10" s="186" customFormat="1" ht="12.75" customHeight="1">
      <c r="A518" s="775"/>
      <c r="B518" s="775"/>
      <c r="C518" s="776"/>
      <c r="D518" s="776"/>
      <c r="E518" s="776"/>
      <c r="F518" s="776"/>
      <c r="G518" s="776"/>
      <c r="H518" s="763"/>
      <c r="I518" s="186">
        <f t="shared" si="18"/>
        <v>0</v>
      </c>
      <c r="J518" s="186">
        <v>1134087</v>
      </c>
    </row>
    <row r="519" spans="1:10" s="186" customFormat="1" ht="13">
      <c r="A519" s="269" t="s">
        <v>1335</v>
      </c>
      <c r="B519" s="269" t="s">
        <v>1988</v>
      </c>
      <c r="C519" s="270" t="s">
        <v>1483</v>
      </c>
      <c r="D519" s="270" t="s">
        <v>1483</v>
      </c>
      <c r="E519" s="270" t="s">
        <v>1483</v>
      </c>
      <c r="F519" s="270" t="s">
        <v>1483</v>
      </c>
      <c r="G519" s="270" t="s">
        <v>1483</v>
      </c>
      <c r="H519" s="713"/>
      <c r="I519" s="186" t="e" vm="1">
        <f t="shared" si="18"/>
        <v>#VALUE!</v>
      </c>
      <c r="J519" s="186">
        <v>1134088</v>
      </c>
    </row>
    <row r="520" spans="1:10" s="186" customFormat="1" ht="13">
      <c r="A520" s="775" t="s">
        <v>1337</v>
      </c>
      <c r="B520" s="775" t="s">
        <v>1989</v>
      </c>
      <c r="C520" s="776">
        <v>28307.5</v>
      </c>
      <c r="D520" s="776">
        <v>0</v>
      </c>
      <c r="E520" s="776">
        <v>0</v>
      </c>
      <c r="F520" s="776">
        <v>0</v>
      </c>
      <c r="G520" s="776">
        <v>0</v>
      </c>
      <c r="H520" s="763"/>
      <c r="I520" s="186">
        <f t="shared" ref="I520:I551" si="19">C520+D520+E520+F520+G520</f>
        <v>28307.5</v>
      </c>
      <c r="J520" s="186">
        <v>1134089</v>
      </c>
    </row>
    <row r="521" spans="1:10" s="186" customFormat="1" ht="13">
      <c r="A521" s="775" t="s">
        <v>1339</v>
      </c>
      <c r="B521" s="775" t="s">
        <v>1990</v>
      </c>
      <c r="C521" s="776">
        <v>9468.86</v>
      </c>
      <c r="D521" s="776">
        <v>36534.89</v>
      </c>
      <c r="E521" s="776">
        <v>0</v>
      </c>
      <c r="F521" s="776">
        <v>0</v>
      </c>
      <c r="G521" s="776">
        <v>0</v>
      </c>
      <c r="H521" s="763"/>
      <c r="I521" s="186">
        <f t="shared" si="19"/>
        <v>46003.75</v>
      </c>
      <c r="J521" s="186">
        <v>1134090</v>
      </c>
    </row>
    <row r="522" spans="1:10" s="186" customFormat="1" ht="12.75" customHeight="1">
      <c r="A522" s="775" t="s">
        <v>1341</v>
      </c>
      <c r="B522" s="775" t="s">
        <v>1991</v>
      </c>
      <c r="C522" s="776">
        <v>48103.5</v>
      </c>
      <c r="D522" s="776">
        <v>0</v>
      </c>
      <c r="E522" s="776">
        <v>0</v>
      </c>
      <c r="F522" s="776">
        <v>0</v>
      </c>
      <c r="G522" s="776">
        <v>0</v>
      </c>
      <c r="H522" s="763"/>
      <c r="I522" s="186">
        <f t="shared" si="19"/>
        <v>48103.5</v>
      </c>
      <c r="J522" s="186">
        <v>1134091</v>
      </c>
    </row>
    <row r="523" spans="1:10" s="186" customFormat="1" ht="12.75" customHeight="1">
      <c r="A523" s="775" t="s">
        <v>1343</v>
      </c>
      <c r="B523" s="775" t="s">
        <v>1992</v>
      </c>
      <c r="C523" s="776">
        <v>0</v>
      </c>
      <c r="D523" s="776">
        <v>5764.93</v>
      </c>
      <c r="E523" s="776">
        <v>8960.41</v>
      </c>
      <c r="F523" s="776">
        <v>0</v>
      </c>
      <c r="G523" s="776">
        <v>0</v>
      </c>
      <c r="H523" s="763"/>
      <c r="I523" s="186">
        <f t="shared" si="19"/>
        <v>14725.34</v>
      </c>
      <c r="J523" s="186">
        <v>1134092</v>
      </c>
    </row>
    <row r="524" spans="1:10" s="186" customFormat="1" ht="12.75" customHeight="1">
      <c r="A524" s="775" t="s">
        <v>1345</v>
      </c>
      <c r="B524" s="775" t="s">
        <v>1993</v>
      </c>
      <c r="C524" s="776">
        <v>0</v>
      </c>
      <c r="D524" s="776">
        <v>0</v>
      </c>
      <c r="E524" s="776">
        <v>0</v>
      </c>
      <c r="F524" s="776">
        <v>0</v>
      </c>
      <c r="G524" s="776">
        <v>0</v>
      </c>
      <c r="H524" s="763"/>
      <c r="I524" s="186">
        <f t="shared" si="19"/>
        <v>0</v>
      </c>
      <c r="J524" s="186">
        <v>1134093</v>
      </c>
    </row>
    <row r="525" spans="1:10" s="186" customFormat="1" ht="12.75" customHeight="1">
      <c r="A525" s="775" t="s">
        <v>1347</v>
      </c>
      <c r="B525" s="775" t="s">
        <v>1994</v>
      </c>
      <c r="C525" s="776">
        <v>34800</v>
      </c>
      <c r="D525" s="776">
        <v>0</v>
      </c>
      <c r="E525" s="776">
        <v>0</v>
      </c>
      <c r="F525" s="776">
        <v>0</v>
      </c>
      <c r="G525" s="776">
        <v>0</v>
      </c>
      <c r="H525" s="763"/>
      <c r="I525" s="186">
        <f t="shared" si="19"/>
        <v>34800</v>
      </c>
      <c r="J525" s="186">
        <v>1134094</v>
      </c>
    </row>
    <row r="526" spans="1:10" s="186" customFormat="1" ht="12.75" customHeight="1">
      <c r="A526" s="775" t="s">
        <v>1349</v>
      </c>
      <c r="B526" s="775" t="s">
        <v>1995</v>
      </c>
      <c r="C526" s="776">
        <v>0</v>
      </c>
      <c r="D526" s="776">
        <v>0</v>
      </c>
      <c r="E526" s="776">
        <v>0</v>
      </c>
      <c r="F526" s="776">
        <v>0</v>
      </c>
      <c r="G526" s="776">
        <v>0</v>
      </c>
      <c r="H526" s="763"/>
      <c r="I526" s="186">
        <f t="shared" si="19"/>
        <v>0</v>
      </c>
      <c r="J526" s="186">
        <v>1134095</v>
      </c>
    </row>
    <row r="527" spans="1:10" s="186" customFormat="1" ht="13">
      <c r="A527" s="775" t="s">
        <v>1351</v>
      </c>
      <c r="B527" s="775" t="s">
        <v>1996</v>
      </c>
      <c r="C527" s="776">
        <v>3429.56</v>
      </c>
      <c r="D527" s="776">
        <v>33511.56</v>
      </c>
      <c r="E527" s="776">
        <v>43550</v>
      </c>
      <c r="F527" s="776">
        <v>0</v>
      </c>
      <c r="G527" s="776">
        <v>0</v>
      </c>
      <c r="H527" s="763"/>
      <c r="I527" s="186">
        <f t="shared" si="19"/>
        <v>80491.12</v>
      </c>
      <c r="J527" s="186">
        <v>1134096</v>
      </c>
    </row>
    <row r="528" spans="1:10" s="186" customFormat="1" ht="12.75" customHeight="1">
      <c r="A528" s="775" t="s">
        <v>1353</v>
      </c>
      <c r="B528" s="775" t="s">
        <v>1997</v>
      </c>
      <c r="C528" s="776">
        <v>11329.66</v>
      </c>
      <c r="D528" s="776">
        <v>646734.85</v>
      </c>
      <c r="E528" s="776">
        <v>33355.699999999997</v>
      </c>
      <c r="F528" s="776">
        <v>0</v>
      </c>
      <c r="G528" s="776">
        <v>0</v>
      </c>
      <c r="H528" s="763"/>
      <c r="I528" s="186">
        <f t="shared" si="19"/>
        <v>691420.21</v>
      </c>
      <c r="J528" s="186">
        <v>1134097</v>
      </c>
    </row>
    <row r="529" spans="1:10" s="186" customFormat="1" ht="12.75" customHeight="1">
      <c r="A529" s="775" t="s">
        <v>1355</v>
      </c>
      <c r="B529" s="775" t="s">
        <v>1998</v>
      </c>
      <c r="C529" s="776">
        <v>0</v>
      </c>
      <c r="D529" s="776">
        <v>9240</v>
      </c>
      <c r="E529" s="776">
        <v>3400</v>
      </c>
      <c r="F529" s="776">
        <v>0</v>
      </c>
      <c r="G529" s="776">
        <v>0</v>
      </c>
      <c r="H529" s="763"/>
      <c r="I529" s="186">
        <f t="shared" si="19"/>
        <v>12640</v>
      </c>
      <c r="J529" s="186">
        <v>1134098</v>
      </c>
    </row>
    <row r="530" spans="1:10" s="186" customFormat="1" ht="12.75" customHeight="1">
      <c r="A530" s="775" t="s">
        <v>1357</v>
      </c>
      <c r="B530" s="775" t="s">
        <v>1999</v>
      </c>
      <c r="C530" s="776">
        <v>28000</v>
      </c>
      <c r="D530" s="776">
        <v>294386.8</v>
      </c>
      <c r="E530" s="776">
        <v>67900</v>
      </c>
      <c r="F530" s="776">
        <v>0</v>
      </c>
      <c r="G530" s="776">
        <v>0</v>
      </c>
      <c r="H530" s="763"/>
      <c r="I530" s="186">
        <f t="shared" si="19"/>
        <v>390286.8</v>
      </c>
      <c r="J530" s="186">
        <v>1134099</v>
      </c>
    </row>
    <row r="531" spans="1:10" s="186" customFormat="1" ht="12.75" customHeight="1">
      <c r="A531" s="775" t="s">
        <v>1359</v>
      </c>
      <c r="B531" s="775" t="s">
        <v>2000</v>
      </c>
      <c r="C531" s="776">
        <v>0</v>
      </c>
      <c r="D531" s="776">
        <v>0</v>
      </c>
      <c r="E531" s="776">
        <v>0</v>
      </c>
      <c r="F531" s="776">
        <v>0</v>
      </c>
      <c r="G531" s="776">
        <v>0</v>
      </c>
      <c r="H531" s="763"/>
      <c r="I531" s="186">
        <f t="shared" si="19"/>
        <v>0</v>
      </c>
      <c r="J531" s="186">
        <v>1134100</v>
      </c>
    </row>
    <row r="532" spans="1:10" s="186" customFormat="1" ht="12.75" customHeight="1">
      <c r="A532" s="775" t="s">
        <v>1361</v>
      </c>
      <c r="B532" s="775" t="s">
        <v>2001</v>
      </c>
      <c r="C532" s="776">
        <v>65188.95</v>
      </c>
      <c r="D532" s="776">
        <v>93152.25</v>
      </c>
      <c r="E532" s="776">
        <v>15362.58</v>
      </c>
      <c r="F532" s="776">
        <v>0</v>
      </c>
      <c r="G532" s="776">
        <v>0</v>
      </c>
      <c r="H532" s="763"/>
      <c r="I532" s="186">
        <f t="shared" si="19"/>
        <v>173703.78</v>
      </c>
      <c r="J532" s="186">
        <v>1134101</v>
      </c>
    </row>
    <row r="533" spans="1:10" s="186" customFormat="1" ht="12.75" customHeight="1">
      <c r="A533" s="775" t="s">
        <v>1363</v>
      </c>
      <c r="B533" s="775" t="s">
        <v>2002</v>
      </c>
      <c r="C533" s="776">
        <v>0</v>
      </c>
      <c r="D533" s="776">
        <v>0</v>
      </c>
      <c r="E533" s="776">
        <v>0</v>
      </c>
      <c r="F533" s="776">
        <v>0</v>
      </c>
      <c r="G533" s="776">
        <v>0</v>
      </c>
      <c r="H533" s="763"/>
      <c r="I533" s="186">
        <f t="shared" si="19"/>
        <v>0</v>
      </c>
      <c r="J533" s="186">
        <v>1134102</v>
      </c>
    </row>
    <row r="534" spans="1:10" s="186" customFormat="1" ht="12.75" customHeight="1">
      <c r="A534" s="775" t="s">
        <v>1365</v>
      </c>
      <c r="B534" s="775" t="s">
        <v>2003</v>
      </c>
      <c r="C534" s="776">
        <v>0</v>
      </c>
      <c r="D534" s="776">
        <v>0</v>
      </c>
      <c r="E534" s="776">
        <v>0</v>
      </c>
      <c r="F534" s="776">
        <v>0</v>
      </c>
      <c r="G534" s="776">
        <v>0</v>
      </c>
      <c r="H534" s="763"/>
      <c r="I534" s="186">
        <f t="shared" si="19"/>
        <v>0</v>
      </c>
      <c r="J534" s="186">
        <v>1134103</v>
      </c>
    </row>
    <row r="535" spans="1:10" s="186" customFormat="1" ht="12.75" customHeight="1">
      <c r="A535" s="775" t="s">
        <v>1367</v>
      </c>
      <c r="B535" s="775" t="s">
        <v>2004</v>
      </c>
      <c r="C535" s="776">
        <v>0</v>
      </c>
      <c r="D535" s="776">
        <v>0</v>
      </c>
      <c r="E535" s="776">
        <v>0</v>
      </c>
      <c r="F535" s="776">
        <v>0</v>
      </c>
      <c r="G535" s="776">
        <v>0</v>
      </c>
      <c r="H535" s="763"/>
      <c r="I535" s="186">
        <f t="shared" si="19"/>
        <v>0</v>
      </c>
      <c r="J535" s="186">
        <v>1134104</v>
      </c>
    </row>
    <row r="536" spans="1:10" s="186" customFormat="1" ht="12.75" customHeight="1">
      <c r="A536" s="775" t="s">
        <v>1369</v>
      </c>
      <c r="B536" s="775" t="s">
        <v>2005</v>
      </c>
      <c r="C536" s="776">
        <v>0</v>
      </c>
      <c r="D536" s="776">
        <v>0</v>
      </c>
      <c r="E536" s="776">
        <v>0</v>
      </c>
      <c r="F536" s="776">
        <v>0</v>
      </c>
      <c r="G536" s="776">
        <v>0</v>
      </c>
      <c r="H536" s="763"/>
      <c r="I536" s="186">
        <f t="shared" si="19"/>
        <v>0</v>
      </c>
      <c r="J536" s="186">
        <v>1134105</v>
      </c>
    </row>
    <row r="537" spans="1:10" s="186" customFormat="1" ht="12.75" customHeight="1">
      <c r="A537" s="775" t="s">
        <v>1371</v>
      </c>
      <c r="B537" s="775" t="s">
        <v>2006</v>
      </c>
      <c r="C537" s="776">
        <v>50994.89</v>
      </c>
      <c r="D537" s="776">
        <v>4347.17</v>
      </c>
      <c r="E537" s="776">
        <v>67694.31</v>
      </c>
      <c r="F537" s="776">
        <v>0</v>
      </c>
      <c r="G537" s="776">
        <v>0</v>
      </c>
      <c r="H537" s="763"/>
      <c r="I537" s="186">
        <f t="shared" si="19"/>
        <v>123036.37</v>
      </c>
      <c r="J537" s="186">
        <v>1134106</v>
      </c>
    </row>
    <row r="538" spans="1:10" s="186" customFormat="1" ht="12.75" customHeight="1">
      <c r="A538" s="775" t="s">
        <v>1373</v>
      </c>
      <c r="B538" s="775" t="s">
        <v>2007</v>
      </c>
      <c r="C538" s="776">
        <v>208101.33</v>
      </c>
      <c r="D538" s="776">
        <v>740.36</v>
      </c>
      <c r="E538" s="776">
        <v>0</v>
      </c>
      <c r="F538" s="776">
        <v>0</v>
      </c>
      <c r="G538" s="776">
        <v>0</v>
      </c>
      <c r="H538" s="763"/>
      <c r="I538" s="186">
        <f t="shared" si="19"/>
        <v>208841.68999999997</v>
      </c>
      <c r="J538" s="186">
        <v>1134107</v>
      </c>
    </row>
    <row r="539" spans="1:10" s="186" customFormat="1" ht="12.75" customHeight="1">
      <c r="A539" s="775" t="s">
        <v>1375</v>
      </c>
      <c r="B539" s="775" t="s">
        <v>2008</v>
      </c>
      <c r="C539" s="776">
        <v>0</v>
      </c>
      <c r="D539" s="776">
        <v>0</v>
      </c>
      <c r="E539" s="776">
        <v>0</v>
      </c>
      <c r="F539" s="776">
        <v>0</v>
      </c>
      <c r="G539" s="776">
        <v>0</v>
      </c>
      <c r="H539" s="763"/>
      <c r="I539" s="186">
        <f t="shared" si="19"/>
        <v>0</v>
      </c>
      <c r="J539" s="186">
        <v>1134108</v>
      </c>
    </row>
    <row r="540" spans="1:10" s="186" customFormat="1" ht="13">
      <c r="A540" s="775" t="s">
        <v>1377</v>
      </c>
      <c r="B540" s="775" t="s">
        <v>2009</v>
      </c>
      <c r="C540" s="776">
        <v>0</v>
      </c>
      <c r="D540" s="776">
        <v>0</v>
      </c>
      <c r="E540" s="776">
        <v>0</v>
      </c>
      <c r="F540" s="776">
        <v>0</v>
      </c>
      <c r="G540" s="776">
        <v>0</v>
      </c>
      <c r="H540" s="763"/>
      <c r="I540" s="186">
        <f t="shared" si="19"/>
        <v>0</v>
      </c>
      <c r="J540" s="186">
        <v>1134109</v>
      </c>
    </row>
    <row r="541" spans="1:10" s="186" customFormat="1" ht="12.75" customHeight="1">
      <c r="A541" s="775" t="s">
        <v>1379</v>
      </c>
      <c r="B541" s="775" t="s">
        <v>2010</v>
      </c>
      <c r="C541" s="776">
        <v>0</v>
      </c>
      <c r="D541" s="776">
        <v>0</v>
      </c>
      <c r="E541" s="776">
        <v>0</v>
      </c>
      <c r="F541" s="776">
        <v>0</v>
      </c>
      <c r="G541" s="776">
        <v>0</v>
      </c>
      <c r="H541" s="763"/>
      <c r="I541" s="186">
        <f t="shared" si="19"/>
        <v>0</v>
      </c>
      <c r="J541" s="186">
        <v>1134110</v>
      </c>
    </row>
    <row r="542" spans="1:10" s="186" customFormat="1" ht="13">
      <c r="A542" s="775" t="s">
        <v>1381</v>
      </c>
      <c r="B542" s="775" t="s">
        <v>2011</v>
      </c>
      <c r="C542" s="776">
        <v>0</v>
      </c>
      <c r="D542" s="776">
        <v>0</v>
      </c>
      <c r="E542" s="776">
        <v>0</v>
      </c>
      <c r="F542" s="776">
        <v>0</v>
      </c>
      <c r="G542" s="776">
        <v>0</v>
      </c>
      <c r="H542" s="763"/>
      <c r="I542" s="186">
        <f t="shared" si="19"/>
        <v>0</v>
      </c>
      <c r="J542" s="186">
        <v>1134111</v>
      </c>
    </row>
    <row r="543" spans="1:10" s="186" customFormat="1" ht="12.75" customHeight="1">
      <c r="A543" s="775" t="s">
        <v>1383</v>
      </c>
      <c r="B543" s="775" t="s">
        <v>2012</v>
      </c>
      <c r="C543" s="776">
        <v>0</v>
      </c>
      <c r="D543" s="776">
        <v>0</v>
      </c>
      <c r="E543" s="776">
        <v>0</v>
      </c>
      <c r="F543" s="776">
        <v>0</v>
      </c>
      <c r="G543" s="776">
        <v>0</v>
      </c>
      <c r="H543" s="763"/>
      <c r="I543" s="186">
        <f t="shared" si="19"/>
        <v>0</v>
      </c>
      <c r="J543" s="186">
        <v>1134112</v>
      </c>
    </row>
    <row r="544" spans="1:10" s="186" customFormat="1" ht="13">
      <c r="A544" s="775" t="s">
        <v>1385</v>
      </c>
      <c r="B544" s="775" t="s">
        <v>2013</v>
      </c>
      <c r="C544" s="776">
        <v>0</v>
      </c>
      <c r="D544" s="776">
        <v>0</v>
      </c>
      <c r="E544" s="776">
        <v>0</v>
      </c>
      <c r="F544" s="776">
        <v>0</v>
      </c>
      <c r="G544" s="776">
        <v>0</v>
      </c>
      <c r="H544" s="763"/>
      <c r="I544" s="186">
        <f t="shared" si="19"/>
        <v>0</v>
      </c>
      <c r="J544" s="186">
        <v>1134113</v>
      </c>
    </row>
    <row r="545" spans="1:10" s="186" customFormat="1" ht="12.75" customHeight="1">
      <c r="A545" s="775" t="s">
        <v>1387</v>
      </c>
      <c r="B545" s="775" t="s">
        <v>2014</v>
      </c>
      <c r="C545" s="776">
        <v>0</v>
      </c>
      <c r="D545" s="776">
        <v>0</v>
      </c>
      <c r="E545" s="776">
        <v>0</v>
      </c>
      <c r="F545" s="776">
        <v>0</v>
      </c>
      <c r="G545" s="776">
        <v>0</v>
      </c>
      <c r="H545" s="763"/>
      <c r="I545" s="186">
        <f t="shared" si="19"/>
        <v>0</v>
      </c>
      <c r="J545" s="186">
        <v>1134114</v>
      </c>
    </row>
    <row r="546" spans="1:10" s="186" customFormat="1" ht="12.75" customHeight="1">
      <c r="A546" s="775" t="s">
        <v>1389</v>
      </c>
      <c r="B546" s="775" t="s">
        <v>2015</v>
      </c>
      <c r="C546" s="776">
        <v>0</v>
      </c>
      <c r="D546" s="776">
        <v>0</v>
      </c>
      <c r="E546" s="776">
        <v>0</v>
      </c>
      <c r="F546" s="776">
        <v>0</v>
      </c>
      <c r="G546" s="776">
        <v>0</v>
      </c>
      <c r="H546" s="763"/>
      <c r="I546" s="186">
        <f t="shared" si="19"/>
        <v>0</v>
      </c>
      <c r="J546" s="186">
        <v>1134115</v>
      </c>
    </row>
    <row r="547" spans="1:10" s="186" customFormat="1" ht="12.75" customHeight="1">
      <c r="A547" s="775" t="s">
        <v>1391</v>
      </c>
      <c r="B547" s="775" t="s">
        <v>2016</v>
      </c>
      <c r="C547" s="776">
        <v>0</v>
      </c>
      <c r="D547" s="776">
        <v>0</v>
      </c>
      <c r="E547" s="776">
        <v>0</v>
      </c>
      <c r="F547" s="776">
        <v>0</v>
      </c>
      <c r="G547" s="776">
        <v>0</v>
      </c>
      <c r="H547" s="763"/>
      <c r="I547" s="186">
        <f t="shared" si="19"/>
        <v>0</v>
      </c>
      <c r="J547" s="186">
        <v>1134116</v>
      </c>
    </row>
    <row r="548" spans="1:10" s="186" customFormat="1" ht="13">
      <c r="A548" s="775" t="s">
        <v>1393</v>
      </c>
      <c r="B548" s="775" t="s">
        <v>2017</v>
      </c>
      <c r="C548" s="776">
        <v>0</v>
      </c>
      <c r="D548" s="776">
        <v>0</v>
      </c>
      <c r="E548" s="776">
        <v>0</v>
      </c>
      <c r="F548" s="776">
        <v>0</v>
      </c>
      <c r="G548" s="776">
        <v>0</v>
      </c>
      <c r="H548" s="763"/>
      <c r="I548" s="186">
        <f t="shared" si="19"/>
        <v>0</v>
      </c>
      <c r="J548" s="186">
        <v>1134117</v>
      </c>
    </row>
    <row r="549" spans="1:10" s="186" customFormat="1" ht="13">
      <c r="A549" s="775" t="s">
        <v>1395</v>
      </c>
      <c r="B549" s="775" t="s">
        <v>2018</v>
      </c>
      <c r="C549" s="776">
        <v>0</v>
      </c>
      <c r="D549" s="776">
        <v>0</v>
      </c>
      <c r="E549" s="776">
        <v>0</v>
      </c>
      <c r="F549" s="776">
        <v>0</v>
      </c>
      <c r="G549" s="776">
        <v>0</v>
      </c>
      <c r="H549" s="763"/>
      <c r="I549" s="186">
        <f t="shared" si="19"/>
        <v>0</v>
      </c>
      <c r="J549" s="186">
        <v>1134118</v>
      </c>
    </row>
    <row r="550" spans="1:10" s="186" customFormat="1" ht="12.75" customHeight="1">
      <c r="A550" s="775" t="s">
        <v>1397</v>
      </c>
      <c r="B550" s="775" t="s">
        <v>2019</v>
      </c>
      <c r="C550" s="776">
        <v>0</v>
      </c>
      <c r="D550" s="776">
        <v>0</v>
      </c>
      <c r="E550" s="776">
        <v>0</v>
      </c>
      <c r="F550" s="776">
        <v>0</v>
      </c>
      <c r="G550" s="776">
        <v>0</v>
      </c>
      <c r="H550" s="763"/>
      <c r="I550" s="186">
        <f t="shared" si="19"/>
        <v>0</v>
      </c>
      <c r="J550" s="186">
        <v>1134119</v>
      </c>
    </row>
    <row r="551" spans="1:10" s="186" customFormat="1" ht="12.75" customHeight="1">
      <c r="A551" s="775" t="s">
        <v>1399</v>
      </c>
      <c r="B551" s="775" t="s">
        <v>2020</v>
      </c>
      <c r="C551" s="776">
        <v>0</v>
      </c>
      <c r="D551" s="776">
        <v>0</v>
      </c>
      <c r="E551" s="776">
        <v>0</v>
      </c>
      <c r="F551" s="776">
        <v>0</v>
      </c>
      <c r="G551" s="776">
        <v>0</v>
      </c>
      <c r="H551" s="763"/>
      <c r="I551" s="186">
        <f t="shared" si="19"/>
        <v>0</v>
      </c>
      <c r="J551" s="186">
        <v>1134120</v>
      </c>
    </row>
    <row r="552" spans="1:10" s="186" customFormat="1" ht="12.75" customHeight="1">
      <c r="A552" s="775" t="s">
        <v>1401</v>
      </c>
      <c r="B552" s="775" t="s">
        <v>2021</v>
      </c>
      <c r="C552" s="776">
        <v>0</v>
      </c>
      <c r="D552" s="776">
        <v>0</v>
      </c>
      <c r="E552" s="776">
        <v>0</v>
      </c>
      <c r="F552" s="776">
        <v>0</v>
      </c>
      <c r="G552" s="776">
        <v>0</v>
      </c>
      <c r="H552" s="763"/>
      <c r="I552" s="186">
        <f t="shared" ref="I552:I560" si="20">C552+D552+E552+F552+G552</f>
        <v>0</v>
      </c>
      <c r="J552" s="186">
        <v>1134121</v>
      </c>
    </row>
    <row r="553" spans="1:10" s="186" customFormat="1" ht="12.75" customHeight="1">
      <c r="A553" s="775" t="s">
        <v>1403</v>
      </c>
      <c r="B553" s="775" t="s">
        <v>2022</v>
      </c>
      <c r="C553" s="776">
        <v>0</v>
      </c>
      <c r="D553" s="776">
        <v>0</v>
      </c>
      <c r="E553" s="776">
        <v>0</v>
      </c>
      <c r="F553" s="776">
        <v>0</v>
      </c>
      <c r="G553" s="776">
        <v>0</v>
      </c>
      <c r="H553" s="763"/>
      <c r="I553" s="186">
        <f t="shared" si="20"/>
        <v>0</v>
      </c>
      <c r="J553" s="186">
        <v>1134122</v>
      </c>
    </row>
    <row r="554" spans="1:10" s="186" customFormat="1" ht="12.75" customHeight="1">
      <c r="A554" s="775" t="s">
        <v>1405</v>
      </c>
      <c r="B554" s="775" t="s">
        <v>2023</v>
      </c>
      <c r="C554" s="776">
        <v>0</v>
      </c>
      <c r="D554" s="776">
        <v>955664.68</v>
      </c>
      <c r="E554" s="776">
        <v>32095</v>
      </c>
      <c r="F554" s="776">
        <v>0</v>
      </c>
      <c r="G554" s="776">
        <v>0</v>
      </c>
      <c r="H554" s="763"/>
      <c r="I554" s="186">
        <f t="shared" si="20"/>
        <v>987759.68</v>
      </c>
      <c r="J554" s="186">
        <v>1134123</v>
      </c>
    </row>
    <row r="555" spans="1:10" s="186" customFormat="1" ht="12.75" customHeight="1">
      <c r="A555" s="775" t="s">
        <v>1407</v>
      </c>
      <c r="B555" s="775" t="s">
        <v>2024</v>
      </c>
      <c r="C555" s="776">
        <v>0</v>
      </c>
      <c r="D555" s="776">
        <v>0</v>
      </c>
      <c r="E555" s="776">
        <v>0</v>
      </c>
      <c r="F555" s="776">
        <v>0</v>
      </c>
      <c r="G555" s="776">
        <v>0</v>
      </c>
      <c r="H555" s="763"/>
      <c r="I555" s="186">
        <f t="shared" si="20"/>
        <v>0</v>
      </c>
      <c r="J555" s="186">
        <v>1134124</v>
      </c>
    </row>
    <row r="556" spans="1:10" s="186" customFormat="1" ht="12.75" customHeight="1">
      <c r="A556" s="775" t="s">
        <v>1409</v>
      </c>
      <c r="B556" s="775" t="s">
        <v>2025</v>
      </c>
      <c r="C556" s="776">
        <v>0</v>
      </c>
      <c r="D556" s="776">
        <v>0</v>
      </c>
      <c r="E556" s="776">
        <v>0</v>
      </c>
      <c r="F556" s="776">
        <v>0</v>
      </c>
      <c r="G556" s="776">
        <v>0</v>
      </c>
      <c r="H556" s="763"/>
      <c r="I556" s="186">
        <f t="shared" si="20"/>
        <v>0</v>
      </c>
      <c r="J556" s="186">
        <v>1134125</v>
      </c>
    </row>
    <row r="557" spans="1:10" s="186" customFormat="1" ht="13">
      <c r="A557" s="775" t="s">
        <v>1411</v>
      </c>
      <c r="B557" s="775" t="s">
        <v>2026</v>
      </c>
      <c r="C557" s="776">
        <v>0</v>
      </c>
      <c r="D557" s="776">
        <v>0</v>
      </c>
      <c r="E557" s="776">
        <v>0</v>
      </c>
      <c r="F557" s="776">
        <v>0</v>
      </c>
      <c r="G557" s="776">
        <v>0</v>
      </c>
      <c r="H557" s="763"/>
      <c r="I557" s="780">
        <f t="shared" si="20"/>
        <v>0</v>
      </c>
      <c r="J557" s="186">
        <v>1134126</v>
      </c>
    </row>
    <row r="558" spans="1:10" s="186" customFormat="1" ht="13">
      <c r="A558" s="775" t="s">
        <v>1413</v>
      </c>
      <c r="B558" s="775" t="s">
        <v>2027</v>
      </c>
      <c r="C558" s="776">
        <v>0</v>
      </c>
      <c r="D558" s="776">
        <v>0</v>
      </c>
      <c r="E558" s="776">
        <v>0</v>
      </c>
      <c r="F558" s="776">
        <v>0</v>
      </c>
      <c r="G558" s="776">
        <v>0</v>
      </c>
      <c r="H558" s="763"/>
      <c r="I558" s="780">
        <f t="shared" si="20"/>
        <v>0</v>
      </c>
      <c r="J558" s="186">
        <v>1134127</v>
      </c>
    </row>
    <row r="559" spans="1:10" s="186" customFormat="1" ht="12.75" customHeight="1">
      <c r="A559" s="775" t="s">
        <v>1415</v>
      </c>
      <c r="B559" s="775" t="s">
        <v>2028</v>
      </c>
      <c r="C559" s="776">
        <v>0</v>
      </c>
      <c r="D559" s="776">
        <v>0</v>
      </c>
      <c r="E559" s="776">
        <v>0</v>
      </c>
      <c r="F559" s="776">
        <v>0</v>
      </c>
      <c r="G559" s="776">
        <v>0</v>
      </c>
      <c r="H559" s="763"/>
      <c r="I559" s="780">
        <f t="shared" si="20"/>
        <v>0</v>
      </c>
      <c r="J559" s="186">
        <v>1134128</v>
      </c>
    </row>
    <row r="560" spans="1:10" s="186" customFormat="1" ht="13">
      <c r="A560" s="775" t="s">
        <v>1417</v>
      </c>
      <c r="B560" s="775" t="s">
        <v>2029</v>
      </c>
      <c r="C560" s="776">
        <v>0</v>
      </c>
      <c r="D560" s="776">
        <v>0</v>
      </c>
      <c r="E560" s="776">
        <v>0</v>
      </c>
      <c r="F560" s="776">
        <v>0</v>
      </c>
      <c r="G560" s="776">
        <v>0</v>
      </c>
      <c r="H560" s="763"/>
      <c r="I560" s="780">
        <f t="shared" si="20"/>
        <v>0</v>
      </c>
      <c r="J560" s="186">
        <v>1134129</v>
      </c>
    </row>
    <row r="561" spans="1:10" s="186" customFormat="1" ht="13">
      <c r="A561" s="775" t="s">
        <v>1419</v>
      </c>
      <c r="B561" s="775" t="s">
        <v>2030</v>
      </c>
      <c r="C561" s="776">
        <v>0</v>
      </c>
      <c r="D561" s="776">
        <v>0</v>
      </c>
      <c r="E561" s="776">
        <v>0</v>
      </c>
      <c r="F561" s="776">
        <v>0</v>
      </c>
      <c r="G561" s="776">
        <v>0</v>
      </c>
      <c r="H561" s="763"/>
    </row>
    <row r="562" spans="1:10" s="186" customFormat="1" ht="13">
      <c r="A562" s="775" t="s">
        <v>1421</v>
      </c>
      <c r="B562" s="775" t="s">
        <v>2031</v>
      </c>
      <c r="C562" s="776">
        <v>0</v>
      </c>
      <c r="D562" s="776">
        <v>0</v>
      </c>
      <c r="E562" s="776">
        <v>0</v>
      </c>
      <c r="F562" s="776">
        <v>0</v>
      </c>
      <c r="G562" s="776">
        <v>0</v>
      </c>
      <c r="H562" s="763"/>
      <c r="I562" s="187">
        <v>1</v>
      </c>
      <c r="J562" s="186">
        <v>1134130</v>
      </c>
    </row>
    <row r="563" spans="1:10" s="186" customFormat="1" ht="12.75" hidden="1" customHeight="1">
      <c r="A563" s="775" t="s">
        <v>1423</v>
      </c>
      <c r="B563" s="775" t="s">
        <v>2032</v>
      </c>
      <c r="C563" s="776">
        <v>0</v>
      </c>
      <c r="D563" s="776">
        <v>0</v>
      </c>
      <c r="E563" s="776">
        <v>0</v>
      </c>
      <c r="F563" s="776">
        <v>0</v>
      </c>
      <c r="G563" s="776">
        <v>0</v>
      </c>
      <c r="H563" s="763"/>
      <c r="I563" s="186">
        <f t="shared" ref="I563:I602" si="21">C563+D563+E563+F563+G563</f>
        <v>0</v>
      </c>
      <c r="J563" s="186">
        <v>1134131</v>
      </c>
    </row>
    <row r="564" spans="1:10" s="186" customFormat="1" ht="12.75" hidden="1" customHeight="1">
      <c r="A564" s="775" t="s">
        <v>1425</v>
      </c>
      <c r="B564" s="775" t="s">
        <v>2033</v>
      </c>
      <c r="C564" s="776">
        <v>0</v>
      </c>
      <c r="D564" s="776">
        <v>0</v>
      </c>
      <c r="E564" s="776">
        <v>0</v>
      </c>
      <c r="F564" s="776">
        <v>0</v>
      </c>
      <c r="G564" s="776">
        <v>0</v>
      </c>
      <c r="H564" s="763"/>
      <c r="I564" s="186">
        <f t="shared" si="21"/>
        <v>0</v>
      </c>
      <c r="J564" s="186">
        <v>1134132</v>
      </c>
    </row>
    <row r="565" spans="1:10" s="186" customFormat="1" ht="13">
      <c r="A565" s="775" t="s">
        <v>1427</v>
      </c>
      <c r="B565" s="775" t="s">
        <v>2034</v>
      </c>
      <c r="C565" s="776">
        <v>0</v>
      </c>
      <c r="D565" s="776">
        <v>0</v>
      </c>
      <c r="E565" s="776">
        <v>0</v>
      </c>
      <c r="F565" s="776">
        <v>0</v>
      </c>
      <c r="G565" s="776">
        <v>0</v>
      </c>
      <c r="H565" s="763"/>
      <c r="I565" s="186">
        <f t="shared" si="21"/>
        <v>0</v>
      </c>
      <c r="J565" s="186">
        <v>1134133</v>
      </c>
    </row>
    <row r="566" spans="1:10" s="186" customFormat="1" ht="13">
      <c r="A566" s="775" t="s">
        <v>1429</v>
      </c>
      <c r="B566" s="775" t="s">
        <v>2035</v>
      </c>
      <c r="C566" s="776">
        <v>0</v>
      </c>
      <c r="D566" s="776">
        <v>0</v>
      </c>
      <c r="E566" s="776">
        <v>0</v>
      </c>
      <c r="F566" s="776">
        <v>0</v>
      </c>
      <c r="G566" s="776">
        <v>0</v>
      </c>
      <c r="H566" s="763"/>
      <c r="I566" s="186">
        <f t="shared" si="21"/>
        <v>0</v>
      </c>
      <c r="J566" s="186">
        <v>1134134</v>
      </c>
    </row>
    <row r="567" spans="1:10" s="186" customFormat="1" ht="13">
      <c r="A567" s="775" t="s">
        <v>1431</v>
      </c>
      <c r="B567" s="775" t="s">
        <v>2036</v>
      </c>
      <c r="C567" s="776">
        <v>0</v>
      </c>
      <c r="D567" s="776">
        <v>0</v>
      </c>
      <c r="E567" s="776">
        <v>0</v>
      </c>
      <c r="F567" s="776">
        <v>0</v>
      </c>
      <c r="G567" s="776">
        <v>0</v>
      </c>
      <c r="H567" s="763"/>
      <c r="I567" s="186">
        <f t="shared" si="21"/>
        <v>0</v>
      </c>
      <c r="J567" s="186">
        <v>1134135</v>
      </c>
    </row>
    <row r="568" spans="1:10" s="186" customFormat="1" ht="12.75" hidden="1" customHeight="1">
      <c r="A568" s="775" t="s">
        <v>1433</v>
      </c>
      <c r="B568" s="775" t="s">
        <v>2037</v>
      </c>
      <c r="C568" s="776">
        <v>0</v>
      </c>
      <c r="D568" s="776">
        <v>0</v>
      </c>
      <c r="E568" s="776">
        <v>0</v>
      </c>
      <c r="F568" s="776">
        <v>0</v>
      </c>
      <c r="G568" s="776">
        <v>0</v>
      </c>
      <c r="H568" s="763"/>
      <c r="I568" s="186">
        <f t="shared" si="21"/>
        <v>0</v>
      </c>
      <c r="J568" s="186">
        <v>1134136</v>
      </c>
    </row>
    <row r="569" spans="1:10" s="186" customFormat="1" ht="12.75" hidden="1" customHeight="1">
      <c r="A569" s="775" t="s">
        <v>1435</v>
      </c>
      <c r="B569" s="775" t="s">
        <v>2038</v>
      </c>
      <c r="C569" s="776">
        <v>0</v>
      </c>
      <c r="D569" s="776">
        <v>0</v>
      </c>
      <c r="E569" s="776">
        <v>0</v>
      </c>
      <c r="F569" s="776">
        <v>0</v>
      </c>
      <c r="G569" s="776">
        <v>0</v>
      </c>
      <c r="H569" s="763"/>
      <c r="I569" s="186">
        <f t="shared" si="21"/>
        <v>0</v>
      </c>
      <c r="J569" s="186">
        <v>1134137</v>
      </c>
    </row>
    <row r="570" spans="1:10" s="186" customFormat="1" ht="12.75" hidden="1" customHeight="1">
      <c r="A570" s="775" t="s">
        <v>1437</v>
      </c>
      <c r="B570" s="775" t="s">
        <v>2039</v>
      </c>
      <c r="C570" s="776">
        <v>0</v>
      </c>
      <c r="D570" s="776">
        <v>0</v>
      </c>
      <c r="E570" s="776">
        <v>0</v>
      </c>
      <c r="F570" s="776">
        <v>0</v>
      </c>
      <c r="G570" s="776">
        <v>0</v>
      </c>
      <c r="H570" s="763"/>
      <c r="I570" s="186">
        <f t="shared" si="21"/>
        <v>0</v>
      </c>
      <c r="J570" s="186">
        <v>1134138</v>
      </c>
    </row>
    <row r="571" spans="1:10" s="186" customFormat="1" ht="12.75" hidden="1" customHeight="1">
      <c r="A571" s="775" t="s">
        <v>1439</v>
      </c>
      <c r="B571" s="775" t="s">
        <v>2040</v>
      </c>
      <c r="C571" s="776">
        <v>0</v>
      </c>
      <c r="D571" s="776">
        <v>0</v>
      </c>
      <c r="E571" s="776">
        <v>0</v>
      </c>
      <c r="F571" s="776">
        <v>0</v>
      </c>
      <c r="G571" s="776">
        <v>0</v>
      </c>
      <c r="H571" s="763"/>
      <c r="I571" s="186">
        <f t="shared" si="21"/>
        <v>0</v>
      </c>
      <c r="J571" s="186">
        <v>1134139</v>
      </c>
    </row>
    <row r="572" spans="1:10" s="186" customFormat="1" ht="12.75" hidden="1" customHeight="1">
      <c r="A572" s="775" t="s">
        <v>1441</v>
      </c>
      <c r="B572" s="775" t="s">
        <v>2041</v>
      </c>
      <c r="C572" s="776">
        <v>0</v>
      </c>
      <c r="D572" s="776">
        <v>0</v>
      </c>
      <c r="E572" s="776">
        <v>15000</v>
      </c>
      <c r="F572" s="776">
        <v>0</v>
      </c>
      <c r="G572" s="776">
        <v>0</v>
      </c>
      <c r="H572" s="763"/>
      <c r="I572" s="186">
        <f t="shared" si="21"/>
        <v>15000</v>
      </c>
      <c r="J572" s="186">
        <v>1134140</v>
      </c>
    </row>
    <row r="573" spans="1:10" s="186" customFormat="1" ht="12.75" hidden="1" customHeight="1">
      <c r="A573" s="775" t="s">
        <v>1443</v>
      </c>
      <c r="B573" s="775" t="s">
        <v>2042</v>
      </c>
      <c r="C573" s="776">
        <v>0</v>
      </c>
      <c r="D573" s="776">
        <v>0</v>
      </c>
      <c r="E573" s="776">
        <v>0</v>
      </c>
      <c r="F573" s="776">
        <v>0</v>
      </c>
      <c r="G573" s="776">
        <v>0</v>
      </c>
      <c r="H573" s="763"/>
      <c r="I573" s="186">
        <f t="shared" si="21"/>
        <v>0</v>
      </c>
      <c r="J573" s="186">
        <v>1134141</v>
      </c>
    </row>
    <row r="574" spans="1:10" s="186" customFormat="1" ht="12.75" hidden="1" customHeight="1">
      <c r="A574" s="775" t="s">
        <v>1445</v>
      </c>
      <c r="B574" s="775" t="s">
        <v>2043</v>
      </c>
      <c r="C574" s="776">
        <v>0</v>
      </c>
      <c r="D574" s="776">
        <v>0</v>
      </c>
      <c r="E574" s="776">
        <v>0</v>
      </c>
      <c r="F574" s="776">
        <v>0</v>
      </c>
      <c r="G574" s="776">
        <v>0</v>
      </c>
      <c r="H574" s="763"/>
      <c r="I574" s="186">
        <f t="shared" si="21"/>
        <v>0</v>
      </c>
      <c r="J574" s="186">
        <v>1134142</v>
      </c>
    </row>
    <row r="575" spans="1:10" s="186" customFormat="1" ht="12.75" hidden="1" customHeight="1">
      <c r="A575" s="775" t="s">
        <v>1447</v>
      </c>
      <c r="B575" s="775" t="s">
        <v>2044</v>
      </c>
      <c r="C575" s="776">
        <v>0</v>
      </c>
      <c r="D575" s="776">
        <v>0</v>
      </c>
      <c r="E575" s="776">
        <v>0</v>
      </c>
      <c r="F575" s="776">
        <v>0</v>
      </c>
      <c r="G575" s="776">
        <v>0</v>
      </c>
      <c r="H575" s="763"/>
      <c r="I575" s="186">
        <f t="shared" si="21"/>
        <v>0</v>
      </c>
      <c r="J575" s="186">
        <v>1134143</v>
      </c>
    </row>
    <row r="576" spans="1:10" s="186" customFormat="1" ht="12.75" hidden="1" customHeight="1">
      <c r="A576" s="775" t="s">
        <v>1449</v>
      </c>
      <c r="B576" s="775" t="s">
        <v>2045</v>
      </c>
      <c r="C576" s="776">
        <v>0</v>
      </c>
      <c r="D576" s="776">
        <v>112309.7</v>
      </c>
      <c r="E576" s="776">
        <v>24896.43</v>
      </c>
      <c r="F576" s="776">
        <v>0</v>
      </c>
      <c r="G576" s="776">
        <v>0</v>
      </c>
      <c r="H576" s="763"/>
      <c r="I576" s="186">
        <f t="shared" si="21"/>
        <v>137206.13</v>
      </c>
      <c r="J576" s="186">
        <v>1134144</v>
      </c>
    </row>
    <row r="577" spans="1:10" s="186" customFormat="1" ht="12.75" hidden="1" customHeight="1">
      <c r="A577" s="775" t="s">
        <v>1451</v>
      </c>
      <c r="B577" s="775" t="s">
        <v>2046</v>
      </c>
      <c r="C577" s="776">
        <v>0</v>
      </c>
      <c r="D577" s="776">
        <v>0</v>
      </c>
      <c r="E577" s="776">
        <v>0</v>
      </c>
      <c r="F577" s="776">
        <v>0</v>
      </c>
      <c r="G577" s="776">
        <v>0</v>
      </c>
      <c r="H577" s="763"/>
      <c r="I577" s="186">
        <f t="shared" si="21"/>
        <v>0</v>
      </c>
      <c r="J577" s="186">
        <v>1134145</v>
      </c>
    </row>
    <row r="578" spans="1:10" s="186" customFormat="1" ht="12.75" hidden="1" customHeight="1">
      <c r="A578" s="775" t="s">
        <v>1453</v>
      </c>
      <c r="B578" s="775" t="s">
        <v>2047</v>
      </c>
      <c r="C578" s="776">
        <v>0</v>
      </c>
      <c r="D578" s="776">
        <v>0</v>
      </c>
      <c r="E578" s="776">
        <v>0</v>
      </c>
      <c r="F578" s="776">
        <v>0</v>
      </c>
      <c r="G578" s="776">
        <v>0</v>
      </c>
      <c r="H578" s="763"/>
      <c r="I578" s="186">
        <f t="shared" si="21"/>
        <v>0</v>
      </c>
      <c r="J578" s="186">
        <v>1134146</v>
      </c>
    </row>
    <row r="579" spans="1:10" s="186" customFormat="1" ht="12.75" hidden="1" customHeight="1">
      <c r="A579" s="775" t="s">
        <v>1455</v>
      </c>
      <c r="B579" s="775" t="s">
        <v>2048</v>
      </c>
      <c r="C579" s="776">
        <v>0</v>
      </c>
      <c r="D579" s="776">
        <v>0</v>
      </c>
      <c r="E579" s="776">
        <v>0</v>
      </c>
      <c r="F579" s="776">
        <v>0</v>
      </c>
      <c r="G579" s="776">
        <v>0</v>
      </c>
      <c r="H579" s="763"/>
      <c r="I579" s="186">
        <f t="shared" si="21"/>
        <v>0</v>
      </c>
      <c r="J579" s="186">
        <v>1134147</v>
      </c>
    </row>
    <row r="580" spans="1:10" s="186" customFormat="1" ht="12.75" hidden="1" customHeight="1">
      <c r="A580" s="775" t="s">
        <v>1457</v>
      </c>
      <c r="B580" s="775" t="s">
        <v>2049</v>
      </c>
      <c r="C580" s="776">
        <v>0</v>
      </c>
      <c r="D580" s="776">
        <v>0</v>
      </c>
      <c r="E580" s="776">
        <v>0</v>
      </c>
      <c r="F580" s="776">
        <v>0</v>
      </c>
      <c r="G580" s="776">
        <v>0</v>
      </c>
      <c r="H580" s="763"/>
      <c r="I580" s="186">
        <f t="shared" si="21"/>
        <v>0</v>
      </c>
      <c r="J580" s="186">
        <v>1134148</v>
      </c>
    </row>
    <row r="581" spans="1:10" s="186" customFormat="1" ht="12.75" hidden="1" customHeight="1">
      <c r="A581" s="775" t="s">
        <v>2050</v>
      </c>
      <c r="B581" s="775" t="s">
        <v>2051</v>
      </c>
      <c r="C581" s="776">
        <v>0</v>
      </c>
      <c r="D581" s="776">
        <v>0</v>
      </c>
      <c r="E581" s="776">
        <v>0</v>
      </c>
      <c r="F581" s="776">
        <v>0</v>
      </c>
      <c r="G581" s="776">
        <v>0</v>
      </c>
      <c r="H581" s="763"/>
      <c r="I581" s="186">
        <f t="shared" si="21"/>
        <v>0</v>
      </c>
      <c r="J581" s="186">
        <v>1134149</v>
      </c>
    </row>
    <row r="582" spans="1:10" s="186" customFormat="1" ht="12.75" hidden="1" customHeight="1">
      <c r="A582" s="775" t="s">
        <v>2052</v>
      </c>
      <c r="B582" s="775" t="s">
        <v>2053</v>
      </c>
      <c r="C582" s="776">
        <v>0</v>
      </c>
      <c r="D582" s="776">
        <v>0</v>
      </c>
      <c r="E582" s="776">
        <v>0</v>
      </c>
      <c r="F582" s="776">
        <v>0</v>
      </c>
      <c r="G582" s="776">
        <v>0</v>
      </c>
      <c r="H582" s="763"/>
      <c r="I582" s="186">
        <f t="shared" si="21"/>
        <v>0</v>
      </c>
      <c r="J582" s="186">
        <v>1134150</v>
      </c>
    </row>
    <row r="583" spans="1:10" s="186" customFormat="1" ht="12.75" hidden="1" customHeight="1">
      <c r="A583" s="775" t="s">
        <v>1459</v>
      </c>
      <c r="B583" s="775" t="s">
        <v>2054</v>
      </c>
      <c r="C583" s="776">
        <v>0</v>
      </c>
      <c r="D583" s="776">
        <v>197932.5</v>
      </c>
      <c r="E583" s="776">
        <v>27377.5</v>
      </c>
      <c r="F583" s="776">
        <v>0</v>
      </c>
      <c r="G583" s="776">
        <v>0</v>
      </c>
      <c r="H583" s="763"/>
      <c r="I583" s="186">
        <f t="shared" si="21"/>
        <v>225310</v>
      </c>
      <c r="J583" s="186">
        <v>1134151</v>
      </c>
    </row>
    <row r="584" spans="1:10" s="186" customFormat="1" ht="12.75" hidden="1" customHeight="1">
      <c r="A584" s="775" t="s">
        <v>1461</v>
      </c>
      <c r="B584" s="775" t="s">
        <v>2055</v>
      </c>
      <c r="C584" s="776">
        <v>0</v>
      </c>
      <c r="D584" s="776">
        <v>0</v>
      </c>
      <c r="E584" s="776">
        <v>0</v>
      </c>
      <c r="F584" s="776">
        <v>0</v>
      </c>
      <c r="G584" s="776">
        <v>0</v>
      </c>
      <c r="H584" s="763"/>
      <c r="I584" s="186">
        <f t="shared" si="21"/>
        <v>0</v>
      </c>
      <c r="J584" s="186">
        <v>1134152</v>
      </c>
    </row>
    <row r="585" spans="1:10" s="186" customFormat="1" ht="12.75" hidden="1" customHeight="1">
      <c r="A585" s="775" t="s">
        <v>1463</v>
      </c>
      <c r="B585" s="775" t="s">
        <v>2056</v>
      </c>
      <c r="C585" s="776">
        <v>0</v>
      </c>
      <c r="D585" s="776">
        <v>0</v>
      </c>
      <c r="E585" s="776">
        <v>0</v>
      </c>
      <c r="F585" s="776">
        <v>0</v>
      </c>
      <c r="G585" s="776">
        <v>0</v>
      </c>
      <c r="H585" s="763"/>
      <c r="I585" s="186">
        <f t="shared" si="21"/>
        <v>0</v>
      </c>
      <c r="J585" s="186">
        <v>1134153</v>
      </c>
    </row>
    <row r="586" spans="1:10" s="186" customFormat="1" ht="12.75" hidden="1" customHeight="1">
      <c r="A586" s="775" t="s">
        <v>1465</v>
      </c>
      <c r="B586" s="775" t="s">
        <v>2057</v>
      </c>
      <c r="C586" s="776">
        <v>0</v>
      </c>
      <c r="D586" s="776">
        <v>0</v>
      </c>
      <c r="E586" s="776">
        <v>0</v>
      </c>
      <c r="F586" s="776">
        <v>0</v>
      </c>
      <c r="G586" s="776">
        <v>0</v>
      </c>
      <c r="H586" s="763"/>
      <c r="I586" s="186">
        <f t="shared" si="21"/>
        <v>0</v>
      </c>
      <c r="J586" s="186">
        <v>1134154</v>
      </c>
    </row>
    <row r="587" spans="1:10" s="186" customFormat="1" ht="12.75" hidden="1" customHeight="1">
      <c r="A587" s="775" t="s">
        <v>1467</v>
      </c>
      <c r="B587" s="775" t="s">
        <v>2058</v>
      </c>
      <c r="C587" s="776">
        <v>0</v>
      </c>
      <c r="D587" s="776">
        <v>0</v>
      </c>
      <c r="E587" s="776">
        <v>0</v>
      </c>
      <c r="F587" s="776">
        <v>0</v>
      </c>
      <c r="G587" s="776">
        <v>0</v>
      </c>
      <c r="H587" s="763"/>
      <c r="I587" s="186">
        <f t="shared" si="21"/>
        <v>0</v>
      </c>
      <c r="J587" s="186">
        <v>1134155</v>
      </c>
    </row>
    <row r="588" spans="1:10" s="186" customFormat="1" ht="12.75" hidden="1" customHeight="1">
      <c r="A588" s="775" t="s">
        <v>1469</v>
      </c>
      <c r="B588" s="775" t="s">
        <v>2059</v>
      </c>
      <c r="C588" s="776">
        <v>0</v>
      </c>
      <c r="D588" s="776">
        <v>0</v>
      </c>
      <c r="E588" s="776">
        <v>0</v>
      </c>
      <c r="F588" s="776">
        <v>0</v>
      </c>
      <c r="G588" s="776">
        <v>0</v>
      </c>
      <c r="H588" s="763"/>
      <c r="I588" s="186">
        <f t="shared" si="21"/>
        <v>0</v>
      </c>
      <c r="J588" s="186">
        <v>1134156</v>
      </c>
    </row>
    <row r="589" spans="1:10" s="186" customFormat="1" ht="12.75" hidden="1" customHeight="1">
      <c r="A589" s="775" t="s">
        <v>1471</v>
      </c>
      <c r="B589" s="775" t="s">
        <v>2060</v>
      </c>
      <c r="C589" s="776">
        <v>0</v>
      </c>
      <c r="D589" s="776">
        <v>0</v>
      </c>
      <c r="E589" s="776">
        <v>0</v>
      </c>
      <c r="F589" s="776">
        <v>0</v>
      </c>
      <c r="G589" s="776">
        <v>0</v>
      </c>
      <c r="H589" s="763"/>
      <c r="I589" s="186">
        <f t="shared" si="21"/>
        <v>0</v>
      </c>
      <c r="J589" s="186">
        <v>1134157</v>
      </c>
    </row>
    <row r="590" spans="1:10" s="186" customFormat="1" ht="12.75" hidden="1" customHeight="1">
      <c r="A590" s="775" t="s">
        <v>1473</v>
      </c>
      <c r="B590" s="775" t="s">
        <v>2061</v>
      </c>
      <c r="C590" s="776">
        <v>0</v>
      </c>
      <c r="D590" s="776">
        <v>0</v>
      </c>
      <c r="E590" s="776">
        <v>0</v>
      </c>
      <c r="F590" s="776">
        <v>0</v>
      </c>
      <c r="G590" s="776">
        <v>0</v>
      </c>
      <c r="H590" s="763"/>
      <c r="I590" s="186">
        <f t="shared" si="21"/>
        <v>0</v>
      </c>
      <c r="J590" s="186">
        <v>1134158</v>
      </c>
    </row>
    <row r="591" spans="1:10" s="186" customFormat="1" ht="12.75" hidden="1" customHeight="1">
      <c r="A591" s="777" t="s">
        <v>1475</v>
      </c>
      <c r="B591" s="777" t="s">
        <v>2062</v>
      </c>
      <c r="C591" s="778">
        <v>487724.25</v>
      </c>
      <c r="D591" s="778">
        <v>2390319.69</v>
      </c>
      <c r="E591" s="778">
        <v>339591.93</v>
      </c>
      <c r="F591" s="778">
        <v>0</v>
      </c>
      <c r="G591" s="778">
        <v>0</v>
      </c>
      <c r="H591" s="779"/>
      <c r="I591" s="186">
        <f t="shared" si="21"/>
        <v>3217635.87</v>
      </c>
      <c r="J591" s="186">
        <v>1134159</v>
      </c>
    </row>
    <row r="592" spans="1:10" s="186" customFormat="1" ht="12.75" hidden="1" customHeight="1">
      <c r="A592" s="777" t="s">
        <v>1477</v>
      </c>
      <c r="B592" s="777" t="s">
        <v>2063</v>
      </c>
      <c r="C592" s="778">
        <v>-487724.25</v>
      </c>
      <c r="D592" s="778">
        <v>-1379603.81</v>
      </c>
      <c r="E592" s="778">
        <v>-316633.76</v>
      </c>
      <c r="F592" s="778">
        <v>0</v>
      </c>
      <c r="G592" s="778">
        <v>0</v>
      </c>
      <c r="H592" s="779"/>
      <c r="I592" s="186">
        <f t="shared" si="21"/>
        <v>-2183961.8200000003</v>
      </c>
      <c r="J592" s="186">
        <v>1134160</v>
      </c>
    </row>
    <row r="593" spans="1:10" s="186" customFormat="1" ht="12.75" hidden="1" customHeight="1">
      <c r="A593" s="777" t="s">
        <v>1479</v>
      </c>
      <c r="B593" s="777" t="s">
        <v>2064</v>
      </c>
      <c r="C593" s="778">
        <v>-9937209.0199999996</v>
      </c>
      <c r="D593" s="778">
        <v>-11277551.23</v>
      </c>
      <c r="E593" s="778">
        <v>-9169874.4700000007</v>
      </c>
      <c r="F593" s="778">
        <v>-10046196.949999999</v>
      </c>
      <c r="G593" s="778">
        <v>-12101849.24</v>
      </c>
      <c r="H593" s="779"/>
      <c r="I593" s="186">
        <f t="shared" si="21"/>
        <v>-52532680.910000004</v>
      </c>
      <c r="J593" s="186">
        <v>1134161</v>
      </c>
    </row>
    <row r="594" spans="1:10" s="186" customFormat="1" ht="12.75" hidden="1" customHeight="1">
      <c r="A594" s="777" t="s">
        <v>1499</v>
      </c>
      <c r="B594" s="777" t="s">
        <v>2064</v>
      </c>
      <c r="C594" s="778">
        <v>467129.94</v>
      </c>
      <c r="D594" s="778">
        <v>-527602.04</v>
      </c>
      <c r="E594" s="778">
        <v>-355033.78</v>
      </c>
      <c r="F594" s="778">
        <v>-717783.69</v>
      </c>
      <c r="G594" s="778">
        <v>-1.08</v>
      </c>
      <c r="H594" s="779"/>
      <c r="I594" s="186">
        <f t="shared" si="21"/>
        <v>-1133290.6500000001</v>
      </c>
      <c r="J594" s="186">
        <v>1134162</v>
      </c>
    </row>
    <row r="595" spans="1:10" s="186" customFormat="1" ht="12.75" hidden="1" customHeight="1">
      <c r="A595" s="775"/>
      <c r="B595" s="775"/>
      <c r="C595" s="776"/>
      <c r="D595" s="776"/>
      <c r="E595" s="776"/>
      <c r="F595" s="776"/>
      <c r="G595" s="776"/>
      <c r="H595" s="763"/>
      <c r="I595" s="186">
        <f t="shared" si="21"/>
        <v>0</v>
      </c>
      <c r="J595" s="186">
        <v>1134163</v>
      </c>
    </row>
    <row r="596" spans="1:10" s="186" customFormat="1" ht="12.75" hidden="1" customHeight="1">
      <c r="A596" s="269" t="s">
        <v>1499</v>
      </c>
      <c r="B596" s="269" t="s">
        <v>2065</v>
      </c>
      <c r="C596" s="270" t="s">
        <v>1483</v>
      </c>
      <c r="D596" s="270" t="s">
        <v>1483</v>
      </c>
      <c r="E596" s="270" t="s">
        <v>1483</v>
      </c>
      <c r="F596" s="270" t="s">
        <v>1483</v>
      </c>
      <c r="G596" s="270" t="s">
        <v>1483</v>
      </c>
      <c r="H596" s="713"/>
      <c r="I596" s="186" t="e" vm="1">
        <f t="shared" si="21"/>
        <v>#VALUE!</v>
      </c>
      <c r="J596" s="186">
        <v>1134164</v>
      </c>
    </row>
    <row r="597" spans="1:10" s="186" customFormat="1" ht="12.75" hidden="1" customHeight="1">
      <c r="A597" s="775" t="s">
        <v>281</v>
      </c>
      <c r="B597" s="775" t="s">
        <v>2066</v>
      </c>
      <c r="C597" s="776">
        <v>0</v>
      </c>
      <c r="D597" s="776">
        <v>0</v>
      </c>
      <c r="E597" s="776">
        <v>0</v>
      </c>
      <c r="F597" s="776">
        <v>0</v>
      </c>
      <c r="G597" s="776">
        <v>0</v>
      </c>
      <c r="H597" s="763"/>
      <c r="I597" s="186">
        <f t="shared" si="21"/>
        <v>0</v>
      </c>
      <c r="J597" s="186">
        <v>1134165</v>
      </c>
    </row>
    <row r="598" spans="1:10" s="186" customFormat="1" ht="12.75" hidden="1" customHeight="1">
      <c r="A598" s="775" t="s">
        <v>309</v>
      </c>
      <c r="B598" s="775" t="s">
        <v>2067</v>
      </c>
      <c r="C598" s="776">
        <v>0</v>
      </c>
      <c r="D598" s="776">
        <v>0</v>
      </c>
      <c r="E598" s="776">
        <v>0</v>
      </c>
      <c r="F598" s="776">
        <v>0</v>
      </c>
      <c r="G598" s="776">
        <v>0</v>
      </c>
      <c r="H598" s="763"/>
      <c r="I598" s="186">
        <f t="shared" si="21"/>
        <v>0</v>
      </c>
      <c r="J598" s="186">
        <v>1134166</v>
      </c>
    </row>
    <row r="599" spans="1:10" s="186" customFormat="1" ht="12.75" hidden="1" customHeight="1">
      <c r="A599" s="775" t="s">
        <v>311</v>
      </c>
      <c r="B599" s="775" t="s">
        <v>2068</v>
      </c>
      <c r="C599" s="776">
        <v>4500</v>
      </c>
      <c r="D599" s="776">
        <v>1000</v>
      </c>
      <c r="E599" s="776">
        <v>0</v>
      </c>
      <c r="F599" s="776">
        <v>0</v>
      </c>
      <c r="G599" s="776">
        <v>0</v>
      </c>
      <c r="H599" s="763"/>
      <c r="I599" s="186">
        <f t="shared" si="21"/>
        <v>5500</v>
      </c>
      <c r="J599" s="186">
        <v>1134167</v>
      </c>
    </row>
    <row r="600" spans="1:10" s="186" customFormat="1" ht="12.75" hidden="1" customHeight="1">
      <c r="A600" s="775" t="s">
        <v>313</v>
      </c>
      <c r="B600" s="775" t="s">
        <v>2069</v>
      </c>
      <c r="C600" s="776">
        <v>9000</v>
      </c>
      <c r="D600" s="776">
        <v>4000</v>
      </c>
      <c r="E600" s="776">
        <v>4000</v>
      </c>
      <c r="F600" s="776">
        <v>0</v>
      </c>
      <c r="G600" s="776">
        <v>0</v>
      </c>
      <c r="H600" s="763"/>
      <c r="I600" s="186">
        <f t="shared" si="21"/>
        <v>17000</v>
      </c>
      <c r="J600" s="186">
        <v>1134168</v>
      </c>
    </row>
    <row r="601" spans="1:10" s="186" customFormat="1" ht="12.75" hidden="1" customHeight="1">
      <c r="A601" s="775" t="s">
        <v>315</v>
      </c>
      <c r="B601" s="775" t="s">
        <v>2070</v>
      </c>
      <c r="C601" s="776">
        <v>8500</v>
      </c>
      <c r="D601" s="776">
        <v>1000</v>
      </c>
      <c r="E601" s="776">
        <v>7000</v>
      </c>
      <c r="F601" s="776">
        <v>0</v>
      </c>
      <c r="G601" s="776">
        <v>0</v>
      </c>
      <c r="H601" s="763"/>
      <c r="I601" s="186">
        <f t="shared" si="21"/>
        <v>16500</v>
      </c>
      <c r="J601" s="186">
        <v>1134169</v>
      </c>
    </row>
    <row r="602" spans="1:10" s="186" customFormat="1" ht="12.75" hidden="1" customHeight="1">
      <c r="A602" s="775" t="s">
        <v>317</v>
      </c>
      <c r="B602" s="775" t="s">
        <v>2071</v>
      </c>
      <c r="C602" s="776">
        <v>0</v>
      </c>
      <c r="D602" s="776">
        <v>0</v>
      </c>
      <c r="E602" s="776">
        <v>0</v>
      </c>
      <c r="F602" s="776">
        <v>0</v>
      </c>
      <c r="G602" s="776">
        <v>0</v>
      </c>
      <c r="H602" s="763"/>
      <c r="I602" s="186">
        <f t="shared" si="21"/>
        <v>0</v>
      </c>
      <c r="J602" s="186">
        <v>1134170</v>
      </c>
    </row>
    <row r="603" spans="1:10" s="186" customFormat="1" ht="15.75" customHeight="1">
      <c r="A603" s="775" t="s">
        <v>329</v>
      </c>
      <c r="B603" s="775" t="s">
        <v>2072</v>
      </c>
      <c r="C603" s="776">
        <v>0</v>
      </c>
      <c r="D603" s="776">
        <v>0</v>
      </c>
      <c r="E603" s="776">
        <v>0</v>
      </c>
      <c r="F603" s="776">
        <v>0</v>
      </c>
      <c r="G603" s="776">
        <v>0</v>
      </c>
      <c r="H603" s="763"/>
    </row>
    <row r="604" spans="1:10" s="186" customFormat="1" ht="12.75" customHeight="1">
      <c r="A604" s="775" t="s">
        <v>343</v>
      </c>
      <c r="B604" s="775" t="s">
        <v>2073</v>
      </c>
      <c r="C604" s="776">
        <v>0</v>
      </c>
      <c r="D604" s="776">
        <v>0</v>
      </c>
      <c r="E604" s="776">
        <v>0</v>
      </c>
      <c r="F604" s="776">
        <v>0</v>
      </c>
      <c r="G604" s="776">
        <v>0</v>
      </c>
      <c r="H604" s="763"/>
      <c r="I604" s="187">
        <v>0</v>
      </c>
      <c r="J604" s="186">
        <v>1134171</v>
      </c>
    </row>
    <row r="605" spans="1:10" s="186" customFormat="1" ht="12.75" customHeight="1">
      <c r="A605" s="775" t="s">
        <v>169</v>
      </c>
      <c r="B605" s="775" t="s">
        <v>2074</v>
      </c>
      <c r="C605" s="776">
        <v>0</v>
      </c>
      <c r="D605" s="776">
        <v>0</v>
      </c>
      <c r="E605" s="776">
        <v>0</v>
      </c>
      <c r="F605" s="776">
        <v>0</v>
      </c>
      <c r="G605" s="776">
        <v>0</v>
      </c>
      <c r="H605" s="763"/>
      <c r="I605" s="186">
        <f t="shared" ref="I605:I615" si="22">C605+D605+E605+F605+G605</f>
        <v>0</v>
      </c>
      <c r="J605" s="186">
        <v>1134172</v>
      </c>
    </row>
    <row r="606" spans="1:10" s="186" customFormat="1" ht="12.75" customHeight="1">
      <c r="A606" s="775" t="s">
        <v>195</v>
      </c>
      <c r="B606" s="775" t="s">
        <v>2075</v>
      </c>
      <c r="C606" s="776">
        <v>0</v>
      </c>
      <c r="D606" s="776">
        <v>0</v>
      </c>
      <c r="E606" s="776">
        <v>0</v>
      </c>
      <c r="F606" s="776">
        <v>0</v>
      </c>
      <c r="G606" s="776">
        <v>0</v>
      </c>
      <c r="H606" s="763"/>
      <c r="I606" s="186">
        <f t="shared" si="22"/>
        <v>0</v>
      </c>
      <c r="J606" s="186">
        <v>1134173</v>
      </c>
    </row>
    <row r="607" spans="1:10" s="186" customFormat="1" ht="12.75" customHeight="1">
      <c r="A607" s="775" t="s">
        <v>249</v>
      </c>
      <c r="B607" s="775" t="s">
        <v>2076</v>
      </c>
      <c r="C607" s="776">
        <v>0</v>
      </c>
      <c r="D607" s="776">
        <v>0</v>
      </c>
      <c r="E607" s="776">
        <v>0</v>
      </c>
      <c r="F607" s="776">
        <v>0</v>
      </c>
      <c r="G607" s="776">
        <v>0</v>
      </c>
      <c r="H607" s="763"/>
      <c r="I607" s="186">
        <f t="shared" si="22"/>
        <v>0</v>
      </c>
      <c r="J607" s="186">
        <v>1134174</v>
      </c>
    </row>
    <row r="608" spans="1:10" s="186" customFormat="1" ht="12.75" customHeight="1">
      <c r="A608" s="775" t="s">
        <v>251</v>
      </c>
      <c r="B608" s="775" t="s">
        <v>2077</v>
      </c>
      <c r="C608" s="776">
        <v>0</v>
      </c>
      <c r="D608" s="776">
        <v>0</v>
      </c>
      <c r="E608" s="776">
        <v>0</v>
      </c>
      <c r="F608" s="776">
        <v>0</v>
      </c>
      <c r="G608" s="776">
        <v>0</v>
      </c>
      <c r="H608" s="763"/>
      <c r="I608" s="186">
        <f t="shared" si="22"/>
        <v>0</v>
      </c>
      <c r="J608" s="186">
        <v>1134175</v>
      </c>
    </row>
    <row r="609" spans="1:10" s="186" customFormat="1" ht="12.75" customHeight="1">
      <c r="A609" s="775" t="s">
        <v>259</v>
      </c>
      <c r="B609" s="775" t="s">
        <v>2078</v>
      </c>
      <c r="C609" s="776">
        <v>0</v>
      </c>
      <c r="D609" s="776">
        <v>0</v>
      </c>
      <c r="E609" s="776">
        <v>0</v>
      </c>
      <c r="F609" s="776">
        <v>0</v>
      </c>
      <c r="G609" s="776">
        <v>0</v>
      </c>
      <c r="H609" s="763"/>
      <c r="I609" s="186">
        <f t="shared" si="22"/>
        <v>0</v>
      </c>
      <c r="J609" s="186">
        <v>1134176</v>
      </c>
    </row>
    <row r="610" spans="1:10" s="186" customFormat="1" ht="12.75" customHeight="1">
      <c r="A610" s="775" t="s">
        <v>395</v>
      </c>
      <c r="B610" s="775" t="s">
        <v>2079</v>
      </c>
      <c r="C610" s="776">
        <v>0</v>
      </c>
      <c r="D610" s="776">
        <v>0</v>
      </c>
      <c r="E610" s="776">
        <v>0</v>
      </c>
      <c r="F610" s="776">
        <v>0</v>
      </c>
      <c r="G610" s="776">
        <v>0</v>
      </c>
      <c r="H610" s="763"/>
      <c r="I610" s="186">
        <f t="shared" si="22"/>
        <v>0</v>
      </c>
      <c r="J610" s="186">
        <v>1134177</v>
      </c>
    </row>
    <row r="611" spans="1:10" s="186" customFormat="1" ht="12.75" customHeight="1">
      <c r="A611" s="775" t="s">
        <v>197</v>
      </c>
      <c r="B611" s="775" t="s">
        <v>2080</v>
      </c>
      <c r="C611" s="776">
        <v>0</v>
      </c>
      <c r="D611" s="776">
        <v>0</v>
      </c>
      <c r="E611" s="776">
        <v>0</v>
      </c>
      <c r="F611" s="776">
        <v>0</v>
      </c>
      <c r="G611" s="776">
        <v>0</v>
      </c>
      <c r="H611" s="763"/>
      <c r="I611" s="186">
        <f t="shared" si="22"/>
        <v>0</v>
      </c>
      <c r="J611" s="186">
        <v>1134178</v>
      </c>
    </row>
    <row r="612" spans="1:10" s="186" customFormat="1" ht="12.75" customHeight="1">
      <c r="A612" s="775" t="s">
        <v>199</v>
      </c>
      <c r="B612" s="775" t="s">
        <v>2081</v>
      </c>
      <c r="C612" s="776">
        <v>0</v>
      </c>
      <c r="D612" s="776">
        <v>0</v>
      </c>
      <c r="E612" s="776">
        <v>0</v>
      </c>
      <c r="F612" s="776">
        <v>0</v>
      </c>
      <c r="G612" s="776">
        <v>0</v>
      </c>
      <c r="H612" s="763"/>
      <c r="I612" s="186">
        <f t="shared" si="22"/>
        <v>0</v>
      </c>
      <c r="J612" s="186">
        <v>1134179</v>
      </c>
    </row>
    <row r="613" spans="1:10" s="186" customFormat="1" ht="12.75" customHeight="1">
      <c r="A613" s="775" t="s">
        <v>201</v>
      </c>
      <c r="B613" s="775" t="s">
        <v>2082</v>
      </c>
      <c r="C613" s="776">
        <v>0</v>
      </c>
      <c r="D613" s="776">
        <v>0</v>
      </c>
      <c r="E613" s="776">
        <v>0</v>
      </c>
      <c r="F613" s="776">
        <v>0</v>
      </c>
      <c r="G613" s="776">
        <v>0</v>
      </c>
      <c r="H613" s="763"/>
      <c r="I613" s="186">
        <f t="shared" si="22"/>
        <v>0</v>
      </c>
      <c r="J613" s="186">
        <v>1134180</v>
      </c>
    </row>
    <row r="614" spans="1:10" s="186" customFormat="1" ht="12.75" customHeight="1">
      <c r="A614" s="775" t="s">
        <v>203</v>
      </c>
      <c r="B614" s="775" t="s">
        <v>2083</v>
      </c>
      <c r="C614" s="776">
        <v>0</v>
      </c>
      <c r="D614" s="776">
        <v>0</v>
      </c>
      <c r="E614" s="776">
        <v>0</v>
      </c>
      <c r="F614" s="776">
        <v>0</v>
      </c>
      <c r="G614" s="776">
        <v>0</v>
      </c>
      <c r="H614" s="763"/>
      <c r="I614" s="186">
        <f t="shared" si="22"/>
        <v>0</v>
      </c>
      <c r="J614" s="186">
        <v>1134181</v>
      </c>
    </row>
    <row r="615" spans="1:10" s="186" customFormat="1" ht="12.75" customHeight="1">
      <c r="A615" s="775" t="s">
        <v>211</v>
      </c>
      <c r="B615" s="775" t="s">
        <v>2084</v>
      </c>
      <c r="C615" s="776">
        <v>0</v>
      </c>
      <c r="D615" s="776">
        <v>0</v>
      </c>
      <c r="E615" s="776">
        <v>0</v>
      </c>
      <c r="F615" s="776">
        <v>0</v>
      </c>
      <c r="G615" s="776">
        <v>0</v>
      </c>
      <c r="H615" s="763"/>
      <c r="I615" s="186">
        <f t="shared" si="22"/>
        <v>0</v>
      </c>
      <c r="J615" s="186">
        <v>1134182</v>
      </c>
    </row>
    <row r="616" spans="1:10" s="186" customFormat="1" ht="13">
      <c r="A616" s="775" t="s">
        <v>213</v>
      </c>
      <c r="B616" s="775" t="s">
        <v>2085</v>
      </c>
      <c r="C616" s="776">
        <v>0</v>
      </c>
      <c r="D616" s="776">
        <v>0</v>
      </c>
      <c r="E616" s="776">
        <v>0</v>
      </c>
      <c r="F616" s="776">
        <v>0</v>
      </c>
      <c r="G616" s="776">
        <v>0</v>
      </c>
      <c r="H616" s="763"/>
    </row>
    <row r="617" spans="1:10" s="186" customFormat="1" ht="12.75" customHeight="1">
      <c r="A617" s="775" t="s">
        <v>217</v>
      </c>
      <c r="B617" s="775" t="s">
        <v>2086</v>
      </c>
      <c r="C617" s="776">
        <v>0</v>
      </c>
      <c r="D617" s="776">
        <v>0</v>
      </c>
      <c r="E617" s="776">
        <v>0</v>
      </c>
      <c r="F617" s="776">
        <v>0</v>
      </c>
      <c r="G617" s="776">
        <v>0</v>
      </c>
      <c r="H617" s="763"/>
      <c r="I617" s="781">
        <f>C617+D617+E617+F617+G617</f>
        <v>0</v>
      </c>
      <c r="J617" s="186">
        <v>1134183</v>
      </c>
    </row>
    <row r="618" spans="1:10" s="186" customFormat="1" ht="12.75" customHeight="1">
      <c r="A618" s="775" t="s">
        <v>219</v>
      </c>
      <c r="B618" s="775" t="s">
        <v>2087</v>
      </c>
      <c r="C618" s="776">
        <v>0</v>
      </c>
      <c r="D618" s="776">
        <v>0</v>
      </c>
      <c r="E618" s="776">
        <v>0</v>
      </c>
      <c r="F618" s="776">
        <v>0</v>
      </c>
      <c r="G618" s="776">
        <v>0</v>
      </c>
      <c r="H618" s="763"/>
      <c r="I618" s="186">
        <v>0</v>
      </c>
    </row>
    <row r="619" spans="1:10" s="186" customFormat="1" ht="13">
      <c r="A619" s="775" t="s">
        <v>221</v>
      </c>
      <c r="B619" s="775" t="s">
        <v>2088</v>
      </c>
      <c r="C619" s="776">
        <v>0</v>
      </c>
      <c r="D619" s="776">
        <v>0</v>
      </c>
      <c r="E619" s="776">
        <v>0</v>
      </c>
      <c r="F619" s="776">
        <v>0</v>
      </c>
      <c r="G619" s="776">
        <v>0</v>
      </c>
      <c r="H619" s="763"/>
      <c r="I619" s="780">
        <f>C619+D619+E619+F619+G619</f>
        <v>0</v>
      </c>
      <c r="J619" s="186">
        <v>1134184</v>
      </c>
    </row>
    <row r="620" spans="1:10" s="186" customFormat="1" ht="13">
      <c r="A620" s="775" t="s">
        <v>223</v>
      </c>
      <c r="B620" s="775" t="s">
        <v>2089</v>
      </c>
      <c r="C620" s="776">
        <v>0</v>
      </c>
      <c r="D620" s="776">
        <v>0</v>
      </c>
      <c r="E620" s="776">
        <v>0</v>
      </c>
      <c r="F620" s="776">
        <v>0</v>
      </c>
      <c r="G620" s="776">
        <v>0</v>
      </c>
      <c r="H620" s="763"/>
    </row>
    <row r="621" spans="1:10" s="186" customFormat="1" ht="13.5" customHeight="1">
      <c r="A621" s="775" t="s">
        <v>225</v>
      </c>
      <c r="B621" s="775" t="s">
        <v>2090</v>
      </c>
      <c r="C621" s="776">
        <v>0</v>
      </c>
      <c r="D621" s="776">
        <v>0</v>
      </c>
      <c r="E621" s="776">
        <v>0</v>
      </c>
      <c r="F621" s="776">
        <v>0</v>
      </c>
      <c r="G621" s="776">
        <v>0</v>
      </c>
      <c r="H621" s="763"/>
      <c r="I621" s="794">
        <f>C621+D621+E621+F621+G621</f>
        <v>0</v>
      </c>
      <c r="J621" s="186">
        <v>1134185</v>
      </c>
    </row>
    <row r="622" spans="1:10" s="186" customFormat="1" ht="13.5" customHeight="1">
      <c r="A622" s="775" t="s">
        <v>227</v>
      </c>
      <c r="B622" s="775" t="s">
        <v>2091</v>
      </c>
      <c r="C622" s="776">
        <v>0</v>
      </c>
      <c r="D622" s="776">
        <v>0</v>
      </c>
      <c r="E622" s="776">
        <v>0</v>
      </c>
      <c r="F622" s="776">
        <v>0</v>
      </c>
      <c r="G622" s="776">
        <v>0</v>
      </c>
      <c r="H622" s="763"/>
    </row>
    <row r="623" spans="1:10" s="186" customFormat="1" ht="13.5" customHeight="1">
      <c r="A623" s="775" t="s">
        <v>229</v>
      </c>
      <c r="B623" s="775" t="s">
        <v>2092</v>
      </c>
      <c r="C623" s="776">
        <v>0</v>
      </c>
      <c r="D623" s="776">
        <v>0</v>
      </c>
      <c r="E623" s="776">
        <v>0</v>
      </c>
      <c r="F623" s="776">
        <v>0</v>
      </c>
      <c r="G623" s="776">
        <v>0</v>
      </c>
      <c r="H623" s="763"/>
      <c r="I623" s="794">
        <f>C623+D623+E623+F623+G623</f>
        <v>0</v>
      </c>
      <c r="J623" s="186">
        <v>1134186</v>
      </c>
    </row>
    <row r="624" spans="1:10" ht="10.5" customHeight="1">
      <c r="A624" s="775" t="s">
        <v>235</v>
      </c>
      <c r="B624" s="775" t="s">
        <v>2093</v>
      </c>
      <c r="C624" s="776">
        <v>0</v>
      </c>
      <c r="D624" s="776">
        <v>0</v>
      </c>
      <c r="E624" s="776">
        <v>0</v>
      </c>
      <c r="F624" s="776">
        <v>0</v>
      </c>
      <c r="G624" s="776">
        <v>0</v>
      </c>
      <c r="H624" s="763"/>
    </row>
    <row r="625" spans="1:8" s="185" customFormat="1" ht="13">
      <c r="A625" s="775" t="s">
        <v>2094</v>
      </c>
      <c r="B625" s="775" t="s">
        <v>2095</v>
      </c>
      <c r="C625" s="776">
        <v>0</v>
      </c>
      <c r="D625" s="776">
        <v>0</v>
      </c>
      <c r="E625" s="776">
        <v>0</v>
      </c>
      <c r="F625" s="776">
        <v>0</v>
      </c>
      <c r="G625" s="776">
        <v>0</v>
      </c>
      <c r="H625" s="763"/>
    </row>
    <row r="626" spans="1:8" ht="10.5" customHeight="1">
      <c r="A626" s="775" t="s">
        <v>245</v>
      </c>
      <c r="B626" s="775" t="s">
        <v>2096</v>
      </c>
      <c r="C626" s="776">
        <v>0</v>
      </c>
      <c r="D626" s="776">
        <v>0</v>
      </c>
      <c r="E626" s="776">
        <v>0</v>
      </c>
      <c r="F626" s="776">
        <v>0</v>
      </c>
      <c r="G626" s="776">
        <v>0</v>
      </c>
      <c r="H626" s="763"/>
    </row>
    <row r="627" spans="1:8" ht="10.5" customHeight="1">
      <c r="A627" s="775" t="s">
        <v>345</v>
      </c>
      <c r="B627" s="775" t="s">
        <v>2097</v>
      </c>
      <c r="C627" s="776">
        <v>0</v>
      </c>
      <c r="D627" s="776">
        <v>0</v>
      </c>
      <c r="E627" s="776">
        <v>0</v>
      </c>
      <c r="F627" s="776">
        <v>0</v>
      </c>
      <c r="G627" s="776">
        <v>0</v>
      </c>
      <c r="H627" s="763"/>
    </row>
    <row r="628" spans="1:8" ht="12">
      <c r="A628" s="775" t="s">
        <v>347</v>
      </c>
      <c r="B628" s="775" t="s">
        <v>2098</v>
      </c>
      <c r="C628" s="776">
        <v>0</v>
      </c>
      <c r="D628" s="776">
        <v>0</v>
      </c>
      <c r="E628" s="776">
        <v>0</v>
      </c>
      <c r="F628" s="776">
        <v>0</v>
      </c>
      <c r="G628" s="776">
        <v>0</v>
      </c>
      <c r="H628" s="763"/>
    </row>
    <row r="629" spans="1:8" ht="12.75" customHeight="1">
      <c r="A629" s="775" t="s">
        <v>351</v>
      </c>
      <c r="B629" s="775" t="s">
        <v>2099</v>
      </c>
      <c r="C629" s="776">
        <v>0</v>
      </c>
      <c r="D629" s="776">
        <v>0</v>
      </c>
      <c r="E629" s="776">
        <v>0</v>
      </c>
      <c r="F629" s="776">
        <v>0</v>
      </c>
      <c r="G629" s="776">
        <v>0</v>
      </c>
      <c r="H629" s="763"/>
    </row>
    <row r="630" spans="1:8" ht="12.75" customHeight="1">
      <c r="A630" s="775" t="s">
        <v>205</v>
      </c>
      <c r="B630" s="775" t="s">
        <v>2100</v>
      </c>
      <c r="C630" s="776">
        <v>0</v>
      </c>
      <c r="D630" s="776">
        <v>0</v>
      </c>
      <c r="E630" s="776">
        <v>0</v>
      </c>
      <c r="F630" s="776">
        <v>0</v>
      </c>
      <c r="G630" s="776">
        <v>0</v>
      </c>
      <c r="H630" s="763"/>
    </row>
    <row r="631" spans="1:8" ht="12.75" customHeight="1">
      <c r="A631" s="775" t="s">
        <v>361</v>
      </c>
      <c r="B631" s="775" t="s">
        <v>2101</v>
      </c>
      <c r="C631" s="776">
        <v>0</v>
      </c>
      <c r="D631" s="776">
        <v>0</v>
      </c>
      <c r="E631" s="776">
        <v>0</v>
      </c>
      <c r="F631" s="776">
        <v>0</v>
      </c>
      <c r="G631" s="776">
        <v>0</v>
      </c>
      <c r="H631" s="763"/>
    </row>
    <row r="632" spans="1:8" ht="12.75" customHeight="1">
      <c r="A632" s="775" t="s">
        <v>363</v>
      </c>
      <c r="B632" s="775" t="s">
        <v>2102</v>
      </c>
      <c r="C632" s="776">
        <v>0</v>
      </c>
      <c r="D632" s="776">
        <v>0</v>
      </c>
      <c r="E632" s="776">
        <v>0</v>
      </c>
      <c r="F632" s="776">
        <v>0</v>
      </c>
      <c r="G632" s="776">
        <v>0</v>
      </c>
      <c r="H632" s="763"/>
    </row>
    <row r="633" spans="1:8" ht="12.75" customHeight="1">
      <c r="A633" s="775" t="s">
        <v>365</v>
      </c>
      <c r="B633" s="775" t="s">
        <v>2103</v>
      </c>
      <c r="C633" s="776">
        <v>0</v>
      </c>
      <c r="D633" s="776">
        <v>0</v>
      </c>
      <c r="E633" s="776">
        <v>0</v>
      </c>
      <c r="F633" s="776">
        <v>0</v>
      </c>
      <c r="G633" s="776">
        <v>0</v>
      </c>
      <c r="H633" s="763"/>
    </row>
    <row r="634" spans="1:8" ht="12.75" customHeight="1">
      <c r="A634" s="775" t="s">
        <v>367</v>
      </c>
      <c r="B634" s="775" t="s">
        <v>2104</v>
      </c>
      <c r="C634" s="776">
        <v>0</v>
      </c>
      <c r="D634" s="776">
        <v>0</v>
      </c>
      <c r="E634" s="776">
        <v>0</v>
      </c>
      <c r="F634" s="776">
        <v>0</v>
      </c>
      <c r="G634" s="776">
        <v>0</v>
      </c>
      <c r="H634" s="763"/>
    </row>
    <row r="635" spans="1:8" ht="10.5" customHeight="1">
      <c r="A635" s="775" t="s">
        <v>375</v>
      </c>
      <c r="B635" s="775" t="s">
        <v>376</v>
      </c>
      <c r="C635" s="776">
        <v>0</v>
      </c>
      <c r="D635" s="776">
        <v>0</v>
      </c>
      <c r="E635" s="776">
        <v>0</v>
      </c>
      <c r="F635" s="776">
        <v>0</v>
      </c>
      <c r="G635" s="776">
        <v>0</v>
      </c>
      <c r="H635" s="763"/>
    </row>
    <row r="636" spans="1:8" ht="10.5" customHeight="1">
      <c r="A636" s="775" t="s">
        <v>377</v>
      </c>
      <c r="B636" s="775" t="s">
        <v>2105</v>
      </c>
      <c r="C636" s="776">
        <v>0</v>
      </c>
      <c r="D636" s="776">
        <v>0</v>
      </c>
      <c r="E636" s="776">
        <v>0</v>
      </c>
      <c r="F636" s="776">
        <v>0</v>
      </c>
      <c r="G636" s="776">
        <v>0</v>
      </c>
      <c r="H636" s="763"/>
    </row>
    <row r="637" spans="1:8" ht="10.5" customHeight="1">
      <c r="A637" s="775" t="s">
        <v>2106</v>
      </c>
      <c r="B637" s="775" t="s">
        <v>2107</v>
      </c>
      <c r="C637" s="776">
        <v>0</v>
      </c>
      <c r="D637" s="776">
        <v>0</v>
      </c>
      <c r="E637" s="776">
        <v>0</v>
      </c>
      <c r="F637" s="776">
        <v>0</v>
      </c>
      <c r="G637" s="776">
        <v>0</v>
      </c>
      <c r="H637" s="763"/>
    </row>
    <row r="638" spans="1:8" ht="10.5" customHeight="1">
      <c r="A638" s="775" t="s">
        <v>1327</v>
      </c>
      <c r="B638" s="775" t="s">
        <v>2108</v>
      </c>
      <c r="C638" s="776">
        <v>0</v>
      </c>
      <c r="D638" s="776">
        <v>0</v>
      </c>
      <c r="E638" s="776">
        <v>0</v>
      </c>
      <c r="F638" s="776">
        <v>0</v>
      </c>
      <c r="G638" s="776">
        <v>0</v>
      </c>
      <c r="H638" s="763"/>
    </row>
    <row r="639" spans="1:8" ht="10.5" customHeight="1">
      <c r="A639" s="775"/>
      <c r="B639" s="775"/>
      <c r="C639" s="776"/>
      <c r="D639" s="776"/>
      <c r="E639" s="776"/>
      <c r="F639" s="776"/>
      <c r="G639" s="776"/>
      <c r="H639" s="763"/>
    </row>
    <row r="640" spans="1:8" ht="10.5" customHeight="1">
      <c r="A640" s="269" t="s">
        <v>403</v>
      </c>
      <c r="B640" s="269" t="s">
        <v>2109</v>
      </c>
      <c r="C640" s="270" t="s">
        <v>1483</v>
      </c>
      <c r="D640" s="270" t="s">
        <v>1483</v>
      </c>
      <c r="E640" s="270" t="s">
        <v>1483</v>
      </c>
      <c r="F640" s="270" t="s">
        <v>1483</v>
      </c>
      <c r="G640" s="270" t="s">
        <v>1483</v>
      </c>
      <c r="H640" s="713"/>
    </row>
    <row r="641" spans="1:8" ht="10.5" customHeight="1">
      <c r="A641" s="775" t="s">
        <v>405</v>
      </c>
      <c r="B641" s="775" t="s">
        <v>2110</v>
      </c>
      <c r="C641" s="776">
        <v>0</v>
      </c>
      <c r="D641" s="776">
        <v>0</v>
      </c>
      <c r="E641" s="776">
        <v>0</v>
      </c>
      <c r="F641" s="776">
        <v>0</v>
      </c>
      <c r="G641" s="776">
        <v>0</v>
      </c>
      <c r="H641" s="763"/>
    </row>
    <row r="642" spans="1:8" ht="10.5" customHeight="1">
      <c r="A642" s="775" t="s">
        <v>409</v>
      </c>
      <c r="B642" s="775" t="s">
        <v>2111</v>
      </c>
      <c r="C642" s="776">
        <v>0</v>
      </c>
      <c r="D642" s="776">
        <v>0</v>
      </c>
      <c r="E642" s="776">
        <v>0</v>
      </c>
      <c r="F642" s="776">
        <v>0</v>
      </c>
      <c r="G642" s="776">
        <v>0</v>
      </c>
      <c r="H642" s="763"/>
    </row>
    <row r="643" spans="1:8" ht="10.5" customHeight="1">
      <c r="A643" s="775" t="s">
        <v>411</v>
      </c>
      <c r="B643" s="775" t="s">
        <v>2112</v>
      </c>
      <c r="C643" s="776">
        <v>0</v>
      </c>
      <c r="D643" s="776">
        <v>0</v>
      </c>
      <c r="E643" s="776">
        <v>0</v>
      </c>
      <c r="F643" s="776">
        <v>0</v>
      </c>
      <c r="G643" s="776">
        <v>0</v>
      </c>
      <c r="H643" s="763"/>
    </row>
    <row r="644" spans="1:8" ht="10.5" customHeight="1">
      <c r="A644" s="775" t="s">
        <v>413</v>
      </c>
      <c r="B644" s="775" t="s">
        <v>2113</v>
      </c>
      <c r="C644" s="776">
        <v>0</v>
      </c>
      <c r="D644" s="776">
        <v>0</v>
      </c>
      <c r="E644" s="776">
        <v>0</v>
      </c>
      <c r="F644" s="776">
        <v>0</v>
      </c>
      <c r="G644" s="776">
        <v>0</v>
      </c>
      <c r="H644" s="763"/>
    </row>
    <row r="645" spans="1:8" ht="10.5" customHeight="1">
      <c r="A645" s="775" t="s">
        <v>415</v>
      </c>
      <c r="B645" s="775" t="s">
        <v>2114</v>
      </c>
      <c r="C645" s="776">
        <v>0</v>
      </c>
      <c r="D645" s="776">
        <v>0</v>
      </c>
      <c r="E645" s="776">
        <v>0</v>
      </c>
      <c r="F645" s="776">
        <v>0</v>
      </c>
      <c r="G645" s="776">
        <v>0</v>
      </c>
      <c r="H645" s="763"/>
    </row>
    <row r="646" spans="1:8" ht="10.5" customHeight="1">
      <c r="A646" s="775" t="s">
        <v>417</v>
      </c>
      <c r="B646" s="775" t="s">
        <v>2115</v>
      </c>
      <c r="C646" s="776">
        <v>0</v>
      </c>
      <c r="D646" s="776">
        <v>0</v>
      </c>
      <c r="E646" s="776">
        <v>0</v>
      </c>
      <c r="F646" s="776">
        <v>0</v>
      </c>
      <c r="G646" s="776">
        <v>0</v>
      </c>
      <c r="H646" s="763"/>
    </row>
    <row r="647" spans="1:8" ht="10.5" customHeight="1">
      <c r="A647" s="775" t="s">
        <v>431</v>
      </c>
      <c r="B647" s="775" t="s">
        <v>2116</v>
      </c>
      <c r="C647" s="776">
        <v>0</v>
      </c>
      <c r="D647" s="776">
        <v>0</v>
      </c>
      <c r="E647" s="776">
        <v>0</v>
      </c>
      <c r="F647" s="776">
        <v>0</v>
      </c>
      <c r="G647" s="776">
        <v>0</v>
      </c>
      <c r="H647" s="763"/>
    </row>
    <row r="648" spans="1:8" ht="10.5" customHeight="1">
      <c r="A648" s="775" t="s">
        <v>433</v>
      </c>
      <c r="B648" s="775" t="s">
        <v>2117</v>
      </c>
      <c r="C648" s="776">
        <v>15008.65</v>
      </c>
      <c r="D648" s="776">
        <v>0</v>
      </c>
      <c r="E648" s="776">
        <v>659559.49</v>
      </c>
      <c r="F648" s="776">
        <v>0</v>
      </c>
      <c r="G648" s="776">
        <v>0</v>
      </c>
      <c r="H648" s="763"/>
    </row>
    <row r="649" spans="1:8" ht="10.5" customHeight="1">
      <c r="A649" s="775" t="s">
        <v>435</v>
      </c>
      <c r="B649" s="775" t="s">
        <v>2118</v>
      </c>
      <c r="C649" s="776">
        <v>0</v>
      </c>
      <c r="D649" s="776">
        <v>0</v>
      </c>
      <c r="E649" s="776">
        <v>0</v>
      </c>
      <c r="F649" s="776">
        <v>0</v>
      </c>
      <c r="G649" s="776">
        <v>0</v>
      </c>
      <c r="H649" s="763"/>
    </row>
    <row r="650" spans="1:8" ht="10.5" customHeight="1">
      <c r="A650" s="775" t="s">
        <v>437</v>
      </c>
      <c r="B650" s="775" t="s">
        <v>2119</v>
      </c>
      <c r="C650" s="776">
        <v>0</v>
      </c>
      <c r="D650" s="776">
        <v>0</v>
      </c>
      <c r="E650" s="776">
        <v>0</v>
      </c>
      <c r="F650" s="776">
        <v>0</v>
      </c>
      <c r="G650" s="776">
        <v>0</v>
      </c>
      <c r="H650" s="763"/>
    </row>
    <row r="651" spans="1:8" ht="10.5" customHeight="1">
      <c r="A651" s="775" t="s">
        <v>441</v>
      </c>
      <c r="B651" s="775" t="s">
        <v>2120</v>
      </c>
      <c r="C651" s="776">
        <v>0</v>
      </c>
      <c r="D651" s="776">
        <v>0</v>
      </c>
      <c r="E651" s="776">
        <v>0</v>
      </c>
      <c r="F651" s="776">
        <v>0</v>
      </c>
      <c r="G651" s="776">
        <v>0</v>
      </c>
      <c r="H651" s="763"/>
    </row>
    <row r="652" spans="1:8" ht="10.5" customHeight="1">
      <c r="A652" s="775" t="s">
        <v>445</v>
      </c>
      <c r="B652" s="775" t="s">
        <v>2121</v>
      </c>
      <c r="C652" s="776">
        <v>0</v>
      </c>
      <c r="D652" s="776">
        <v>0</v>
      </c>
      <c r="E652" s="776">
        <v>0</v>
      </c>
      <c r="F652" s="776">
        <v>0</v>
      </c>
      <c r="G652" s="776">
        <v>0</v>
      </c>
      <c r="H652" s="763"/>
    </row>
    <row r="653" spans="1:8" ht="10.5" customHeight="1">
      <c r="A653" s="775" t="s">
        <v>451</v>
      </c>
      <c r="B653" s="775" t="s">
        <v>2122</v>
      </c>
      <c r="C653" s="776">
        <v>0</v>
      </c>
      <c r="D653" s="776">
        <v>0</v>
      </c>
      <c r="E653" s="776">
        <v>0</v>
      </c>
      <c r="F653" s="776">
        <v>0</v>
      </c>
      <c r="G653" s="776">
        <v>0</v>
      </c>
      <c r="H653" s="763"/>
    </row>
    <row r="654" spans="1:8" ht="10.5" customHeight="1">
      <c r="A654" s="775" t="s">
        <v>439</v>
      </c>
      <c r="B654" s="775" t="s">
        <v>440</v>
      </c>
      <c r="C654" s="776">
        <v>0</v>
      </c>
      <c r="D654" s="776">
        <v>0</v>
      </c>
      <c r="E654" s="776">
        <v>0</v>
      </c>
      <c r="F654" s="776">
        <v>0</v>
      </c>
      <c r="G654" s="776">
        <v>0</v>
      </c>
      <c r="H654" s="763"/>
    </row>
    <row r="655" spans="1:8" ht="10.5" customHeight="1">
      <c r="A655" s="775" t="s">
        <v>407</v>
      </c>
      <c r="B655" s="775" t="s">
        <v>2123</v>
      </c>
      <c r="C655" s="776">
        <v>0</v>
      </c>
      <c r="D655" s="776">
        <v>0</v>
      </c>
      <c r="E655" s="776">
        <v>0</v>
      </c>
      <c r="F655" s="776">
        <v>0</v>
      </c>
      <c r="G655" s="776">
        <v>0</v>
      </c>
      <c r="H655" s="763"/>
    </row>
    <row r="656" spans="1:8" ht="10.5" customHeight="1">
      <c r="A656" s="775" t="s">
        <v>453</v>
      </c>
      <c r="B656" s="775" t="s">
        <v>454</v>
      </c>
      <c r="C656" s="776">
        <v>0</v>
      </c>
      <c r="D656" s="776">
        <v>0</v>
      </c>
      <c r="E656" s="776">
        <v>0</v>
      </c>
      <c r="F656" s="776">
        <v>0</v>
      </c>
      <c r="G656" s="776">
        <v>0</v>
      </c>
      <c r="H656" s="763"/>
    </row>
    <row r="657" spans="1:8" ht="10.5" customHeight="1">
      <c r="A657" s="775"/>
      <c r="B657" s="775"/>
      <c r="C657" s="776"/>
      <c r="D657" s="776"/>
      <c r="E657" s="776"/>
      <c r="F657" s="776"/>
      <c r="G657" s="776"/>
      <c r="H657" s="763"/>
    </row>
    <row r="658" spans="1:8" ht="10.5" customHeight="1">
      <c r="A658" s="782" t="s">
        <v>1499</v>
      </c>
      <c r="B658" s="782" t="s">
        <v>2124</v>
      </c>
      <c r="C658" s="783">
        <v>-15008.65</v>
      </c>
      <c r="D658" s="783">
        <v>0</v>
      </c>
      <c r="E658" s="783">
        <v>-659559.49</v>
      </c>
      <c r="F658" s="783">
        <v>0</v>
      </c>
      <c r="G658" s="783">
        <v>0</v>
      </c>
      <c r="H658" s="784"/>
    </row>
    <row r="659" spans="1:8" ht="10.5" customHeight="1">
      <c r="A659" s="775"/>
      <c r="B659" s="775"/>
      <c r="C659" s="776"/>
      <c r="D659" s="776"/>
      <c r="E659" s="776"/>
      <c r="F659" s="776"/>
      <c r="G659" s="776"/>
      <c r="H659" s="763"/>
    </row>
    <row r="660" spans="1:8" ht="10.5" customHeight="1">
      <c r="A660" s="777" t="s">
        <v>1499</v>
      </c>
      <c r="B660" s="777" t="s">
        <v>2125</v>
      </c>
      <c r="C660" s="778">
        <v>37008.65</v>
      </c>
      <c r="D660" s="778">
        <v>6000</v>
      </c>
      <c r="E660" s="778">
        <v>670559.49</v>
      </c>
      <c r="F660" s="778">
        <v>0</v>
      </c>
      <c r="G660" s="778">
        <v>0</v>
      </c>
      <c r="H660" s="779"/>
    </row>
    <row r="661" spans="1:8" ht="10.5" customHeight="1">
      <c r="A661" s="775" t="s">
        <v>1499</v>
      </c>
      <c r="B661" s="775" t="s">
        <v>2126</v>
      </c>
      <c r="C661" s="776">
        <v>0</v>
      </c>
      <c r="D661" s="776">
        <v>0</v>
      </c>
      <c r="E661" s="776">
        <v>0</v>
      </c>
      <c r="F661" s="776">
        <v>0</v>
      </c>
      <c r="G661" s="776">
        <v>0</v>
      </c>
      <c r="H661" s="763"/>
    </row>
    <row r="662" spans="1:8" ht="10.5" customHeight="1">
      <c r="A662" s="775"/>
      <c r="B662" s="775"/>
      <c r="C662" s="776"/>
      <c r="D662" s="776"/>
      <c r="E662" s="776"/>
      <c r="F662" s="776"/>
      <c r="G662" s="776"/>
      <c r="H662" s="763"/>
    </row>
    <row r="663" spans="1:8" ht="10.5" customHeight="1">
      <c r="A663" s="872" t="s">
        <v>1499</v>
      </c>
      <c r="B663" s="872" t="s">
        <v>2127</v>
      </c>
      <c r="C663" s="873">
        <v>504138.59</v>
      </c>
      <c r="D663" s="873">
        <v>-521602.04</v>
      </c>
      <c r="E663" s="873">
        <v>315525.71000000002</v>
      </c>
      <c r="F663" s="873">
        <v>-717783.69</v>
      </c>
      <c r="G663" s="873">
        <v>-1.08</v>
      </c>
      <c r="H663" s="795"/>
    </row>
  </sheetData>
  <mergeCells count="1">
    <mergeCell ref="B11:B12"/>
  </mergeCells>
  <conditionalFormatting sqref="B11 A11:A14 C11:G14 B13:B14">
    <cfRule type="cellIs" dxfId="2" priority="1" stopIfTrue="1" operator="equal">
      <formula>"total"</formula>
    </cfRule>
  </conditionalFormatting>
  <printOptions horizontalCentered="1"/>
  <pageMargins left="0" right="0" top="0" bottom="0" header="0" footer="0"/>
  <pageSetup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41"/>
  <sheetViews>
    <sheetView view="pageBreakPreview" topLeftCell="A21" zoomScaleNormal="100" zoomScaleSheetLayoutView="100" workbookViewId="0">
      <selection activeCell="A35" sqref="A35:XFD35"/>
    </sheetView>
  </sheetViews>
  <sheetFormatPr baseColWidth="10" defaultColWidth="8.85546875" defaultRowHeight="16"/>
  <cols>
    <col min="1" max="1" width="3.5703125" style="297" customWidth="1"/>
    <col min="2" max="4" width="8.85546875" style="297"/>
    <col min="5" max="5" width="17.28515625" style="297" customWidth="1"/>
    <col min="6" max="6" width="11.140625" style="297" customWidth="1"/>
    <col min="7" max="7" width="10.85546875" style="297" customWidth="1"/>
    <col min="8" max="8" width="8.85546875" style="297"/>
    <col min="9" max="9" width="3.5703125" style="297" customWidth="1"/>
    <col min="10" max="16384" width="8.85546875" style="297"/>
  </cols>
  <sheetData>
    <row r="1" spans="1:8" ht="62.25" customHeight="1" thickBot="1">
      <c r="A1" s="296"/>
      <c r="B1" s="296"/>
      <c r="C1" s="296"/>
      <c r="D1" s="296"/>
      <c r="E1" s="296"/>
      <c r="F1" s="296"/>
      <c r="G1" s="296"/>
      <c r="H1" s="296"/>
    </row>
    <row r="2" spans="1:8">
      <c r="A2" s="296" t="s">
        <v>2128</v>
      </c>
      <c r="B2" s="298"/>
      <c r="C2" s="299"/>
      <c r="D2" s="299"/>
      <c r="E2" s="299"/>
      <c r="F2" s="299"/>
      <c r="G2" s="299"/>
      <c r="H2" s="300"/>
    </row>
    <row r="3" spans="1:8">
      <c r="A3" s="296"/>
      <c r="B3" s="301"/>
      <c r="C3" s="796"/>
      <c r="D3" s="785"/>
      <c r="E3" s="785"/>
      <c r="F3" s="785"/>
      <c r="G3" s="797"/>
      <c r="H3" s="302"/>
    </row>
    <row r="4" spans="1:8">
      <c r="A4" s="296"/>
      <c r="B4" s="301"/>
      <c r="C4" s="303"/>
      <c r="D4" s="296"/>
      <c r="E4" s="296"/>
      <c r="F4" s="296"/>
      <c r="G4" s="304"/>
      <c r="H4" s="302"/>
    </row>
    <row r="5" spans="1:8">
      <c r="A5" s="296"/>
      <c r="B5" s="301"/>
      <c r="C5" s="303"/>
      <c r="D5" s="296"/>
      <c r="E5" s="296"/>
      <c r="F5" s="296"/>
      <c r="G5" s="304"/>
      <c r="H5" s="302"/>
    </row>
    <row r="6" spans="1:8">
      <c r="A6" s="296"/>
      <c r="B6" s="301"/>
      <c r="C6" s="303"/>
      <c r="D6" s="296"/>
      <c r="E6" s="296"/>
      <c r="F6" s="296"/>
      <c r="G6" s="304"/>
      <c r="H6" s="302"/>
    </row>
    <row r="7" spans="1:8" ht="28">
      <c r="A7" s="296"/>
      <c r="B7" s="301"/>
      <c r="C7" s="977"/>
      <c r="D7" s="978"/>
      <c r="E7" s="978"/>
      <c r="F7" s="978"/>
      <c r="G7" s="979"/>
      <c r="H7" s="302"/>
    </row>
    <row r="8" spans="1:8" ht="18">
      <c r="A8" s="296"/>
      <c r="B8" s="301"/>
      <c r="C8" s="980"/>
      <c r="D8" s="981"/>
      <c r="E8" s="981"/>
      <c r="F8" s="981"/>
      <c r="G8" s="982"/>
      <c r="H8" s="302"/>
    </row>
    <row r="9" spans="1:8">
      <c r="A9" s="296"/>
      <c r="B9" s="301"/>
      <c r="C9" s="303"/>
      <c r="D9" s="296"/>
      <c r="E9" s="296"/>
      <c r="F9" s="296"/>
      <c r="G9" s="304"/>
      <c r="H9" s="302"/>
    </row>
    <row r="10" spans="1:8">
      <c r="A10" s="296"/>
      <c r="B10" s="301"/>
      <c r="C10" s="303"/>
      <c r="D10" s="296"/>
      <c r="E10" s="296"/>
      <c r="F10" s="296"/>
      <c r="G10" s="304"/>
      <c r="H10" s="302"/>
    </row>
    <row r="11" spans="1:8">
      <c r="A11" s="296"/>
      <c r="B11" s="301"/>
      <c r="C11" s="303"/>
      <c r="D11" s="296"/>
      <c r="E11" s="296"/>
      <c r="F11" s="296"/>
      <c r="G11" s="304"/>
      <c r="H11" s="302"/>
    </row>
    <row r="12" spans="1:8">
      <c r="A12" s="296"/>
      <c r="B12" s="301"/>
      <c r="C12" s="303"/>
      <c r="D12" s="296"/>
      <c r="E12" s="296"/>
      <c r="F12" s="296"/>
      <c r="G12" s="304"/>
      <c r="H12" s="302"/>
    </row>
    <row r="13" spans="1:8">
      <c r="A13" s="296"/>
      <c r="B13" s="301"/>
      <c r="C13" s="303"/>
      <c r="D13" s="296"/>
      <c r="E13" s="296"/>
      <c r="F13" s="296"/>
      <c r="G13" s="304"/>
      <c r="H13" s="302"/>
    </row>
    <row r="14" spans="1:8">
      <c r="A14" s="296"/>
      <c r="B14" s="301"/>
      <c r="C14" s="303"/>
      <c r="D14" s="296"/>
      <c r="E14" s="296"/>
      <c r="F14" s="296"/>
      <c r="G14" s="304"/>
      <c r="H14" s="302"/>
    </row>
    <row r="15" spans="1:8">
      <c r="A15" s="296"/>
      <c r="B15" s="301"/>
      <c r="C15" s="305"/>
      <c r="D15" s="306"/>
      <c r="E15" s="306"/>
      <c r="F15" s="306"/>
      <c r="G15" s="307"/>
      <c r="H15" s="302"/>
    </row>
    <row r="16" spans="1:8">
      <c r="A16" s="296"/>
      <c r="B16" s="301"/>
      <c r="C16" s="296"/>
      <c r="D16" s="296"/>
      <c r="E16" s="296"/>
      <c r="F16" s="296"/>
      <c r="G16" s="296"/>
      <c r="H16" s="302"/>
    </row>
    <row r="17" spans="1:8">
      <c r="A17" s="296"/>
      <c r="B17" s="301"/>
      <c r="C17" s="796"/>
      <c r="D17" s="785"/>
      <c r="E17" s="785"/>
      <c r="F17" s="785"/>
      <c r="G17" s="797"/>
      <c r="H17" s="302"/>
    </row>
    <row r="18" spans="1:8">
      <c r="A18" s="296"/>
      <c r="B18" s="301"/>
      <c r="C18" s="303"/>
      <c r="D18" s="296"/>
      <c r="E18" s="296"/>
      <c r="F18" s="296"/>
      <c r="G18" s="304"/>
      <c r="H18" s="302"/>
    </row>
    <row r="19" spans="1:8">
      <c r="A19" s="296"/>
      <c r="B19" s="301"/>
      <c r="C19" s="303"/>
      <c r="D19" s="296"/>
      <c r="E19" s="296"/>
      <c r="F19" s="296"/>
      <c r="G19" s="304"/>
      <c r="H19" s="302"/>
    </row>
    <row r="20" spans="1:8">
      <c r="A20" s="296"/>
      <c r="B20" s="301"/>
      <c r="C20" s="303"/>
      <c r="D20" s="296"/>
      <c r="E20" s="296"/>
      <c r="F20" s="296"/>
      <c r="G20" s="304"/>
      <c r="H20" s="302"/>
    </row>
    <row r="21" spans="1:8" ht="25">
      <c r="A21" s="296"/>
      <c r="B21" s="301"/>
      <c r="C21" s="972"/>
      <c r="D21" s="973"/>
      <c r="E21" s="973"/>
      <c r="F21" s="973"/>
      <c r="G21" s="974"/>
      <c r="H21" s="302"/>
    </row>
    <row r="22" spans="1:8" ht="18">
      <c r="A22" s="296"/>
      <c r="B22" s="301"/>
      <c r="C22" s="988" t="s">
        <v>2129</v>
      </c>
      <c r="D22" s="989"/>
      <c r="E22" s="989"/>
      <c r="F22" s="989"/>
      <c r="G22" s="990"/>
      <c r="H22" s="302"/>
    </row>
    <row r="23" spans="1:8" ht="25">
      <c r="A23" s="296"/>
      <c r="B23" s="301"/>
      <c r="C23" s="983" t="s">
        <v>2130</v>
      </c>
      <c r="D23" s="984"/>
      <c r="E23" s="984"/>
      <c r="F23" s="984"/>
      <c r="G23" s="985"/>
      <c r="H23" s="302"/>
    </row>
    <row r="24" spans="1:8" ht="25">
      <c r="A24" s="296"/>
      <c r="B24" s="301"/>
      <c r="C24" s="983" t="str">
        <f>contents!C2</f>
        <v>Operating Budget</v>
      </c>
      <c r="D24" s="984"/>
      <c r="E24" s="984"/>
      <c r="F24" s="984"/>
      <c r="G24" s="985"/>
      <c r="H24" s="302"/>
    </row>
    <row r="25" spans="1:8" ht="25">
      <c r="A25" s="296"/>
      <c r="B25" s="301"/>
      <c r="C25" s="972" t="str">
        <f>contents!C3</f>
        <v>For Year Ending 12/31/2026</v>
      </c>
      <c r="D25" s="973"/>
      <c r="E25" s="973"/>
      <c r="F25" s="973"/>
      <c r="G25" s="974"/>
      <c r="H25" s="302"/>
    </row>
    <row r="26" spans="1:8">
      <c r="A26" s="296"/>
      <c r="B26" s="301"/>
      <c r="C26" s="303"/>
      <c r="D26" s="296"/>
      <c r="E26" s="308" t="s">
        <v>2131</v>
      </c>
      <c r="F26" s="309">
        <v>204</v>
      </c>
      <c r="G26" s="304"/>
      <c r="H26" s="302"/>
    </row>
    <row r="27" spans="1:8">
      <c r="A27" s="296"/>
      <c r="B27" s="301"/>
      <c r="C27" s="303"/>
      <c r="D27" s="296"/>
      <c r="E27" s="296"/>
      <c r="F27" s="296"/>
      <c r="G27" s="304"/>
      <c r="H27" s="302"/>
    </row>
    <row r="28" spans="1:8">
      <c r="A28" s="296"/>
      <c r="B28" s="301"/>
      <c r="C28" s="303"/>
      <c r="D28" s="296"/>
      <c r="E28" s="296"/>
      <c r="F28" s="296"/>
      <c r="G28" s="304"/>
      <c r="H28" s="302"/>
    </row>
    <row r="29" spans="1:8">
      <c r="A29" s="296"/>
      <c r="B29" s="301"/>
      <c r="C29" s="303"/>
      <c r="D29" s="296"/>
      <c r="E29" s="296"/>
      <c r="F29" s="296"/>
      <c r="G29" s="304"/>
      <c r="H29" s="302"/>
    </row>
    <row r="30" spans="1:8" ht="20">
      <c r="A30" s="296"/>
      <c r="B30" s="301"/>
      <c r="C30" s="303"/>
      <c r="D30" s="296"/>
      <c r="E30" s="296"/>
      <c r="F30" s="986" t="str">
        <f>+' bud'!G5</f>
        <v>Approved</v>
      </c>
      <c r="G30" s="987"/>
      <c r="H30" s="302"/>
    </row>
    <row r="31" spans="1:8">
      <c r="A31" s="296"/>
      <c r="B31" s="301"/>
      <c r="C31" s="303"/>
      <c r="D31" s="296"/>
      <c r="E31" s="296"/>
      <c r="F31" s="310" t="s">
        <v>2132</v>
      </c>
      <c r="G31" s="296"/>
      <c r="H31" s="311"/>
    </row>
    <row r="32" spans="1:8">
      <c r="A32" s="296"/>
      <c r="B32" s="301"/>
      <c r="C32" s="303"/>
      <c r="D32" s="296"/>
      <c r="E32" s="296"/>
      <c r="F32" s="3" t="s">
        <v>2133</v>
      </c>
      <c r="H32" s="311"/>
    </row>
    <row r="33" spans="1:8" ht="18">
      <c r="A33" s="296"/>
      <c r="B33" s="301"/>
      <c r="C33" s="303"/>
      <c r="D33" s="296"/>
      <c r="E33" s="296"/>
      <c r="F33" s="975">
        <f ca="1">TODAY()</f>
        <v>46105</v>
      </c>
      <c r="G33" s="976"/>
      <c r="H33" s="311"/>
    </row>
    <row r="34" spans="1:8">
      <c r="A34" s="296"/>
      <c r="B34" s="301"/>
      <c r="C34" s="303"/>
      <c r="D34" s="296"/>
      <c r="E34" s="296"/>
      <c r="F34" s="296"/>
      <c r="G34" s="296"/>
      <c r="H34" s="311"/>
    </row>
    <row r="35" spans="1:8" ht="17" hidden="1" thickBot="1">
      <c r="A35" s="296"/>
      <c r="B35" s="301"/>
      <c r="C35" s="312" t="s">
        <v>2134</v>
      </c>
      <c r="D35" s="296"/>
      <c r="E35" s="296"/>
      <c r="F35" s="313">
        <f>' bud'!E38</f>
        <v>-8.7366373166268838E-9</v>
      </c>
      <c r="G35" s="304"/>
      <c r="H35" s="302"/>
    </row>
    <row r="36" spans="1:8">
      <c r="A36" s="296"/>
      <c r="B36" s="301"/>
      <c r="C36" s="314"/>
      <c r="D36" s="296"/>
      <c r="E36" s="315"/>
      <c r="F36" s="296"/>
      <c r="G36" s="304"/>
      <c r="H36" s="302"/>
    </row>
    <row r="37" spans="1:8">
      <c r="A37" s="296"/>
      <c r="B37" s="301"/>
      <c r="C37" s="314"/>
      <c r="D37" s="296"/>
      <c r="E37" s="315"/>
      <c r="F37" s="296"/>
      <c r="G37" s="304"/>
      <c r="H37" s="302"/>
    </row>
    <row r="38" spans="1:8">
      <c r="A38" s="296"/>
      <c r="B38" s="301"/>
      <c r="C38" s="314"/>
      <c r="D38" s="296"/>
      <c r="E38" s="315"/>
      <c r="F38" s="296"/>
      <c r="G38" s="304"/>
      <c r="H38" s="302"/>
    </row>
    <row r="39" spans="1:8">
      <c r="A39" s="296"/>
      <c r="B39" s="301"/>
      <c r="C39" s="305"/>
      <c r="D39" s="306"/>
      <c r="E39" s="306"/>
      <c r="F39" s="306"/>
      <c r="G39" s="307"/>
      <c r="H39" s="302"/>
    </row>
    <row r="40" spans="1:8">
      <c r="A40" s="296"/>
      <c r="B40" s="301"/>
      <c r="C40" s="296"/>
      <c r="D40" s="296"/>
      <c r="E40" s="296"/>
      <c r="F40" s="296"/>
      <c r="G40" s="296"/>
      <c r="H40" s="302"/>
    </row>
    <row r="41" spans="1:8" ht="17" thickBot="1">
      <c r="A41" s="296"/>
      <c r="B41" s="316"/>
      <c r="C41" s="317"/>
      <c r="D41" s="317"/>
      <c r="E41" s="317"/>
      <c r="F41" s="317"/>
      <c r="G41" s="317"/>
      <c r="H41" s="318"/>
    </row>
  </sheetData>
  <mergeCells count="9">
    <mergeCell ref="C25:G25"/>
    <mergeCell ref="F33:G33"/>
    <mergeCell ref="C7:G7"/>
    <mergeCell ref="C8:G8"/>
    <mergeCell ref="C23:G23"/>
    <mergeCell ref="C24:G24"/>
    <mergeCell ref="F30:G30"/>
    <mergeCell ref="C21:G21"/>
    <mergeCell ref="C22:G22"/>
  </mergeCells>
  <phoneticPr fontId="30" type="noConversion"/>
  <printOptions horizontalCentered="1"/>
  <pageMargins left="0" right="0" top="0" bottom="0" header="0.3" footer="0.3"/>
  <pageSetup scale="9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F79"/>
  <sheetViews>
    <sheetView showOutlineSymbols="0" view="pageBreakPreview" topLeftCell="A3" zoomScale="60" zoomScaleNormal="87" workbookViewId="0">
      <selection activeCell="I55" sqref="I55"/>
    </sheetView>
  </sheetViews>
  <sheetFormatPr baseColWidth="10" defaultColWidth="11.42578125" defaultRowHeight="16"/>
  <cols>
    <col min="1" max="1" width="9.85546875" style="1" customWidth="1"/>
    <col min="2" max="2" width="12.7109375" style="1" customWidth="1"/>
    <col min="3" max="3" width="20.85546875" style="1" customWidth="1"/>
    <col min="4" max="4" width="11.42578125" style="1" customWidth="1"/>
    <col min="5" max="5" width="7.85546875" style="1" customWidth="1"/>
    <col min="6" max="6" width="11.28515625" style="1" customWidth="1"/>
    <col min="7" max="16384" width="11.42578125" style="1"/>
  </cols>
  <sheetData>
    <row r="1" spans="2:6" ht="17" thickTop="1">
      <c r="C1" s="992" t="str">
        <f>+COV!C23</f>
        <v>444 East 86th Street Owners Corp.</v>
      </c>
      <c r="D1" s="993"/>
      <c r="E1" s="994"/>
    </row>
    <row r="2" spans="2:6">
      <c r="C2" s="995" t="s">
        <v>2135</v>
      </c>
      <c r="D2" s="996"/>
      <c r="E2" s="997"/>
    </row>
    <row r="3" spans="2:6" ht="17" thickBot="1">
      <c r="C3" s="998" t="str">
        <f>yrlycomp!H3</f>
        <v>For Year Ending 12/31/2026</v>
      </c>
      <c r="D3" s="999"/>
      <c r="E3" s="1000"/>
    </row>
    <row r="4" spans="2:6" ht="17" thickTop="1"/>
    <row r="5" spans="2:6">
      <c r="B5" s="991" t="s">
        <v>2136</v>
      </c>
      <c r="C5" s="991"/>
      <c r="D5" s="991"/>
      <c r="E5" s="991"/>
      <c r="F5" s="991"/>
    </row>
    <row r="6" spans="2:6">
      <c r="B6" s="16"/>
      <c r="C6" s="16"/>
      <c r="D6" s="16"/>
      <c r="E6" s="16"/>
      <c r="F6" s="16" t="s">
        <v>2137</v>
      </c>
    </row>
    <row r="7" spans="2:6">
      <c r="B7" s="32" t="s">
        <v>2138</v>
      </c>
      <c r="C7" s="15"/>
      <c r="D7" s="17" t="s">
        <v>2139</v>
      </c>
      <c r="E7" s="15"/>
      <c r="F7" s="17" t="s">
        <v>2140</v>
      </c>
    </row>
    <row r="8" spans="2:6">
      <c r="B8" s="32"/>
      <c r="C8" s="15"/>
      <c r="D8" s="17"/>
      <c r="E8" s="15"/>
      <c r="F8" s="17"/>
    </row>
    <row r="9" spans="2:6">
      <c r="B9" s="16" t="s">
        <v>2141</v>
      </c>
      <c r="C9" s="16"/>
      <c r="D9" s="18" t="s">
        <v>2142</v>
      </c>
      <c r="E9" s="16"/>
      <c r="F9" s="18">
        <v>1</v>
      </c>
    </row>
    <row r="10" spans="2:6">
      <c r="B10" s="16"/>
      <c r="C10" s="16"/>
      <c r="D10" s="16"/>
      <c r="E10" s="16"/>
      <c r="F10" s="18"/>
    </row>
    <row r="11" spans="2:6">
      <c r="B11" s="16" t="s">
        <v>2143</v>
      </c>
      <c r="C11" s="16"/>
      <c r="D11" s="18" t="s">
        <v>2142</v>
      </c>
      <c r="E11" s="16"/>
      <c r="F11" s="18">
        <v>2</v>
      </c>
    </row>
    <row r="12" spans="2:6">
      <c r="B12" s="16"/>
      <c r="C12" s="16"/>
      <c r="D12" s="16"/>
      <c r="E12" s="16"/>
      <c r="F12" s="18"/>
    </row>
    <row r="13" spans="2:6">
      <c r="B13" s="16" t="s">
        <v>2144</v>
      </c>
      <c r="C13" s="16"/>
      <c r="D13" s="18" t="s">
        <v>2145</v>
      </c>
      <c r="E13" s="16"/>
      <c r="F13" s="18">
        <v>3</v>
      </c>
    </row>
    <row r="14" spans="2:6">
      <c r="B14" s="1" t="s">
        <v>2146</v>
      </c>
      <c r="C14" s="16"/>
      <c r="D14" s="18" t="s">
        <v>2147</v>
      </c>
      <c r="E14" s="16"/>
      <c r="F14" s="18">
        <v>4</v>
      </c>
    </row>
    <row r="15" spans="2:6">
      <c r="B15" s="16"/>
      <c r="C15" s="16"/>
      <c r="D15" s="18"/>
      <c r="E15" s="16"/>
      <c r="F15" s="18"/>
    </row>
    <row r="16" spans="2:6">
      <c r="B16" s="16" t="s">
        <v>2148</v>
      </c>
      <c r="C16" s="16"/>
      <c r="D16" s="18" t="s">
        <v>2142</v>
      </c>
      <c r="E16" s="16"/>
      <c r="F16" s="18">
        <v>5</v>
      </c>
    </row>
    <row r="17" spans="2:6">
      <c r="B17" s="16"/>
      <c r="C17" s="16"/>
      <c r="D17" s="16"/>
      <c r="E17" s="16"/>
      <c r="F17" s="18"/>
    </row>
    <row r="18" spans="2:6">
      <c r="B18" s="16" t="s">
        <v>2149</v>
      </c>
      <c r="C18" s="16"/>
      <c r="D18" s="18" t="s">
        <v>2150</v>
      </c>
      <c r="E18" s="16"/>
      <c r="F18" s="18">
        <v>6</v>
      </c>
    </row>
    <row r="19" spans="2:6">
      <c r="B19" s="16"/>
      <c r="C19" s="16"/>
      <c r="D19" s="18"/>
      <c r="E19" s="16"/>
      <c r="F19" s="18"/>
    </row>
    <row r="20" spans="2:6">
      <c r="B20" s="16" t="s">
        <v>2151</v>
      </c>
      <c r="C20" s="16"/>
      <c r="D20" s="18" t="s">
        <v>2152</v>
      </c>
      <c r="E20" s="16"/>
      <c r="F20" s="203" t="s">
        <v>2153</v>
      </c>
    </row>
    <row r="21" spans="2:6">
      <c r="C21" s="16"/>
      <c r="E21" s="16"/>
    </row>
    <row r="22" spans="2:6">
      <c r="B22" s="1" t="s">
        <v>2154</v>
      </c>
      <c r="C22" s="16"/>
      <c r="D22" s="24" t="s">
        <v>2155</v>
      </c>
      <c r="E22" s="16"/>
      <c r="F22" s="24">
        <v>9</v>
      </c>
    </row>
    <row r="23" spans="2:6">
      <c r="C23" s="16"/>
      <c r="E23" s="16"/>
    </row>
    <row r="24" spans="2:6">
      <c r="B24" s="16" t="s">
        <v>2156</v>
      </c>
      <c r="C24" s="16"/>
      <c r="D24" s="18" t="s">
        <v>2157</v>
      </c>
      <c r="E24" s="16"/>
      <c r="F24" s="18">
        <v>10</v>
      </c>
    </row>
    <row r="25" spans="2:6">
      <c r="C25" s="16"/>
      <c r="E25" s="16"/>
    </row>
    <row r="26" spans="2:6">
      <c r="B26" s="16" t="s">
        <v>2158</v>
      </c>
      <c r="C26" s="16"/>
      <c r="D26" s="18" t="s">
        <v>2159</v>
      </c>
      <c r="E26" s="16"/>
      <c r="F26" s="18">
        <v>11</v>
      </c>
    </row>
    <row r="27" spans="2:6">
      <c r="B27" s="16"/>
      <c r="C27" s="16"/>
      <c r="D27" s="18"/>
      <c r="E27" s="16"/>
      <c r="F27" s="18"/>
    </row>
    <row r="28" spans="2:6">
      <c r="B28" s="15" t="s">
        <v>2160</v>
      </c>
      <c r="C28" s="16"/>
      <c r="D28" s="18" t="s">
        <v>2161</v>
      </c>
      <c r="E28" s="16"/>
      <c r="F28" s="18">
        <v>12</v>
      </c>
    </row>
    <row r="29" spans="2:6">
      <c r="B29" s="16" t="s">
        <v>1124</v>
      </c>
      <c r="C29" s="16"/>
      <c r="E29" s="16"/>
    </row>
    <row r="30" spans="2:6">
      <c r="B30" s="16" t="s">
        <v>2162</v>
      </c>
      <c r="C30" s="16"/>
      <c r="E30" s="16"/>
    </row>
    <row r="31" spans="2:6">
      <c r="B31" s="16" t="s">
        <v>1067</v>
      </c>
      <c r="C31" s="16"/>
      <c r="E31" s="16"/>
    </row>
    <row r="32" spans="2:6">
      <c r="B32" s="16" t="s">
        <v>2163</v>
      </c>
      <c r="C32" s="16"/>
      <c r="E32" s="16"/>
    </row>
    <row r="33" spans="2:6">
      <c r="B33" s="16" t="s">
        <v>1273</v>
      </c>
      <c r="C33" s="16"/>
      <c r="E33" s="16"/>
    </row>
    <row r="34" spans="2:6">
      <c r="B34" s="16"/>
      <c r="C34" s="16"/>
      <c r="D34" s="16"/>
      <c r="E34" s="16"/>
      <c r="F34" s="18"/>
    </row>
    <row r="35" spans="2:6">
      <c r="B35" s="16" t="s">
        <v>2164</v>
      </c>
      <c r="C35" s="16"/>
      <c r="D35" s="18" t="s">
        <v>2165</v>
      </c>
      <c r="E35" s="16"/>
      <c r="F35" s="18">
        <v>13</v>
      </c>
    </row>
    <row r="36" spans="2:6">
      <c r="B36" s="16" t="s">
        <v>2137</v>
      </c>
      <c r="C36" s="16"/>
      <c r="D36" s="16"/>
      <c r="E36" s="16"/>
      <c r="F36" s="24"/>
    </row>
    <row r="37" spans="2:6">
      <c r="B37" s="16" t="s">
        <v>2166</v>
      </c>
      <c r="C37" s="16"/>
      <c r="D37" s="18" t="s">
        <v>2167</v>
      </c>
      <c r="E37" s="16"/>
      <c r="F37" s="24">
        <v>14</v>
      </c>
    </row>
    <row r="38" spans="2:6">
      <c r="B38" s="16"/>
      <c r="C38" s="16"/>
      <c r="D38" s="16"/>
      <c r="E38" s="16"/>
      <c r="F38" s="24"/>
    </row>
    <row r="39" spans="2:6">
      <c r="B39" s="1" t="s">
        <v>2168</v>
      </c>
      <c r="D39" s="24" t="s">
        <v>2169</v>
      </c>
      <c r="F39" s="18">
        <v>15</v>
      </c>
    </row>
    <row r="40" spans="2:6">
      <c r="F40" s="24"/>
    </row>
    <row r="41" spans="2:6" hidden="1">
      <c r="B41" s="1" t="s">
        <v>2170</v>
      </c>
      <c r="D41" s="18" t="s">
        <v>2142</v>
      </c>
      <c r="F41" s="18" t="s">
        <v>2171</v>
      </c>
    </row>
    <row r="42" spans="2:6">
      <c r="F42" s="24"/>
    </row>
    <row r="43" spans="2:6" hidden="1">
      <c r="B43" s="1" t="s">
        <v>2172</v>
      </c>
      <c r="D43" s="18" t="s">
        <v>2142</v>
      </c>
      <c r="F43" s="24" t="s">
        <v>2173</v>
      </c>
    </row>
    <row r="44" spans="2:6">
      <c r="F44" s="24"/>
    </row>
    <row r="45" spans="2:6">
      <c r="F45" s="24"/>
    </row>
    <row r="46" spans="2:6">
      <c r="F46" s="24"/>
    </row>
    <row r="47" spans="2:6">
      <c r="F47" s="24"/>
    </row>
    <row r="48" spans="2:6">
      <c r="F48" s="24"/>
    </row>
    <row r="49" spans="6:6">
      <c r="F49" s="24"/>
    </row>
    <row r="50" spans="6:6">
      <c r="F50" s="24"/>
    </row>
    <row r="51" spans="6:6">
      <c r="F51" s="24"/>
    </row>
    <row r="52" spans="6:6">
      <c r="F52" s="24"/>
    </row>
    <row r="53" spans="6:6">
      <c r="F53" s="24"/>
    </row>
    <row r="54" spans="6:6">
      <c r="F54" s="24"/>
    </row>
    <row r="55" spans="6:6">
      <c r="F55" s="24"/>
    </row>
    <row r="56" spans="6:6">
      <c r="F56" s="24"/>
    </row>
    <row r="57" spans="6:6">
      <c r="F57" s="24"/>
    </row>
    <row r="58" spans="6:6">
      <c r="F58" s="24"/>
    </row>
    <row r="59" spans="6:6">
      <c r="F59" s="24"/>
    </row>
    <row r="60" spans="6:6">
      <c r="F60" s="24"/>
    </row>
    <row r="61" spans="6:6">
      <c r="F61" s="24"/>
    </row>
    <row r="62" spans="6:6">
      <c r="F62" s="24"/>
    </row>
    <row r="63" spans="6:6">
      <c r="F63" s="24"/>
    </row>
    <row r="64" spans="6:6">
      <c r="F64" s="24"/>
    </row>
    <row r="65" spans="6:6">
      <c r="F65" s="24"/>
    </row>
    <row r="66" spans="6:6">
      <c r="F66" s="24"/>
    </row>
    <row r="67" spans="6:6">
      <c r="F67" s="24"/>
    </row>
    <row r="68" spans="6:6">
      <c r="F68" s="24"/>
    </row>
    <row r="69" spans="6:6">
      <c r="F69" s="24"/>
    </row>
    <row r="70" spans="6:6">
      <c r="F70" s="24"/>
    </row>
    <row r="71" spans="6:6">
      <c r="F71" s="24"/>
    </row>
    <row r="72" spans="6:6">
      <c r="F72" s="24"/>
    </row>
    <row r="73" spans="6:6">
      <c r="F73" s="24"/>
    </row>
    <row r="74" spans="6:6">
      <c r="F74" s="24"/>
    </row>
    <row r="75" spans="6:6">
      <c r="F75" s="24"/>
    </row>
    <row r="76" spans="6:6">
      <c r="F76" s="24"/>
    </row>
    <row r="79" spans="6:6">
      <c r="F79" s="1">
        <f>+F77+1</f>
        <v>1</v>
      </c>
    </row>
  </sheetData>
  <mergeCells count="4">
    <mergeCell ref="B5:F5"/>
    <mergeCell ref="C1:E1"/>
    <mergeCell ref="C2:E2"/>
    <mergeCell ref="C3:E3"/>
  </mergeCells>
  <phoneticPr fontId="30" type="noConversion"/>
  <printOptions horizontalCentered="1"/>
  <pageMargins left="0" right="0" top="0" bottom="0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O80"/>
  <sheetViews>
    <sheetView showOutlineSymbols="0" view="pageBreakPreview" zoomScale="80" zoomScaleNormal="80" zoomScaleSheetLayoutView="80" workbookViewId="0">
      <selection activeCell="A38" sqref="A38:XFD38"/>
    </sheetView>
  </sheetViews>
  <sheetFormatPr baseColWidth="10" defaultColWidth="11.42578125" defaultRowHeight="16"/>
  <cols>
    <col min="1" max="1" width="2.140625" style="319" customWidth="1"/>
    <col min="2" max="2" width="25.140625" style="319" customWidth="1"/>
    <col min="3" max="3" width="10.7109375" style="319" customWidth="1"/>
    <col min="4" max="4" width="15.140625" style="319" bestFit="1" customWidth="1"/>
    <col min="5" max="5" width="11.5703125" style="319" customWidth="1"/>
    <col min="6" max="6" width="9.5703125" style="319" bestFit="1" customWidth="1"/>
    <col min="7" max="7" width="16" style="320" customWidth="1"/>
    <col min="8" max="16384" width="11.42578125" style="319"/>
  </cols>
  <sheetData>
    <row r="1" spans="2:14">
      <c r="B1" s="323"/>
      <c r="C1" s="648" t="str">
        <f>+COV!C23</f>
        <v>444 East 86th Street Owners Corp.</v>
      </c>
      <c r="D1" s="323"/>
      <c r="E1" s="323"/>
      <c r="F1" s="323"/>
      <c r="G1" s="344"/>
      <c r="H1" s="323"/>
      <c r="I1" s="323"/>
      <c r="J1" s="323"/>
      <c r="K1" s="323"/>
      <c r="L1" s="323"/>
      <c r="M1" s="323"/>
      <c r="N1" s="323"/>
    </row>
    <row r="2" spans="2:14">
      <c r="B2" s="323"/>
      <c r="C2" s="321" t="s">
        <v>2174</v>
      </c>
      <c r="D2" s="323"/>
      <c r="E2" s="323"/>
      <c r="F2" s="323"/>
      <c r="G2" s="344"/>
      <c r="H2" s="323"/>
      <c r="I2" s="323"/>
      <c r="J2" s="323"/>
      <c r="K2" s="323"/>
      <c r="L2" s="323"/>
      <c r="M2" s="323"/>
      <c r="N2" s="323"/>
    </row>
    <row r="3" spans="2:14">
      <c r="B3" s="323"/>
      <c r="C3" s="649" t="str">
        <f>yrlycomp!H3</f>
        <v>For Year Ending 12/31/2026</v>
      </c>
      <c r="D3" s="323"/>
      <c r="E3" s="323"/>
      <c r="F3" s="323"/>
      <c r="G3" s="344"/>
      <c r="H3" s="323"/>
      <c r="I3" s="323"/>
      <c r="J3" s="323"/>
      <c r="K3" s="323"/>
      <c r="L3" s="323"/>
      <c r="M3" s="323"/>
      <c r="N3" s="323"/>
    </row>
    <row r="4" spans="2:14" ht="7.5" customHeight="1">
      <c r="B4" s="323"/>
      <c r="C4" s="323"/>
      <c r="D4" s="322"/>
      <c r="E4" s="322"/>
      <c r="F4" s="322"/>
      <c r="G4" s="344"/>
      <c r="H4" s="323"/>
      <c r="I4" s="323"/>
      <c r="J4" s="323"/>
      <c r="K4" s="323"/>
      <c r="L4" s="323"/>
      <c r="M4" s="323"/>
      <c r="N4" s="323"/>
    </row>
    <row r="5" spans="2:14" ht="20" customHeight="1">
      <c r="B5" s="323"/>
      <c r="C5" s="323"/>
      <c r="D5" s="322"/>
      <c r="E5" s="322"/>
      <c r="F5" s="322"/>
      <c r="G5" s="877" t="s">
        <v>3222</v>
      </c>
      <c r="H5" s="323"/>
      <c r="I5" s="323"/>
      <c r="J5" s="323"/>
      <c r="K5" s="323"/>
      <c r="L5" s="323"/>
      <c r="M5" s="323"/>
      <c r="N5" s="323"/>
    </row>
    <row r="6" spans="2:14" ht="15" customHeight="1">
      <c r="B6" s="323"/>
      <c r="C6" s="322"/>
      <c r="D6" s="322"/>
      <c r="E6" s="322"/>
      <c r="F6" s="322"/>
      <c r="G6" s="344"/>
      <c r="H6" s="323"/>
      <c r="I6" s="323"/>
      <c r="J6" s="323"/>
      <c r="K6" s="323"/>
      <c r="L6" s="323"/>
      <c r="M6" s="323"/>
      <c r="N6" s="323"/>
    </row>
    <row r="7" spans="2:14" ht="15" customHeight="1">
      <c r="B7" s="324" t="s">
        <v>2175</v>
      </c>
      <c r="C7" s="325"/>
      <c r="D7" s="322"/>
      <c r="E7" s="322"/>
      <c r="F7" s="322"/>
      <c r="G7" s="326"/>
      <c r="H7" s="323"/>
      <c r="I7" s="323"/>
      <c r="J7" s="323"/>
      <c r="K7" s="323"/>
      <c r="L7" s="323"/>
      <c r="M7" s="323"/>
      <c r="N7" s="323"/>
    </row>
    <row r="8" spans="2:14" ht="15" customHeight="1">
      <c r="B8" s="322" t="str">
        <f>yrlycomp!B10</f>
        <v>Maintenance</v>
      </c>
      <c r="C8" s="322"/>
      <c r="D8" s="327">
        <f>yrlycomp!L10</f>
        <v>9384324.6108039767</v>
      </c>
      <c r="E8" s="323"/>
      <c r="F8" s="328"/>
      <c r="G8" s="326"/>
      <c r="H8" s="323"/>
      <c r="I8" s="323"/>
      <c r="J8" s="323"/>
      <c r="K8" s="328"/>
      <c r="L8" s="323"/>
      <c r="M8" s="323"/>
      <c r="N8" s="329"/>
    </row>
    <row r="9" spans="2:14" ht="15" customHeight="1">
      <c r="B9" s="322" t="str">
        <f>yrlycomp!B12</f>
        <v xml:space="preserve">Commercial </v>
      </c>
      <c r="C9" s="322"/>
      <c r="D9" s="330">
        <f>yrlycomp!L12</f>
        <v>54000</v>
      </c>
      <c r="E9" s="328"/>
      <c r="F9" s="328"/>
      <c r="G9" s="326"/>
      <c r="H9" s="323"/>
      <c r="I9" s="323"/>
      <c r="J9" s="323"/>
      <c r="K9" s="323"/>
      <c r="L9" s="323"/>
      <c r="M9" s="323"/>
      <c r="N9" s="323"/>
    </row>
    <row r="10" spans="2:14" ht="15" customHeight="1">
      <c r="B10" s="322" t="s">
        <v>2176</v>
      </c>
      <c r="C10" s="322"/>
      <c r="D10" s="330">
        <f>yrlycomp!L13</f>
        <v>460000</v>
      </c>
      <c r="E10" s="328"/>
      <c r="F10" s="328"/>
      <c r="G10" s="326"/>
      <c r="H10" s="323"/>
      <c r="I10" s="323"/>
      <c r="J10" s="323"/>
      <c r="K10" s="323"/>
      <c r="L10" s="323"/>
      <c r="M10" s="323"/>
      <c r="N10" s="323"/>
    </row>
    <row r="11" spans="2:14" ht="15" customHeight="1">
      <c r="B11" s="322" t="str">
        <f>yrlycomp!B11</f>
        <v>Tax Benefit Credits (Abatement, Star,etc)</v>
      </c>
      <c r="C11" s="322"/>
      <c r="D11" s="330">
        <f>yrlycomp!L11</f>
        <v>-830104.7472806999</v>
      </c>
      <c r="E11" s="328"/>
      <c r="F11" s="328"/>
      <c r="G11" s="326"/>
      <c r="H11" s="323"/>
      <c r="I11" s="323"/>
      <c r="J11" s="323"/>
      <c r="K11" s="323"/>
      <c r="L11" s="323"/>
      <c r="M11" s="323"/>
      <c r="N11" s="323"/>
    </row>
    <row r="12" spans="2:14" ht="15" customHeight="1">
      <c r="B12" s="331" t="str">
        <f>+yrlycomp!B15</f>
        <v>Storage Income</v>
      </c>
      <c r="C12" s="322"/>
      <c r="D12" s="330">
        <f>+yrlycomp!L15</f>
        <v>61380</v>
      </c>
      <c r="E12" s="328"/>
      <c r="F12" s="328"/>
      <c r="G12" s="326"/>
      <c r="H12" s="323"/>
      <c r="I12" s="323"/>
      <c r="J12" s="323"/>
      <c r="K12" s="323"/>
      <c r="L12" s="323"/>
      <c r="M12" s="323"/>
      <c r="N12" s="323"/>
    </row>
    <row r="13" spans="2:14" ht="15" customHeight="1">
      <c r="B13" s="322" t="str">
        <f>yrlycomp!B16</f>
        <v>Bicycle Charge</v>
      </c>
      <c r="C13" s="322"/>
      <c r="D13" s="330">
        <f>yrlycomp!L16</f>
        <v>7380</v>
      </c>
      <c r="E13" s="328"/>
      <c r="F13" s="328"/>
      <c r="G13" s="326"/>
      <c r="H13" s="323"/>
      <c r="I13" s="323"/>
      <c r="J13" s="323"/>
      <c r="K13" s="323"/>
      <c r="L13" s="323"/>
      <c r="M13" s="323"/>
      <c r="N13" s="323"/>
    </row>
    <row r="14" spans="2:14" ht="15" customHeight="1">
      <c r="B14" s="322" t="str">
        <f>yrlycomp!B17</f>
        <v>Laundry</v>
      </c>
      <c r="C14" s="322"/>
      <c r="D14" s="330">
        <f>yrlycomp!L17</f>
        <v>52999.92</v>
      </c>
      <c r="E14" s="331"/>
      <c r="F14" s="331"/>
      <c r="G14" s="326"/>
      <c r="H14" s="323"/>
      <c r="I14" s="323"/>
      <c r="J14" s="323"/>
      <c r="K14" s="323"/>
      <c r="L14" s="323"/>
      <c r="M14" s="323"/>
      <c r="N14" s="323"/>
    </row>
    <row r="15" spans="2:14" ht="15" customHeight="1">
      <c r="B15" s="322" t="str">
        <f>yrlycomp!B18</f>
        <v>Assessment - Operating</v>
      </c>
      <c r="C15" s="322"/>
      <c r="D15" s="330">
        <f>yrlycomp!L18</f>
        <v>200448</v>
      </c>
      <c r="E15" s="331"/>
      <c r="F15" s="331"/>
      <c r="G15" s="326"/>
      <c r="H15" s="323"/>
      <c r="I15" s="323"/>
      <c r="J15" s="323"/>
      <c r="K15" s="323"/>
      <c r="L15" s="323"/>
      <c r="M15" s="323"/>
      <c r="N15" s="323"/>
    </row>
    <row r="16" spans="2:14" ht="15" hidden="1" customHeight="1">
      <c r="B16" s="322" t="str">
        <f>yrlycomp!B14</f>
        <v>Commercial Real Estate Tax</v>
      </c>
      <c r="C16" s="322"/>
      <c r="D16" s="330">
        <f>yrlycomp!L14</f>
        <v>0</v>
      </c>
      <c r="E16" s="331"/>
      <c r="F16" s="331"/>
      <c r="G16" s="326"/>
      <c r="H16" s="323"/>
      <c r="I16" s="323"/>
      <c r="J16" s="323"/>
      <c r="K16" s="323"/>
      <c r="L16" s="323"/>
      <c r="M16" s="323"/>
      <c r="N16" s="323"/>
    </row>
    <row r="17" spans="2:14" ht="15" customHeight="1">
      <c r="B17" s="322" t="str">
        <f>yrlycomp!B19</f>
        <v>Other Income</v>
      </c>
      <c r="C17" s="322"/>
      <c r="D17" s="330">
        <f>yrlycomp!L19</f>
        <v>44000</v>
      </c>
      <c r="E17" s="331"/>
      <c r="F17" s="331"/>
      <c r="G17" s="326"/>
      <c r="H17" s="323"/>
      <c r="I17" s="323"/>
      <c r="J17" s="323"/>
      <c r="K17" s="323"/>
      <c r="L17" s="323"/>
      <c r="M17" s="323"/>
      <c r="N17" s="323"/>
    </row>
    <row r="18" spans="2:14">
      <c r="B18" s="321" t="s">
        <v>2177</v>
      </c>
      <c r="C18" s="321"/>
      <c r="D18" s="798">
        <f>SUM(D8:D17)</f>
        <v>9434427.7835232764</v>
      </c>
      <c r="E18" s="332"/>
      <c r="F18" s="331"/>
      <c r="G18" s="326"/>
      <c r="H18" s="323"/>
      <c r="I18" s="323"/>
      <c r="J18" s="323"/>
      <c r="K18" s="323"/>
      <c r="L18" s="323"/>
      <c r="M18" s="323"/>
      <c r="N18" s="323"/>
    </row>
    <row r="19" spans="2:14">
      <c r="B19" s="322"/>
      <c r="C19" s="322"/>
      <c r="D19" s="331"/>
      <c r="E19" s="331"/>
      <c r="F19" s="331"/>
      <c r="G19" s="326"/>
      <c r="H19" s="323"/>
      <c r="I19" s="323"/>
      <c r="J19" s="323"/>
      <c r="K19" s="323"/>
      <c r="L19" s="323"/>
      <c r="M19" s="323"/>
      <c r="N19" s="323"/>
    </row>
    <row r="20" spans="2:14" ht="15" customHeight="1">
      <c r="B20" s="324" t="s">
        <v>2178</v>
      </c>
      <c r="C20" s="325"/>
      <c r="D20" s="331"/>
      <c r="E20" s="331"/>
      <c r="F20" s="331"/>
      <c r="G20" s="326"/>
      <c r="H20" s="323"/>
      <c r="I20" s="323"/>
      <c r="J20" s="323"/>
      <c r="K20" s="323"/>
      <c r="L20" s="323"/>
      <c r="M20" s="323"/>
      <c r="N20" s="323"/>
    </row>
    <row r="21" spans="2:14" ht="15" customHeight="1">
      <c r="B21" s="331" t="str">
        <f>+yrlycomp!B23</f>
        <v xml:space="preserve">Payroll </v>
      </c>
      <c r="C21" s="322"/>
      <c r="D21" s="327">
        <f>+yrlycomp!L23</f>
        <v>1540644.6985656805</v>
      </c>
      <c r="E21" s="332"/>
      <c r="F21" s="333"/>
      <c r="G21" s="326"/>
      <c r="H21" s="323"/>
      <c r="I21" s="323"/>
      <c r="J21" s="323"/>
      <c r="K21" s="323"/>
      <c r="L21" s="323"/>
      <c r="M21" s="323"/>
      <c r="N21" s="323"/>
    </row>
    <row r="22" spans="2:14" ht="15" customHeight="1">
      <c r="B22" s="331" t="str">
        <f>+yrlycomp!B24</f>
        <v>Electric</v>
      </c>
      <c r="C22" s="322"/>
      <c r="D22" s="330">
        <f>+yrlycomp!L24</f>
        <v>251140.75679767205</v>
      </c>
      <c r="E22" s="331"/>
      <c r="F22" s="333"/>
      <c r="G22" s="326"/>
      <c r="H22" s="323"/>
      <c r="I22" s="323"/>
      <c r="J22" s="323"/>
      <c r="K22" s="323"/>
      <c r="L22" s="323"/>
      <c r="M22" s="323"/>
      <c r="N22" s="323"/>
    </row>
    <row r="23" spans="2:14" ht="15" customHeight="1">
      <c r="B23" s="331" t="str">
        <f>+yrlycomp!B25</f>
        <v>Gas Cooking / Heating</v>
      </c>
      <c r="C23" s="322"/>
      <c r="D23" s="330">
        <f>+yrlycomp!L25</f>
        <v>569699.58878812881</v>
      </c>
      <c r="E23" s="331"/>
      <c r="F23" s="333"/>
      <c r="G23" s="326"/>
      <c r="H23" s="323"/>
      <c r="I23" s="323"/>
      <c r="J23" s="323"/>
      <c r="K23" s="323"/>
      <c r="L23" s="323"/>
      <c r="M23" s="323"/>
      <c r="N23" s="323"/>
    </row>
    <row r="24" spans="2:14" ht="15" customHeight="1">
      <c r="B24" s="331" t="str">
        <f>+yrlycomp!B27</f>
        <v>Water &amp; Sewer</v>
      </c>
      <c r="C24" s="322"/>
      <c r="D24" s="330">
        <f>+yrlycomp!L27</f>
        <v>216507.31812998964</v>
      </c>
      <c r="E24" s="331"/>
      <c r="F24" s="333"/>
      <c r="G24" s="326"/>
      <c r="H24" s="323"/>
      <c r="I24" s="323"/>
      <c r="J24" s="323"/>
      <c r="K24" s="323"/>
      <c r="L24" s="323"/>
      <c r="M24" s="323"/>
      <c r="N24" s="323"/>
    </row>
    <row r="25" spans="2:14" ht="15" customHeight="1">
      <c r="B25" s="331" t="str">
        <f>+yrlycomp!B28</f>
        <v>Supplies</v>
      </c>
      <c r="C25" s="322"/>
      <c r="D25" s="330">
        <f>+yrlycomp!L28</f>
        <v>90000</v>
      </c>
      <c r="E25" s="331"/>
      <c r="F25" s="333"/>
      <c r="G25" s="326"/>
      <c r="H25" s="323"/>
      <c r="I25" s="323"/>
      <c r="J25" s="323"/>
      <c r="K25" s="323"/>
      <c r="L25" s="323"/>
      <c r="M25" s="323"/>
      <c r="N25" s="323"/>
    </row>
    <row r="26" spans="2:14" ht="15" customHeight="1">
      <c r="B26" s="331" t="str">
        <f>+yrlycomp!B29</f>
        <v>Repairs &amp; Maintenance</v>
      </c>
      <c r="C26" s="322"/>
      <c r="D26" s="330">
        <f>+yrlycomp!L29</f>
        <v>675000.25760000001</v>
      </c>
      <c r="E26" s="331"/>
      <c r="F26" s="333"/>
      <c r="G26" s="326"/>
      <c r="H26" s="323"/>
      <c r="I26" s="323"/>
      <c r="J26" s="323"/>
      <c r="K26" s="323"/>
      <c r="L26" s="323"/>
      <c r="M26" s="323"/>
      <c r="N26" s="323"/>
    </row>
    <row r="27" spans="2:14" ht="15" customHeight="1">
      <c r="B27" s="331" t="str">
        <f>+yrlycomp!B30</f>
        <v>Insurance</v>
      </c>
      <c r="C27" s="322"/>
      <c r="D27" s="330">
        <f>+yrlycomp!L30</f>
        <v>641578.18050000002</v>
      </c>
      <c r="E27" s="331"/>
      <c r="F27" s="333"/>
      <c r="G27" s="326"/>
      <c r="H27" s="323"/>
      <c r="I27" s="323"/>
      <c r="J27" s="323"/>
      <c r="K27" s="323"/>
      <c r="L27" s="323"/>
      <c r="M27" s="323"/>
      <c r="N27" s="323"/>
    </row>
    <row r="28" spans="2:14" ht="15" customHeight="1">
      <c r="B28" s="331" t="str">
        <f>+yrlycomp!B31</f>
        <v>Real Estate Taxes</v>
      </c>
      <c r="C28" s="322"/>
      <c r="D28" s="330">
        <f>+yrlycomp!L31</f>
        <v>5106994.9759078706</v>
      </c>
      <c r="E28" s="331"/>
      <c r="F28" s="333"/>
      <c r="G28" s="326"/>
      <c r="H28" s="323"/>
      <c r="I28" s="323"/>
      <c r="J28" s="323"/>
      <c r="K28" s="323"/>
      <c r="L28" s="323"/>
      <c r="M28" s="323"/>
      <c r="N28" s="323"/>
    </row>
    <row r="29" spans="2:14" ht="15" customHeight="1">
      <c r="B29" s="331" t="str">
        <f>+yrlycomp!B32</f>
        <v>Real Estate Tax Benefit Credits</v>
      </c>
      <c r="C29" s="322"/>
      <c r="D29" s="330">
        <f>+yrlycomp!L32</f>
        <v>-838405.79475350678</v>
      </c>
      <c r="E29" s="331"/>
      <c r="F29" s="333"/>
      <c r="G29" s="326"/>
      <c r="H29" s="323"/>
      <c r="I29" s="323"/>
      <c r="J29" s="323"/>
      <c r="K29" s="323"/>
      <c r="L29" s="323"/>
      <c r="M29" s="323"/>
      <c r="N29" s="323"/>
    </row>
    <row r="30" spans="2:14" ht="15" customHeight="1">
      <c r="B30" s="331" t="str">
        <f>+yrlycomp!B33</f>
        <v>Corporate Taxes</v>
      </c>
      <c r="C30" s="322"/>
      <c r="D30" s="330">
        <f>+yrlycomp!L33</f>
        <v>24500</v>
      </c>
      <c r="E30" s="331"/>
      <c r="F30" s="333"/>
      <c r="G30" s="326"/>
      <c r="H30" s="323"/>
      <c r="I30" s="323"/>
      <c r="J30" s="323"/>
      <c r="K30" s="323"/>
      <c r="L30" s="323"/>
      <c r="M30" s="323"/>
      <c r="N30" s="323"/>
    </row>
    <row r="31" spans="2:14" ht="15" customHeight="1">
      <c r="B31" s="331" t="str">
        <f>+yrlycomp!B34</f>
        <v>Professional Fees</v>
      </c>
      <c r="C31" s="322"/>
      <c r="D31" s="330">
        <f>+yrlycomp!L34</f>
        <v>178772.59999999998</v>
      </c>
      <c r="E31" s="331"/>
      <c r="F31" s="333"/>
      <c r="G31" s="326"/>
      <c r="H31" s="323"/>
      <c r="I31" s="323"/>
      <c r="J31" s="323"/>
      <c r="K31" s="323"/>
      <c r="L31" s="323"/>
      <c r="M31" s="323"/>
      <c r="N31" s="323"/>
    </row>
    <row r="32" spans="2:14" ht="12.5" customHeight="1">
      <c r="B32" s="331" t="str">
        <f>+yrlycomp!B35</f>
        <v>Administrative &amp; Other</v>
      </c>
      <c r="C32" s="322"/>
      <c r="D32" s="330">
        <f>+yrlycomp!L35</f>
        <v>87575</v>
      </c>
      <c r="E32" s="331"/>
      <c r="F32" s="333"/>
      <c r="G32" s="326"/>
      <c r="H32" s="323"/>
      <c r="I32" s="323"/>
      <c r="J32" s="323"/>
      <c r="K32" s="323"/>
      <c r="L32" s="323"/>
      <c r="M32" s="323"/>
      <c r="N32" s="323"/>
    </row>
    <row r="33" spans="2:15" ht="15" customHeight="1">
      <c r="B33" s="331" t="str">
        <f>+yrlycomp!B36</f>
        <v xml:space="preserve">Financial Expenses  </v>
      </c>
      <c r="C33" s="322"/>
      <c r="D33" s="330">
        <f>+yrlycomp!L36</f>
        <v>890420.12000000011</v>
      </c>
      <c r="E33" s="331"/>
      <c r="F33" s="333"/>
      <c r="G33" s="326"/>
      <c r="H33" s="323"/>
      <c r="I33" s="323"/>
      <c r="J33" s="323"/>
      <c r="K33" s="323"/>
      <c r="L33" s="323"/>
      <c r="M33" s="323"/>
      <c r="N33" s="323"/>
      <c r="O33" s="323"/>
    </row>
    <row r="34" spans="2:15" ht="16.5" customHeight="1">
      <c r="B34" s="321" t="s">
        <v>2179</v>
      </c>
      <c r="C34" s="321"/>
      <c r="D34" s="799">
        <f>SUM(D21:D33)</f>
        <v>9434427.7015358359</v>
      </c>
      <c r="E34" s="332"/>
      <c r="F34" s="333"/>
      <c r="G34" s="326"/>
      <c r="H34" s="323"/>
      <c r="I34" s="323"/>
      <c r="J34" s="323"/>
      <c r="K34" s="323"/>
      <c r="L34" s="323"/>
      <c r="M34" s="323"/>
      <c r="N34" s="323"/>
      <c r="O34" s="323"/>
    </row>
    <row r="35" spans="2:15" ht="18" customHeight="1">
      <c r="B35" s="322"/>
      <c r="C35" s="322"/>
      <c r="D35" s="331"/>
      <c r="E35" s="331"/>
      <c r="F35" s="331"/>
      <c r="G35" s="326"/>
      <c r="H35" s="323"/>
      <c r="I35" s="323"/>
      <c r="J35" s="323"/>
      <c r="K35" s="323"/>
      <c r="L35" s="323"/>
      <c r="M35" s="323"/>
      <c r="N35" s="323"/>
      <c r="O35" s="323"/>
    </row>
    <row r="36" spans="2:15" ht="15" customHeight="1" thickBot="1">
      <c r="B36" s="321" t="s">
        <v>2180</v>
      </c>
      <c r="C36" s="321"/>
      <c r="D36" s="800">
        <f>D18-D34</f>
        <v>8.1987440586090088E-2</v>
      </c>
      <c r="E36" s="332"/>
      <c r="F36" s="334"/>
      <c r="G36" s="335" t="s">
        <v>2137</v>
      </c>
      <c r="H36" s="323"/>
      <c r="I36" s="323"/>
      <c r="J36" s="323"/>
      <c r="K36" s="323"/>
      <c r="L36" s="323"/>
      <c r="M36" s="323"/>
      <c r="N36" s="323"/>
      <c r="O36" s="323"/>
    </row>
    <row r="37" spans="2:15" ht="15" customHeight="1" thickTop="1">
      <c r="B37" s="321"/>
      <c r="C37" s="321"/>
      <c r="D37" s="336"/>
      <c r="E37" s="332"/>
      <c r="F37" s="334"/>
      <c r="G37" s="335"/>
      <c r="H37" s="323"/>
      <c r="I37" s="323"/>
      <c r="J37" s="323"/>
      <c r="K37" s="323"/>
      <c r="L37" s="323"/>
      <c r="M37" s="323"/>
      <c r="N37" s="323"/>
      <c r="O37" s="323"/>
    </row>
    <row r="38" spans="2:15" ht="15" hidden="1" customHeight="1" thickBot="1">
      <c r="B38" s="329" t="s">
        <v>2181</v>
      </c>
      <c r="C38" s="323"/>
      <c r="D38" s="323"/>
      <c r="E38" s="337">
        <f>+D36/D8*-1</f>
        <v>-8.7366373166268838E-9</v>
      </c>
      <c r="F38" s="323"/>
      <c r="G38" s="335"/>
      <c r="H38" s="323"/>
      <c r="I38" s="323"/>
      <c r="J38" s="323"/>
      <c r="K38" s="323"/>
      <c r="L38" s="323"/>
      <c r="M38" s="323"/>
      <c r="N38" s="323"/>
      <c r="O38" s="323"/>
    </row>
    <row r="39" spans="2:15" ht="15" customHeight="1">
      <c r="B39" s="323"/>
      <c r="C39" s="322"/>
      <c r="D39" s="334"/>
      <c r="E39" s="334"/>
      <c r="F39" s="334"/>
      <c r="G39" s="335"/>
      <c r="H39" s="323"/>
      <c r="I39" s="323"/>
      <c r="J39" s="323"/>
      <c r="K39" s="323"/>
      <c r="L39" s="323"/>
      <c r="M39" s="321" t="s">
        <v>2182</v>
      </c>
      <c r="N39" s="321"/>
      <c r="O39" s="336"/>
    </row>
    <row r="40" spans="2:15" ht="15" customHeight="1">
      <c r="B40" s="338"/>
      <c r="C40" s="323"/>
      <c r="D40" s="323"/>
      <c r="E40" s="323"/>
      <c r="F40" s="323"/>
      <c r="G40" s="344"/>
      <c r="H40" s="323"/>
      <c r="I40" s="323"/>
      <c r="J40" s="323"/>
      <c r="K40" s="323"/>
      <c r="L40" s="323"/>
      <c r="M40" s="323"/>
      <c r="N40" s="323"/>
      <c r="O40" s="323"/>
    </row>
    <row r="41" spans="2:15" ht="15" customHeight="1">
      <c r="B41" s="801" t="s">
        <v>2183</v>
      </c>
      <c r="C41" s="786"/>
      <c r="D41" s="786"/>
      <c r="E41" s="786"/>
      <c r="F41" s="786"/>
      <c r="G41" s="802"/>
      <c r="H41" s="323"/>
      <c r="I41" s="323"/>
      <c r="J41" s="323"/>
      <c r="K41" s="323"/>
      <c r="L41" s="323"/>
      <c r="M41" s="323"/>
      <c r="N41" s="323"/>
      <c r="O41" s="323"/>
    </row>
    <row r="42" spans="2:15" ht="15" customHeight="1">
      <c r="B42" s="339"/>
      <c r="C42" s="323"/>
      <c r="D42" s="323"/>
      <c r="E42" s="323"/>
      <c r="F42" s="340" t="s">
        <v>2184</v>
      </c>
      <c r="G42" s="341"/>
      <c r="H42" s="323"/>
      <c r="I42" s="323"/>
      <c r="J42" s="323"/>
      <c r="K42" s="323"/>
      <c r="L42" s="323"/>
      <c r="M42" s="323"/>
      <c r="N42" s="323"/>
      <c r="O42" s="323"/>
    </row>
    <row r="43" spans="2:15" ht="15" customHeight="1">
      <c r="B43" s="342"/>
      <c r="C43" s="343" t="s">
        <v>2185</v>
      </c>
      <c r="D43" s="323"/>
      <c r="E43" s="323"/>
      <c r="F43" s="344" t="s">
        <v>4</v>
      </c>
      <c r="G43" s="878">
        <v>311669.03000000003</v>
      </c>
      <c r="H43" s="674"/>
      <c r="I43" s="323"/>
      <c r="J43" s="323"/>
      <c r="K43" s="323"/>
      <c r="L43" s="323"/>
      <c r="M43" s="323"/>
      <c r="N43" s="323"/>
      <c r="O43" s="323"/>
    </row>
    <row r="44" spans="2:15" ht="15" customHeight="1">
      <c r="B44" s="342"/>
      <c r="C44" s="345" t="s">
        <v>2186</v>
      </c>
      <c r="D44" s="323"/>
      <c r="E44" s="323"/>
      <c r="F44" s="344" t="s">
        <v>18</v>
      </c>
      <c r="G44" s="879">
        <v>1606538.66</v>
      </c>
      <c r="H44" s="323"/>
      <c r="I44" s="323"/>
      <c r="J44" s="323"/>
      <c r="K44" s="323"/>
      <c r="L44" s="323"/>
      <c r="M44" s="323"/>
      <c r="N44" s="323"/>
      <c r="O44" s="323"/>
    </row>
    <row r="45" spans="2:15" ht="15" customHeight="1">
      <c r="B45" s="342"/>
      <c r="C45" s="345" t="s">
        <v>2187</v>
      </c>
      <c r="D45" s="323"/>
      <c r="E45" s="323"/>
      <c r="F45" s="344" t="s">
        <v>36</v>
      </c>
      <c r="G45" s="879">
        <v>529378.86</v>
      </c>
      <c r="H45" s="323"/>
      <c r="I45" s="323"/>
      <c r="J45" s="323"/>
      <c r="K45" s="323"/>
      <c r="L45" s="323"/>
      <c r="M45" s="323"/>
      <c r="N45" s="323"/>
      <c r="O45" s="323"/>
    </row>
    <row r="46" spans="2:15" ht="15" customHeight="1">
      <c r="B46" s="342"/>
      <c r="C46" s="345" t="s">
        <v>2188</v>
      </c>
      <c r="D46" s="323"/>
      <c r="E46" s="323"/>
      <c r="F46" s="344" t="s">
        <v>85</v>
      </c>
      <c r="G46" s="879">
        <v>769146.39</v>
      </c>
      <c r="H46" s="323"/>
      <c r="I46" s="323"/>
      <c r="J46" s="323"/>
      <c r="K46" s="323"/>
      <c r="L46" s="323"/>
      <c r="M46" s="323"/>
      <c r="N46" s="323"/>
      <c r="O46" s="323"/>
    </row>
    <row r="47" spans="2:15" ht="15" customHeight="1">
      <c r="B47" s="342"/>
      <c r="C47" s="345" t="s">
        <v>2189</v>
      </c>
      <c r="D47" s="323"/>
      <c r="E47" s="323"/>
      <c r="F47" s="344" t="s">
        <v>71</v>
      </c>
      <c r="G47" s="879">
        <v>48295.42</v>
      </c>
      <c r="H47" s="323"/>
      <c r="I47" s="323"/>
      <c r="J47" s="323"/>
      <c r="K47" s="323"/>
      <c r="L47" s="323"/>
      <c r="M47" s="323"/>
      <c r="N47" s="323"/>
      <c r="O47" s="323"/>
    </row>
    <row r="48" spans="2:15" ht="15" customHeight="1">
      <c r="B48" s="342"/>
      <c r="C48" s="345" t="s">
        <v>2190</v>
      </c>
      <c r="D48" s="323"/>
      <c r="E48" s="323"/>
      <c r="F48" s="344" t="s">
        <v>75</v>
      </c>
      <c r="G48" s="879">
        <v>18401.72</v>
      </c>
      <c r="H48" s="323"/>
      <c r="I48" s="323"/>
      <c r="J48" s="323"/>
      <c r="K48" s="323"/>
      <c r="L48" s="323"/>
      <c r="M48" s="323"/>
      <c r="N48" s="323"/>
      <c r="O48" s="323"/>
    </row>
    <row r="49" spans="2:15" ht="15" customHeight="1" thickBot="1">
      <c r="B49" s="346"/>
      <c r="C49" s="323"/>
      <c r="D49" s="323"/>
      <c r="E49" s="323"/>
      <c r="F49" s="323"/>
      <c r="G49" s="347"/>
      <c r="H49" s="323"/>
      <c r="I49" s="323"/>
      <c r="J49" s="323"/>
      <c r="K49" s="323"/>
      <c r="L49" s="323"/>
      <c r="M49" s="323"/>
      <c r="N49" s="323"/>
      <c r="O49" s="323"/>
    </row>
    <row r="50" spans="2:15" ht="18" thickTop="1" thickBot="1">
      <c r="B50" s="880" t="s">
        <v>2191</v>
      </c>
      <c r="C50" s="323"/>
      <c r="D50" s="323"/>
      <c r="E50" s="323"/>
      <c r="F50" s="323"/>
      <c r="G50" s="348">
        <f>SUM(G43:G49)</f>
        <v>3283430.08</v>
      </c>
      <c r="H50" s="323"/>
      <c r="I50" s="323"/>
      <c r="J50" s="323"/>
      <c r="K50" s="323"/>
      <c r="L50" s="323"/>
      <c r="M50" s="323"/>
      <c r="N50" s="323"/>
      <c r="O50" s="323"/>
    </row>
    <row r="51" spans="2:15" ht="15" customHeight="1" thickTop="1">
      <c r="B51" s="349"/>
      <c r="C51" s="350"/>
      <c r="D51" s="350"/>
      <c r="E51" s="350"/>
      <c r="F51" s="350"/>
      <c r="G51" s="351"/>
      <c r="H51" s="323"/>
      <c r="I51" s="323"/>
      <c r="J51" s="323"/>
      <c r="K51" s="323"/>
      <c r="L51" s="323"/>
      <c r="M51" s="323"/>
      <c r="N51" s="323"/>
      <c r="O51" s="323"/>
    </row>
    <row r="52" spans="2:15" ht="15" customHeight="1">
      <c r="B52" s="338"/>
      <c r="C52" s="323"/>
      <c r="D52" s="323"/>
      <c r="E52" s="323"/>
      <c r="F52" s="323"/>
      <c r="G52" s="344"/>
      <c r="H52" s="323"/>
      <c r="I52" s="323"/>
      <c r="J52" s="323"/>
      <c r="K52" s="323"/>
      <c r="L52" s="323"/>
      <c r="M52" s="323"/>
      <c r="N52" s="323"/>
      <c r="O52" s="323"/>
    </row>
    <row r="53" spans="2:15" ht="15" customHeight="1">
      <c r="B53" s="1001" t="s">
        <v>2192</v>
      </c>
      <c r="C53" s="1001"/>
      <c r="D53" s="1001"/>
      <c r="E53" s="1001"/>
      <c r="F53" s="1001"/>
      <c r="G53" s="1001"/>
      <c r="H53" s="323"/>
      <c r="I53" s="323"/>
      <c r="J53" s="323"/>
      <c r="K53" s="323"/>
      <c r="L53" s="323"/>
      <c r="M53" s="323"/>
      <c r="N53" s="323"/>
      <c r="O53" s="323"/>
    </row>
    <row r="54" spans="2:15" ht="15" customHeight="1">
      <c r="B54" s="323"/>
      <c r="C54" s="323"/>
      <c r="D54" s="323"/>
      <c r="E54" s="323"/>
      <c r="F54" s="323"/>
      <c r="G54" s="344"/>
      <c r="H54" s="323"/>
      <c r="I54" s="323"/>
      <c r="J54" s="323"/>
      <c r="K54" s="323"/>
      <c r="L54" s="323"/>
      <c r="M54" s="323"/>
      <c r="N54" s="323"/>
      <c r="O54" s="323"/>
    </row>
    <row r="56" spans="2:15">
      <c r="B56" s="323"/>
      <c r="C56" s="323"/>
      <c r="D56" s="650"/>
      <c r="E56" s="323"/>
      <c r="F56" s="323"/>
      <c r="G56" s="344"/>
      <c r="H56" s="323"/>
      <c r="I56" s="323"/>
      <c r="J56" s="323"/>
      <c r="K56" s="323"/>
      <c r="L56" s="323"/>
      <c r="M56" s="323"/>
      <c r="N56" s="323"/>
      <c r="O56" s="323"/>
    </row>
    <row r="58" spans="2:15">
      <c r="B58" s="323" t="s">
        <v>2193</v>
      </c>
      <c r="C58" s="323"/>
      <c r="D58" s="323"/>
      <c r="E58" s="323"/>
      <c r="F58" s="323"/>
      <c r="G58" s="344"/>
      <c r="H58" s="323"/>
      <c r="I58" s="323"/>
      <c r="J58" s="323"/>
      <c r="K58" s="323"/>
      <c r="L58" s="323"/>
      <c r="M58" s="323"/>
      <c r="N58" s="323"/>
      <c r="O58" s="323"/>
    </row>
    <row r="60" spans="2:15">
      <c r="B60" s="323" t="str">
        <f>+B8</f>
        <v>Maintenance</v>
      </c>
      <c r="C60" s="650">
        <f>+D8</f>
        <v>9384324.6108039767</v>
      </c>
      <c r="D60" s="323"/>
      <c r="E60" s="323"/>
      <c r="F60" s="323"/>
      <c r="G60" s="344"/>
      <c r="H60" s="323"/>
      <c r="I60" s="323"/>
      <c r="J60" s="323"/>
      <c r="K60" s="323"/>
      <c r="L60" s="323"/>
      <c r="M60" s="323"/>
      <c r="N60" s="323"/>
      <c r="O60" s="323"/>
    </row>
    <row r="61" spans="2:15">
      <c r="B61" s="323" t="str">
        <f>+B9</f>
        <v xml:space="preserve">Commercial </v>
      </c>
      <c r="C61" s="650">
        <f>+D9</f>
        <v>54000</v>
      </c>
      <c r="D61" s="323"/>
      <c r="E61" s="323"/>
      <c r="F61" s="323"/>
      <c r="G61" s="344"/>
      <c r="H61" s="323"/>
      <c r="I61" s="323"/>
      <c r="J61" s="323"/>
      <c r="K61" s="323"/>
      <c r="L61" s="323"/>
      <c r="M61" s="323"/>
      <c r="N61" s="323"/>
      <c r="O61" s="323"/>
    </row>
    <row r="62" spans="2:15">
      <c r="B62" s="323" t="s">
        <v>534</v>
      </c>
      <c r="C62" s="650">
        <f>+D10</f>
        <v>460000</v>
      </c>
      <c r="D62" s="323"/>
      <c r="E62" s="323"/>
      <c r="F62" s="323"/>
      <c r="G62" s="344"/>
      <c r="H62" s="323"/>
      <c r="I62" s="323"/>
      <c r="J62" s="323"/>
      <c r="K62" s="323"/>
      <c r="L62" s="323"/>
      <c r="M62" s="323"/>
      <c r="N62" s="323"/>
      <c r="O62" s="323"/>
    </row>
    <row r="63" spans="2:15">
      <c r="B63" s="323" t="str">
        <f>+B11</f>
        <v>Tax Benefit Credits (Abatement, Star,etc)</v>
      </c>
      <c r="C63" s="650">
        <f>+D11</f>
        <v>-830104.7472806999</v>
      </c>
      <c r="D63" s="323"/>
      <c r="E63" s="323"/>
      <c r="F63" s="323"/>
      <c r="G63" s="344"/>
      <c r="H63" s="323"/>
      <c r="I63" s="323"/>
      <c r="J63" s="323"/>
      <c r="K63" s="323"/>
      <c r="L63" s="323"/>
      <c r="M63" s="323"/>
      <c r="N63" s="323"/>
      <c r="O63" s="323"/>
    </row>
    <row r="64" spans="2:15">
      <c r="B64" s="323" t="str">
        <f>+B14</f>
        <v>Laundry</v>
      </c>
      <c r="C64" s="650">
        <f>+D14</f>
        <v>52999.92</v>
      </c>
      <c r="D64" s="323"/>
      <c r="E64" s="323"/>
      <c r="F64" s="323"/>
      <c r="G64" s="344"/>
      <c r="H64" s="323"/>
      <c r="I64" s="323"/>
      <c r="J64" s="323"/>
      <c r="K64" s="323"/>
      <c r="L64" s="323"/>
      <c r="M64" s="323"/>
      <c r="N64" s="323"/>
      <c r="O64" s="323"/>
    </row>
    <row r="65" spans="2:7">
      <c r="B65" s="323" t="str">
        <f>+B18</f>
        <v xml:space="preserve">   Total Income</v>
      </c>
      <c r="C65" s="650">
        <f>SUM(C60:C64)</f>
        <v>9121219.7835232764</v>
      </c>
      <c r="D65" s="323"/>
      <c r="E65" s="323"/>
      <c r="F65" s="323"/>
      <c r="G65" s="344"/>
    </row>
    <row r="67" spans="2:7">
      <c r="B67" s="323" t="str">
        <f>+B20</f>
        <v>Operating Expenses</v>
      </c>
      <c r="C67" s="323"/>
      <c r="D67" s="323"/>
      <c r="E67" s="323"/>
      <c r="F67" s="323"/>
      <c r="G67" s="344"/>
    </row>
    <row r="68" spans="2:7">
      <c r="B68" s="323" t="str">
        <f>+B21</f>
        <v xml:space="preserve">Payroll </v>
      </c>
      <c r="C68" s="650">
        <f>+D21</f>
        <v>1540644.6985656805</v>
      </c>
      <c r="D68" s="323"/>
      <c r="E68" s="323"/>
      <c r="F68" s="323"/>
      <c r="G68" s="344"/>
    </row>
    <row r="69" spans="2:7">
      <c r="B69" s="323" t="str">
        <f t="shared" ref="B69:B74" si="0">+B22</f>
        <v>Electric</v>
      </c>
      <c r="C69" s="650">
        <f t="shared" ref="C69:C74" si="1">+D22</f>
        <v>251140.75679767205</v>
      </c>
      <c r="D69" s="323"/>
      <c r="E69" s="323"/>
      <c r="F69" s="323"/>
      <c r="G69" s="344"/>
    </row>
    <row r="70" spans="2:7">
      <c r="B70" s="323" t="str">
        <f t="shared" si="0"/>
        <v>Gas Cooking / Heating</v>
      </c>
      <c r="C70" s="650">
        <f t="shared" si="1"/>
        <v>569699.58878812881</v>
      </c>
      <c r="D70" s="323"/>
      <c r="E70" s="323"/>
      <c r="F70" s="323"/>
      <c r="G70" s="344"/>
    </row>
    <row r="71" spans="2:7">
      <c r="B71" s="323" t="str">
        <f t="shared" si="0"/>
        <v>Water &amp; Sewer</v>
      </c>
      <c r="C71" s="650">
        <f t="shared" si="1"/>
        <v>216507.31812998964</v>
      </c>
      <c r="D71" s="323"/>
      <c r="E71" s="323"/>
      <c r="F71" s="323"/>
      <c r="G71" s="344"/>
    </row>
    <row r="72" spans="2:7">
      <c r="B72" s="323" t="str">
        <f t="shared" si="0"/>
        <v>Supplies</v>
      </c>
      <c r="C72" s="650">
        <f t="shared" si="1"/>
        <v>90000</v>
      </c>
      <c r="D72" s="323"/>
      <c r="E72" s="323"/>
      <c r="F72" s="323"/>
      <c r="G72" s="344"/>
    </row>
    <row r="73" spans="2:7">
      <c r="B73" s="323" t="str">
        <f t="shared" si="0"/>
        <v>Repairs &amp; Maintenance</v>
      </c>
      <c r="C73" s="650">
        <f t="shared" si="1"/>
        <v>675000.25760000001</v>
      </c>
      <c r="D73" s="323"/>
      <c r="E73" s="323"/>
      <c r="F73" s="323"/>
      <c r="G73" s="344"/>
    </row>
    <row r="74" spans="2:7">
      <c r="B74" s="323" t="str">
        <f t="shared" si="0"/>
        <v>Insurance</v>
      </c>
      <c r="C74" s="650">
        <f t="shared" si="1"/>
        <v>641578.18050000002</v>
      </c>
      <c r="D74" s="323"/>
      <c r="E74" s="323"/>
      <c r="F74" s="323"/>
      <c r="G74" s="344"/>
    </row>
    <row r="75" spans="2:7">
      <c r="B75" s="323" t="s">
        <v>2194</v>
      </c>
      <c r="C75" s="651">
        <f>+D28+D29</f>
        <v>4268589.1811543638</v>
      </c>
      <c r="D75" s="323"/>
      <c r="E75" s="323"/>
      <c r="F75" s="323"/>
      <c r="G75" s="344"/>
    </row>
    <row r="76" spans="2:7">
      <c r="B76" s="323" t="str">
        <f>+B30</f>
        <v>Corporate Taxes</v>
      </c>
      <c r="C76" s="650">
        <f>+D30</f>
        <v>24500</v>
      </c>
      <c r="D76" s="323"/>
      <c r="E76" s="323"/>
      <c r="F76" s="323"/>
      <c r="G76" s="344"/>
    </row>
    <row r="77" spans="2:7">
      <c r="B77" s="323" t="str">
        <f>+B31</f>
        <v>Professional Fees</v>
      </c>
      <c r="C77" s="650">
        <f>+D31</f>
        <v>178772.59999999998</v>
      </c>
      <c r="D77" s="323"/>
      <c r="E77" s="323"/>
      <c r="F77" s="323"/>
      <c r="G77" s="344"/>
    </row>
    <row r="78" spans="2:7">
      <c r="B78" s="323" t="str">
        <f>+B32</f>
        <v>Administrative &amp; Other</v>
      </c>
      <c r="C78" s="650">
        <f>+D32</f>
        <v>87575</v>
      </c>
      <c r="D78" s="323"/>
      <c r="E78" s="323"/>
      <c r="F78" s="323"/>
      <c r="G78" s="344"/>
    </row>
    <row r="79" spans="2:7">
      <c r="B79" s="323" t="str">
        <f>+B33</f>
        <v xml:space="preserve">Financial Expenses  </v>
      </c>
      <c r="C79" s="650">
        <f>+D33</f>
        <v>890420.12000000011</v>
      </c>
      <c r="D79" s="323"/>
      <c r="E79" s="323"/>
      <c r="F79" s="323"/>
      <c r="G79" s="344"/>
    </row>
    <row r="80" spans="2:7">
      <c r="B80" s="323" t="str">
        <f>+B34</f>
        <v xml:space="preserve">   Total Expenses</v>
      </c>
      <c r="C80" s="650">
        <f>SUM(C68:C79)</f>
        <v>9434427.7015358359</v>
      </c>
      <c r="D80" s="323"/>
      <c r="E80" s="323"/>
      <c r="F80" s="323"/>
      <c r="G80" s="344"/>
    </row>
  </sheetData>
  <mergeCells count="1">
    <mergeCell ref="B53:G53"/>
  </mergeCells>
  <phoneticPr fontId="30" type="noConversion"/>
  <printOptions horizontalCentered="1"/>
  <pageMargins left="0" right="0" top="0" bottom="0" header="0.3" footer="0.3"/>
  <pageSetup scale="9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U89"/>
  <sheetViews>
    <sheetView tabSelected="1" showOutlineSymbols="0" view="pageBreakPreview" topLeftCell="A2" zoomScale="85" zoomScaleNormal="80" zoomScaleSheetLayoutView="85" workbookViewId="0">
      <selection sqref="A1:XFD1048576"/>
    </sheetView>
  </sheetViews>
  <sheetFormatPr baseColWidth="10" defaultColWidth="11.140625" defaultRowHeight="16"/>
  <cols>
    <col min="1" max="1" width="1.7109375" style="297" customWidth="1"/>
    <col min="2" max="2" width="34.28515625" style="297" customWidth="1"/>
    <col min="3" max="3" width="3.28515625" style="352" customWidth="1"/>
    <col min="4" max="4" width="15.140625" style="297" hidden="1" customWidth="1"/>
    <col min="5" max="5" width="14.140625" style="297" hidden="1" customWidth="1"/>
    <col min="6" max="7" width="13.85546875" style="297" customWidth="1"/>
    <col min="8" max="8" width="14" style="297" customWidth="1"/>
    <col min="9" max="9" width="13.7109375" style="297" customWidth="1"/>
    <col min="10" max="10" width="14.140625" style="297" customWidth="1"/>
    <col min="11" max="11" width="14.28515625" style="3" customWidth="1"/>
    <col min="12" max="12" width="14.28515625" style="297" customWidth="1"/>
    <col min="13" max="13" width="15.42578125" style="297" customWidth="1"/>
    <col min="14" max="14" width="11.28515625" style="297" bestFit="1" customWidth="1"/>
    <col min="15" max="15" width="12.5703125" style="297" bestFit="1" customWidth="1"/>
    <col min="16" max="18" width="11.28515625" style="297" bestFit="1" customWidth="1"/>
    <col min="19" max="19" width="11.5703125" style="297" bestFit="1" customWidth="1"/>
    <col min="20" max="21" width="11.28515625" style="297" bestFit="1" customWidth="1"/>
    <col min="22" max="16384" width="11.140625" style="297"/>
  </cols>
  <sheetData>
    <row r="1" spans="2:16" ht="18">
      <c r="C1" s="343"/>
      <c r="H1" s="353" t="str">
        <f>+' bud'!C1</f>
        <v>444 East 86th Street Owners Corp.</v>
      </c>
      <c r="I1" s="3"/>
    </row>
    <row r="2" spans="2:16" ht="18">
      <c r="C2" s="343"/>
      <c r="H2" s="353" t="s">
        <v>2195</v>
      </c>
      <c r="I2" s="3"/>
      <c r="N2" s="398" t="s">
        <v>2197</v>
      </c>
    </row>
    <row r="3" spans="2:16" ht="18">
      <c r="C3" s="343"/>
      <c r="H3" s="353" t="s">
        <v>2196</v>
      </c>
      <c r="N3" s="398" t="s">
        <v>2198</v>
      </c>
    </row>
    <row r="4" spans="2:16">
      <c r="C4" s="297"/>
    </row>
    <row r="5" spans="2:16" ht="20">
      <c r="N5" s="965" t="s">
        <v>3214</v>
      </c>
    </row>
    <row r="7" spans="2:16" s="355" customFormat="1">
      <c r="B7" s="803"/>
      <c r="C7" s="804"/>
      <c r="D7" s="805">
        <v>2021</v>
      </c>
      <c r="E7" s="806">
        <v>2022</v>
      </c>
      <c r="F7" s="806">
        <v>2023</v>
      </c>
      <c r="G7" s="806">
        <v>2024</v>
      </c>
      <c r="H7" s="936">
        <v>2025</v>
      </c>
      <c r="I7" s="937">
        <f>H7</f>
        <v>2025</v>
      </c>
      <c r="J7" s="937">
        <f>I7</f>
        <v>2025</v>
      </c>
      <c r="K7" s="938">
        <f>J7</f>
        <v>2025</v>
      </c>
      <c r="L7" s="937">
        <f>K7+1</f>
        <v>2026</v>
      </c>
      <c r="M7" s="806" t="s">
        <v>2268</v>
      </c>
    </row>
    <row r="8" spans="2:16">
      <c r="B8" s="356"/>
      <c r="C8" s="357"/>
      <c r="D8" s="686" t="s">
        <v>2199</v>
      </c>
      <c r="E8" s="714" t="s">
        <v>2199</v>
      </c>
      <c r="F8" s="714" t="s">
        <v>2199</v>
      </c>
      <c r="G8" s="714" t="s">
        <v>2199</v>
      </c>
      <c r="H8" s="939" t="s">
        <v>2200</v>
      </c>
      <c r="I8" s="940" t="s">
        <v>2201</v>
      </c>
      <c r="J8" s="940" t="s">
        <v>2202</v>
      </c>
      <c r="K8" s="941" t="s">
        <v>1494</v>
      </c>
      <c r="L8" s="942" t="s">
        <v>1494</v>
      </c>
      <c r="M8" s="714" t="s">
        <v>3211</v>
      </c>
    </row>
    <row r="9" spans="2:16">
      <c r="B9" s="358" t="s">
        <v>2203</v>
      </c>
      <c r="C9" s="357"/>
      <c r="D9" s="403"/>
      <c r="E9" s="360"/>
      <c r="F9" s="359"/>
      <c r="G9" s="943"/>
      <c r="H9" s="361"/>
      <c r="I9" s="362"/>
      <c r="J9" s="362"/>
      <c r="K9" s="405"/>
      <c r="L9" s="357"/>
      <c r="M9" s="807"/>
    </row>
    <row r="10" spans="2:16">
      <c r="B10" s="363" t="s">
        <v>468</v>
      </c>
      <c r="C10" s="357"/>
      <c r="D10" s="609">
        <v>7922916</v>
      </c>
      <c r="E10" s="658">
        <v>8140848</v>
      </c>
      <c r="F10" s="658">
        <v>8588595</v>
      </c>
      <c r="G10" s="658">
        <v>8760380</v>
      </c>
      <c r="H10" s="364">
        <f>SUMIF('VLookup Data'!$A:$A,'VLookup Data'!A235,'VLookup Data'!$E:$E)+SUMIF('VLookup Data'!$A:$A,'VLookup Data'!A247,'VLookup Data'!$E:$E)++SUMIF('VLookup Data'!$A:$A,'VLookup Data'!A245,'VLookup Data'!$E:$E)</f>
        <v>6032067.8700000001</v>
      </c>
      <c r="I10" s="364">
        <f>+J10-H10</f>
        <v>3034912.4302936988</v>
      </c>
      <c r="J10" s="364">
        <f>+Income!H16</f>
        <v>9066980.3002936989</v>
      </c>
      <c r="K10" s="944">
        <v>9066980.3002936989</v>
      </c>
      <c r="L10" s="365">
        <f>+Income!H18</f>
        <v>9384324.6108039767</v>
      </c>
      <c r="M10" s="366">
        <f t="shared" ref="M10:M20" si="0">+(L10-J10)/J10</f>
        <v>3.4999999999999809E-2</v>
      </c>
    </row>
    <row r="11" spans="2:16">
      <c r="B11" s="367" t="s">
        <v>2204</v>
      </c>
      <c r="C11" s="357"/>
      <c r="D11" s="687">
        <v>-814837</v>
      </c>
      <c r="E11" s="368">
        <v>-772263</v>
      </c>
      <c r="F11" s="368">
        <v>-778849</v>
      </c>
      <c r="G11" s="945">
        <v>-750999</v>
      </c>
      <c r="H11" s="766">
        <f>SUMIF('VLookup Data'!$A:$A,'VLookup Data'!A248,'VLookup Data'!$E:$E)+SUMIF('VLookup Data'!$A:$A,'VLookup Data'!A249,'VLookup Data'!$E:$E)+SUMIF('VLookup Data'!$A:$A,'VLookup Data'!A250,'VLookup Data'!$E:$E)+SUMIF('VLookup Data'!$A:$A,'VLookup Data'!A251,'VLookup Data'!$E:$E)+SUMIF('VLookup Data'!$A:$A,'VLookup Data'!A252,'VLookup Data'!$E:$E)</f>
        <v>-807394.18</v>
      </c>
      <c r="I11" s="369">
        <f>J11-H11</f>
        <v>-650</v>
      </c>
      <c r="J11" s="369">
        <f>-'RE Taxes'!F29</f>
        <v>-808044.18</v>
      </c>
      <c r="K11" s="369">
        <v>-825636.71137500007</v>
      </c>
      <c r="L11" s="370">
        <f>-'RE Taxes'!G29</f>
        <v>-830104.7472806999</v>
      </c>
      <c r="M11" s="366">
        <f t="shared" si="0"/>
        <v>2.7301189497707719E-2</v>
      </c>
      <c r="N11" s="297">
        <f>+H11/9</f>
        <v>-89710.464444444457</v>
      </c>
      <c r="P11" s="371">
        <f>4+3+3</f>
        <v>10</v>
      </c>
    </row>
    <row r="12" spans="2:16">
      <c r="B12" s="367" t="s">
        <v>2205</v>
      </c>
      <c r="C12" s="357" t="s">
        <v>2206</v>
      </c>
      <c r="D12" s="687">
        <v>24000</v>
      </c>
      <c r="E12" s="368">
        <v>54000</v>
      </c>
      <c r="F12" s="368">
        <v>54000</v>
      </c>
      <c r="G12" s="945">
        <v>54000</v>
      </c>
      <c r="H12" s="766">
        <f>+'Comm Rent &amp; Escalations'!C38</f>
        <v>36000</v>
      </c>
      <c r="I12" s="369">
        <v>1500</v>
      </c>
      <c r="J12" s="369">
        <f>'Comm Rent &amp; Escalations'!E38</f>
        <v>54000</v>
      </c>
      <c r="K12" s="369">
        <v>54000</v>
      </c>
      <c r="L12" s="370">
        <f>'Comm Rent &amp; Escalations'!G38</f>
        <v>54000</v>
      </c>
      <c r="M12" s="366">
        <f t="shared" si="0"/>
        <v>0</v>
      </c>
      <c r="P12" s="371">
        <f>2.5+2.5+2.5</f>
        <v>7.5</v>
      </c>
    </row>
    <row r="13" spans="2:16">
      <c r="B13" s="367" t="s">
        <v>534</v>
      </c>
      <c r="C13" s="367" t="s">
        <v>2206</v>
      </c>
      <c r="D13" s="687">
        <v>62945</v>
      </c>
      <c r="E13" s="368">
        <v>385818</v>
      </c>
      <c r="F13" s="368">
        <v>463643</v>
      </c>
      <c r="G13" s="945">
        <v>450963</v>
      </c>
      <c r="H13" s="766">
        <f>'Comm Rent &amp; Escalations'!C39</f>
        <v>344059.74</v>
      </c>
      <c r="I13" s="369">
        <f>'Comm Rent &amp; Escalations'!D39</f>
        <v>114686.58000000002</v>
      </c>
      <c r="J13" s="369">
        <f>'Comm Rent &amp; Escalations'!E39</f>
        <v>458746.32</v>
      </c>
      <c r="K13" s="369">
        <v>456000</v>
      </c>
      <c r="L13" s="370">
        <f>'Comm Rent &amp; Escalations'!G39</f>
        <v>460000</v>
      </c>
      <c r="M13" s="366">
        <f t="shared" si="0"/>
        <v>2.7328393609784007E-3</v>
      </c>
      <c r="P13" s="371"/>
    </row>
    <row r="14" spans="2:16">
      <c r="B14" s="363" t="s">
        <v>584</v>
      </c>
      <c r="C14" s="357"/>
      <c r="D14" s="610">
        <v>0</v>
      </c>
      <c r="E14" s="372">
        <v>0</v>
      </c>
      <c r="F14" s="372">
        <v>0</v>
      </c>
      <c r="G14" s="946"/>
      <c r="H14" s="766">
        <f>SUMIF('VLookup Data'!$A:$A,'VLookup Data'!A293,'VLookup Data'!$E:$E)</f>
        <v>0</v>
      </c>
      <c r="I14" s="369">
        <v>0</v>
      </c>
      <c r="J14" s="369">
        <f>+'Comm Rent &amp; Escalations'!E40</f>
        <v>0</v>
      </c>
      <c r="K14" s="370">
        <v>0</v>
      </c>
      <c r="L14" s="370">
        <f>+'Comm Rent &amp; Escalations'!G40</f>
        <v>0</v>
      </c>
      <c r="M14" s="366" t="e">
        <f t="shared" si="0"/>
        <v>#DIV/0!</v>
      </c>
    </row>
    <row r="15" spans="2:16">
      <c r="B15" s="363" t="s">
        <v>2207</v>
      </c>
      <c r="C15" s="357"/>
      <c r="D15" s="610">
        <v>0</v>
      </c>
      <c r="E15" s="372">
        <v>26830</v>
      </c>
      <c r="F15" s="372">
        <v>43216</v>
      </c>
      <c r="G15" s="946">
        <v>57860</v>
      </c>
      <c r="H15" s="766">
        <f>+'VLookup Data'!E257</f>
        <v>36115.75</v>
      </c>
      <c r="I15" s="369">
        <f>+J15-H15</f>
        <v>25264.25</v>
      </c>
      <c r="J15" s="369">
        <f>Income!I34</f>
        <v>61380</v>
      </c>
      <c r="K15" s="369">
        <v>52980</v>
      </c>
      <c r="L15" s="370">
        <f>+Income!I37</f>
        <v>61380</v>
      </c>
      <c r="M15" s="366">
        <f t="shared" si="0"/>
        <v>0</v>
      </c>
    </row>
    <row r="16" spans="2:16">
      <c r="B16" s="363" t="s">
        <v>514</v>
      </c>
      <c r="C16" s="357"/>
      <c r="D16" s="610">
        <v>0</v>
      </c>
      <c r="E16" s="372">
        <v>0</v>
      </c>
      <c r="F16" s="372">
        <v>0</v>
      </c>
      <c r="G16" s="946">
        <v>0</v>
      </c>
      <c r="H16" s="766">
        <f>SUMIF('VLookup Data'!$A:$A,'VLookup Data'!A258,'VLookup Data'!$E:$E)</f>
        <v>2959.95</v>
      </c>
      <c r="I16" s="369">
        <f t="shared" ref="I16:I19" si="1">+J16-H16</f>
        <v>4420.05</v>
      </c>
      <c r="J16" s="369">
        <f>+Income!H43</f>
        <v>7380</v>
      </c>
      <c r="K16" s="369">
        <v>4680</v>
      </c>
      <c r="L16" s="370">
        <f>+Income!H45</f>
        <v>7380</v>
      </c>
      <c r="M16" s="366">
        <f t="shared" si="0"/>
        <v>0</v>
      </c>
    </row>
    <row r="17" spans="2:19">
      <c r="B17" s="363" t="s">
        <v>524</v>
      </c>
      <c r="C17" s="357"/>
      <c r="D17" s="610">
        <v>60000</v>
      </c>
      <c r="E17" s="372">
        <v>60000</v>
      </c>
      <c r="F17" s="372">
        <v>60000</v>
      </c>
      <c r="G17" s="946">
        <v>58250</v>
      </c>
      <c r="H17" s="766">
        <f>SUMIF('VLookup Data'!$A:$A,'VLookup Data'!A263,'VLookup Data'!$E:$E)</f>
        <v>49699.94</v>
      </c>
      <c r="I17" s="369">
        <f t="shared" si="1"/>
        <v>3299.9799999999959</v>
      </c>
      <c r="J17" s="369">
        <f>+Income!F51</f>
        <v>52999.92</v>
      </c>
      <c r="K17" s="369">
        <v>52999.92</v>
      </c>
      <c r="L17" s="370">
        <f>+Income!F53</f>
        <v>52999.92</v>
      </c>
      <c r="M17" s="366">
        <f t="shared" si="0"/>
        <v>0</v>
      </c>
      <c r="N17" s="373"/>
      <c r="P17" s="373"/>
      <c r="S17" s="373">
        <f>+H18+H43</f>
        <v>843076.65</v>
      </c>
    </row>
    <row r="18" spans="2:19">
      <c r="B18" s="363" t="s">
        <v>546</v>
      </c>
      <c r="C18" s="367" t="s">
        <v>2208</v>
      </c>
      <c r="D18" s="610">
        <v>145000</v>
      </c>
      <c r="E18" s="372">
        <v>150000</v>
      </c>
      <c r="F18" s="372">
        <v>238000</v>
      </c>
      <c r="G18" s="946">
        <v>230000</v>
      </c>
      <c r="H18" s="766">
        <f>'VLookup Data'!E274</f>
        <v>843076.65</v>
      </c>
      <c r="I18" s="369">
        <f>+J18-H18</f>
        <v>-621218.65</v>
      </c>
      <c r="J18" s="369">
        <f>K18</f>
        <v>221858</v>
      </c>
      <c r="K18" s="369">
        <v>221858</v>
      </c>
      <c r="L18" s="369">
        <v>200448</v>
      </c>
      <c r="M18" s="366">
        <f t="shared" si="0"/>
        <v>-9.6503168693488628E-2</v>
      </c>
      <c r="N18" s="374">
        <f>+L18/709000</f>
        <v>0.28271932299012692</v>
      </c>
      <c r="O18" s="373"/>
      <c r="S18" s="375">
        <f>-H53</f>
        <v>-339591.93</v>
      </c>
    </row>
    <row r="19" spans="2:19">
      <c r="B19" s="363" t="s">
        <v>2209</v>
      </c>
      <c r="C19" s="367"/>
      <c r="D19" s="610">
        <f>823+22500+24629</f>
        <v>47952</v>
      </c>
      <c r="E19" s="372">
        <f>23500+18492+1254</f>
        <v>43246</v>
      </c>
      <c r="F19" s="372">
        <f>23000+38763+3024</f>
        <v>64787</v>
      </c>
      <c r="G19" s="946">
        <f>81112+12500+12573</f>
        <v>106185</v>
      </c>
      <c r="H19" s="947">
        <f>+Income!D78</f>
        <v>77494.5</v>
      </c>
      <c r="I19" s="369">
        <f t="shared" si="1"/>
        <v>22228.154999999999</v>
      </c>
      <c r="J19" s="369">
        <f>+Income!F78</f>
        <v>99722.654999999999</v>
      </c>
      <c r="K19" s="948">
        <v>32500</v>
      </c>
      <c r="L19" s="370">
        <f>+Income!H78</f>
        <v>44000</v>
      </c>
      <c r="M19" s="366">
        <f>+(L19-J19)/J19</f>
        <v>-0.55877628809622049</v>
      </c>
      <c r="S19" s="373">
        <f>-H18</f>
        <v>-843076.65</v>
      </c>
    </row>
    <row r="20" spans="2:19">
      <c r="B20" s="376" t="s">
        <v>2177</v>
      </c>
      <c r="C20" s="357"/>
      <c r="D20" s="808">
        <f>SUM(D10:D19)</f>
        <v>7447976</v>
      </c>
      <c r="E20" s="809">
        <f>SUM(E10:E19)</f>
        <v>8088479</v>
      </c>
      <c r="F20" s="809">
        <f>SUM(F10:F19)</f>
        <v>8733392</v>
      </c>
      <c r="G20" s="809">
        <f>SUM(G10:G19)</f>
        <v>8966639</v>
      </c>
      <c r="H20" s="949">
        <f t="shared" ref="H20:J20" si="2">SUM(H10:H19)</f>
        <v>6614080.2200000016</v>
      </c>
      <c r="I20" s="810">
        <f t="shared" si="2"/>
        <v>2584442.7952936986</v>
      </c>
      <c r="J20" s="810">
        <f t="shared" si="2"/>
        <v>9215023.0152936988</v>
      </c>
      <c r="K20" s="810">
        <f>SUM(K10:K19)</f>
        <v>9116361.5089186989</v>
      </c>
      <c r="L20" s="809">
        <f>SUM(L10:L19)</f>
        <v>9434427.7835232764</v>
      </c>
      <c r="M20" s="811">
        <f t="shared" si="0"/>
        <v>2.380946502959818E-2</v>
      </c>
      <c r="S20" s="373">
        <f>SUM(S17:S19)</f>
        <v>-339591.93</v>
      </c>
    </row>
    <row r="21" spans="2:19">
      <c r="B21" s="356"/>
      <c r="C21" s="357"/>
      <c r="D21" s="688"/>
      <c r="E21" s="698"/>
      <c r="F21" s="698"/>
      <c r="G21" s="950"/>
      <c r="H21" s="692"/>
      <c r="I21" s="377"/>
      <c r="J21" s="378"/>
      <c r="K21" s="951"/>
      <c r="L21" s="379"/>
      <c r="M21" s="359"/>
      <c r="N21" s="3" t="s">
        <v>2210</v>
      </c>
    </row>
    <row r="22" spans="2:19">
      <c r="B22" s="358" t="s">
        <v>2211</v>
      </c>
      <c r="C22" s="357"/>
      <c r="D22" s="688"/>
      <c r="E22" s="698"/>
      <c r="F22" s="698"/>
      <c r="G22" s="950"/>
      <c r="H22" s="692"/>
      <c r="I22" s="377"/>
      <c r="J22" s="377"/>
      <c r="K22" s="951"/>
      <c r="L22" s="379"/>
      <c r="M22" s="359"/>
      <c r="N22" s="380" t="s">
        <v>2212</v>
      </c>
    </row>
    <row r="23" spans="2:19">
      <c r="B23" s="363" t="s">
        <v>2213</v>
      </c>
      <c r="C23" s="381"/>
      <c r="D23" s="365">
        <f>1269052+4529</f>
        <v>1273581</v>
      </c>
      <c r="E23" s="699">
        <f>921032+341913+58722</f>
        <v>1321667</v>
      </c>
      <c r="F23" s="699">
        <f>917786+376231+74535</f>
        <v>1368552</v>
      </c>
      <c r="G23" s="952">
        <f>949984+380390+76798</f>
        <v>1407172</v>
      </c>
      <c r="H23" s="953">
        <f>+Payroll!H77</f>
        <v>974031.24</v>
      </c>
      <c r="I23" s="382">
        <f>+J23-H23</f>
        <v>509266.30500000017</v>
      </c>
      <c r="J23" s="382">
        <f>+Payroll!J77</f>
        <v>1483297.5450000002</v>
      </c>
      <c r="K23" s="944">
        <v>1488209.5314889485</v>
      </c>
      <c r="L23" s="365">
        <f>+Payroll!L77</f>
        <v>1540644.6985656805</v>
      </c>
      <c r="M23" s="366">
        <f>+(L23-J23)/J23</f>
        <v>3.8661935199036795E-2</v>
      </c>
      <c r="N23" s="383">
        <f>(L23-J23)/J23</f>
        <v>3.8661935199036795E-2</v>
      </c>
      <c r="P23" s="384">
        <f>+J23-E23</f>
        <v>161630.54500000016</v>
      </c>
      <c r="Q23" s="375">
        <f>+E23-D23</f>
        <v>48086</v>
      </c>
      <c r="R23" s="375">
        <f>+J23-E23</f>
        <v>161630.54500000016</v>
      </c>
    </row>
    <row r="24" spans="2:19">
      <c r="B24" s="363" t="s">
        <v>560</v>
      </c>
      <c r="C24" s="381"/>
      <c r="D24" s="386">
        <v>224415</v>
      </c>
      <c r="E24" s="372">
        <v>303451</v>
      </c>
      <c r="F24" s="372">
        <v>317329</v>
      </c>
      <c r="G24" s="946">
        <v>206874</v>
      </c>
      <c r="H24" s="693">
        <f>SUMIF('VLookup Data'!$A:$A,'VLookup Data'!A432,'VLookup Data'!$E:$E)</f>
        <v>144894.89000000001</v>
      </c>
      <c r="I24" s="385">
        <f>+J24-H24</f>
        <v>108288.9176951682</v>
      </c>
      <c r="J24" s="385">
        <f>Electric!F37+'Electric 2'!D37</f>
        <v>253183.80769516822</v>
      </c>
      <c r="K24" s="385">
        <v>321913.70111834939</v>
      </c>
      <c r="L24" s="386">
        <f>Electric!F53+'Electric 2'!D53</f>
        <v>251140.75679767205</v>
      </c>
      <c r="M24" s="366">
        <f>+(L24-J24)/J24</f>
        <v>-8.0694374418919853E-3</v>
      </c>
      <c r="N24" s="383">
        <f t="shared" ref="N24:N36" si="3">(L24-J24)/J24</f>
        <v>-8.0694374418919853E-3</v>
      </c>
      <c r="P24" s="387">
        <f>+P23/E23</f>
        <v>0.12229294141413848</v>
      </c>
      <c r="Q24" s="374">
        <f>+Q23/D23</f>
        <v>3.7756530601508659E-2</v>
      </c>
      <c r="R24" s="374">
        <f>+R23/E23</f>
        <v>0.12229294141413848</v>
      </c>
    </row>
    <row r="25" spans="2:19">
      <c r="B25" s="363" t="s">
        <v>2214</v>
      </c>
      <c r="C25" s="381"/>
      <c r="D25" s="386">
        <v>395473</v>
      </c>
      <c r="E25" s="372">
        <v>466316</v>
      </c>
      <c r="F25" s="372">
        <v>524865</v>
      </c>
      <c r="G25" s="946">
        <v>468018</v>
      </c>
      <c r="H25" s="693">
        <f>SUMIF('VLookup Data'!$A:$A,'VLookup Data'!A429,'VLookup Data'!$E:$E)+SUMIF('VLookup Data'!$A:$A,'VLookup Data'!A431,'VLookup Data'!$E:$E)</f>
        <v>376764.45</v>
      </c>
      <c r="I25" s="385">
        <f>+J25-H25</f>
        <v>194777.08012832043</v>
      </c>
      <c r="J25" s="385">
        <f>+'Gas Cooking'!F37+'Gas-Heat'!F37</f>
        <v>571541.53012832045</v>
      </c>
      <c r="K25" s="385">
        <v>535361.39088374586</v>
      </c>
      <c r="L25" s="386">
        <f>+'Gas Cooking'!F53+'Gas-Heat'!F53</f>
        <v>569699.58878812881</v>
      </c>
      <c r="M25" s="366">
        <f>+(L25-J25)/J25</f>
        <v>-3.2227602774169235E-3</v>
      </c>
      <c r="N25" s="383">
        <f t="shared" si="3"/>
        <v>-3.2227602774169235E-3</v>
      </c>
      <c r="P25" s="387"/>
    </row>
    <row r="26" spans="2:19">
      <c r="B26" s="363" t="s">
        <v>862</v>
      </c>
      <c r="C26" s="357"/>
      <c r="D26" s="386">
        <v>0</v>
      </c>
      <c r="E26" s="372">
        <v>0</v>
      </c>
      <c r="F26" s="372">
        <v>0</v>
      </c>
      <c r="G26" s="946">
        <v>0</v>
      </c>
      <c r="H26" s="693">
        <f>SUMIF('VLookup Data'!$A:$A,'VLookup Data'!A433,'VLookup Data'!$E:$E)</f>
        <v>0</v>
      </c>
      <c r="I26" s="385">
        <v>0</v>
      </c>
      <c r="J26" s="385">
        <v>0</v>
      </c>
      <c r="K26" s="385">
        <v>0</v>
      </c>
      <c r="L26" s="386">
        <v>0</v>
      </c>
      <c r="M26" s="366"/>
      <c r="N26" s="383"/>
      <c r="P26" s="387"/>
    </row>
    <row r="27" spans="2:19">
      <c r="B27" s="363" t="s">
        <v>685</v>
      </c>
      <c r="C27" s="381"/>
      <c r="D27" s="386">
        <v>209320</v>
      </c>
      <c r="E27" s="372">
        <v>214222</v>
      </c>
      <c r="F27" s="372">
        <v>211315</v>
      </c>
      <c r="G27" s="946">
        <v>265390</v>
      </c>
      <c r="H27" s="766">
        <f>+Water!D39</f>
        <v>136280.9</v>
      </c>
      <c r="I27" s="369">
        <f>+J27-H27</f>
        <v>72501.470424290892</v>
      </c>
      <c r="J27" s="369">
        <f>+Water!G39</f>
        <v>208782.37042429089</v>
      </c>
      <c r="K27" s="948">
        <v>217796.60750002172</v>
      </c>
      <c r="L27" s="370">
        <f>+Water!I39</f>
        <v>216507.31812998964</v>
      </c>
      <c r="M27" s="366">
        <f t="shared" ref="M27:M37" si="4">+(L27-J27)/J27</f>
        <v>3.699999999999995E-2</v>
      </c>
      <c r="N27" s="383">
        <f t="shared" si="3"/>
        <v>3.699999999999995E-2</v>
      </c>
      <c r="P27" s="373"/>
    </row>
    <row r="28" spans="2:19">
      <c r="B28" s="363" t="s">
        <v>2215</v>
      </c>
      <c r="C28" s="381"/>
      <c r="D28" s="386">
        <f>18540+69215</f>
        <v>87755</v>
      </c>
      <c r="E28" s="372">
        <f>17603+61201</f>
        <v>78804</v>
      </c>
      <c r="F28" s="372">
        <f>25923+75818</f>
        <v>101741</v>
      </c>
      <c r="G28" s="946">
        <f>30860+77598</f>
        <v>108458</v>
      </c>
      <c r="H28" s="766">
        <f>+'Repairs &amp; Supplies'!D9</f>
        <v>45896.47</v>
      </c>
      <c r="I28" s="369">
        <f t="shared" ref="I28:I35" si="5">+J28-H28</f>
        <v>20504.12000000001</v>
      </c>
      <c r="J28" s="369">
        <f>+'Repairs &amp; Supplies'!H9</f>
        <v>66400.590000000011</v>
      </c>
      <c r="K28" s="948">
        <v>90000</v>
      </c>
      <c r="L28" s="370">
        <f>+'Repairs &amp; Supplies'!J9</f>
        <v>90000</v>
      </c>
      <c r="M28" s="366">
        <f t="shared" si="4"/>
        <v>0.35540964319744728</v>
      </c>
      <c r="N28" s="383">
        <f t="shared" si="3"/>
        <v>0.35540964319744728</v>
      </c>
    </row>
    <row r="29" spans="2:19">
      <c r="B29" s="363" t="s">
        <v>2216</v>
      </c>
      <c r="C29" s="381"/>
      <c r="D29" s="386">
        <f>596659-69215</f>
        <v>527444</v>
      </c>
      <c r="E29" s="372">
        <f>555982-61201</f>
        <v>494781</v>
      </c>
      <c r="F29" s="372">
        <f>748274-75818</f>
        <v>672456</v>
      </c>
      <c r="G29" s="946">
        <f>768962-77598</f>
        <v>691364</v>
      </c>
      <c r="H29" s="766">
        <f>+'Repairs &amp; Supplies'!D57</f>
        <v>519828.14999999997</v>
      </c>
      <c r="I29" s="369">
        <f>+J29-H29</f>
        <v>123363.52999999997</v>
      </c>
      <c r="J29" s="369">
        <f>+'Repairs &amp; Supplies'!H57</f>
        <v>643191.67999999993</v>
      </c>
      <c r="K29" s="948">
        <v>550000.09120000002</v>
      </c>
      <c r="L29" s="386">
        <f>+'Repairs &amp; Supplies'!J57</f>
        <v>675000.25760000001</v>
      </c>
      <c r="M29" s="366">
        <f t="shared" si="4"/>
        <v>4.9454274035385659E-2</v>
      </c>
      <c r="N29" s="383">
        <f t="shared" si="3"/>
        <v>4.9454274035385659E-2</v>
      </c>
      <c r="O29" s="297">
        <f>154580+90267</f>
        <v>244847</v>
      </c>
    </row>
    <row r="30" spans="2:19">
      <c r="B30" s="363" t="s">
        <v>2217</v>
      </c>
      <c r="C30" s="357"/>
      <c r="D30" s="386">
        <v>249055</v>
      </c>
      <c r="E30" s="372">
        <v>277481</v>
      </c>
      <c r="F30" s="372">
        <v>336029</v>
      </c>
      <c r="G30" s="946">
        <v>393544</v>
      </c>
      <c r="H30" s="766">
        <f>+'Gen &amp; Admin'!D57</f>
        <v>557894.06999999995</v>
      </c>
      <c r="I30" s="369">
        <f t="shared" si="5"/>
        <v>0</v>
      </c>
      <c r="J30" s="369">
        <f>+'Gen &amp; Admin'!H57</f>
        <v>557894.06999999995</v>
      </c>
      <c r="K30" s="948">
        <v>501226.288</v>
      </c>
      <c r="L30" s="370">
        <f>+'Gen &amp; Admin'!J57</f>
        <v>641578.18050000002</v>
      </c>
      <c r="M30" s="366">
        <f t="shared" si="4"/>
        <v>0.15000000000000013</v>
      </c>
      <c r="N30" s="383">
        <f t="shared" si="3"/>
        <v>0.15000000000000013</v>
      </c>
      <c r="Q30" s="297">
        <v>2014</v>
      </c>
      <c r="R30" s="297">
        <v>2013</v>
      </c>
    </row>
    <row r="31" spans="2:19">
      <c r="B31" s="363" t="s">
        <v>2218</v>
      </c>
      <c r="C31" s="357"/>
      <c r="D31" s="386">
        <f>3777699+814837</f>
        <v>4592536</v>
      </c>
      <c r="E31" s="372">
        <f>3929982+772263+3</f>
        <v>4702248</v>
      </c>
      <c r="F31" s="372">
        <f>3985240+778849</f>
        <v>4764089</v>
      </c>
      <c r="G31" s="946">
        <f>4167342+750999</f>
        <v>4918341</v>
      </c>
      <c r="H31" s="766">
        <f>+'RE Taxes'!D41</f>
        <v>3724147.75</v>
      </c>
      <c r="I31" s="369">
        <f>+J31-H31</f>
        <v>1249363.3799999999</v>
      </c>
      <c r="J31" s="369">
        <f>+'RE Taxes'!F41</f>
        <v>4973511.13</v>
      </c>
      <c r="K31" s="948">
        <v>5087406.0661982242</v>
      </c>
      <c r="L31" s="370">
        <f>+'RE Taxes'!H41</f>
        <v>5106994.9759078706</v>
      </c>
      <c r="M31" s="366">
        <f>+(L31-J31)/J31</f>
        <v>2.6838955904351355E-2</v>
      </c>
      <c r="N31" s="383">
        <f t="shared" si="3"/>
        <v>2.6838955904351355E-2</v>
      </c>
      <c r="P31" s="297" t="s">
        <v>2157</v>
      </c>
      <c r="Q31" s="297">
        <v>294056.38</v>
      </c>
      <c r="R31" s="297">
        <v>277601</v>
      </c>
    </row>
    <row r="32" spans="2:19">
      <c r="B32" s="363" t="s">
        <v>2219</v>
      </c>
      <c r="C32" s="357"/>
      <c r="D32" s="386">
        <f>D11</f>
        <v>-814837</v>
      </c>
      <c r="E32" s="372">
        <f>E11</f>
        <v>-772263</v>
      </c>
      <c r="F32" s="372">
        <v>-778849</v>
      </c>
      <c r="G32" s="945">
        <v>-750999</v>
      </c>
      <c r="H32" s="766">
        <f>+'RE Taxes'!D46-'RE Taxes'!D41</f>
        <v>-608282.85000000009</v>
      </c>
      <c r="I32" s="369">
        <f>+J32-H32</f>
        <v>-204260.74999999953</v>
      </c>
      <c r="J32" s="369">
        <f>+'RE Taxes'!F46-'RE Taxes'!F41</f>
        <v>-812543.59999999963</v>
      </c>
      <c r="K32" s="948">
        <v>-845992.58281537518</v>
      </c>
      <c r="L32" s="370">
        <f>+'RE Taxes'!H46-'RE Taxes'!H41</f>
        <v>-838405.79475350678</v>
      </c>
      <c r="M32" s="366">
        <f t="shared" si="4"/>
        <v>3.1828685566543335E-2</v>
      </c>
      <c r="N32" s="383">
        <f t="shared" si="3"/>
        <v>3.1828685566543335E-2</v>
      </c>
      <c r="P32" s="297" t="s">
        <v>2165</v>
      </c>
      <c r="Q32" s="297">
        <v>351520</v>
      </c>
      <c r="R32" s="297">
        <v>121107</v>
      </c>
    </row>
    <row r="33" spans="1:21">
      <c r="B33" s="363" t="s">
        <v>2220</v>
      </c>
      <c r="C33" s="357"/>
      <c r="D33" s="386">
        <f>25778+34483</f>
        <v>60261</v>
      </c>
      <c r="E33" s="372">
        <v>49803</v>
      </c>
      <c r="F33" s="372">
        <v>17268</v>
      </c>
      <c r="G33" s="946">
        <v>32746</v>
      </c>
      <c r="H33" s="766">
        <f>+'Gen &amp; Admin'!D60</f>
        <v>19550</v>
      </c>
      <c r="I33" s="369">
        <f>+J33-H33</f>
        <v>5664</v>
      </c>
      <c r="J33" s="369">
        <f>+'Gen &amp; Admin'!H60</f>
        <v>25214</v>
      </c>
      <c r="K33" s="948">
        <v>27300</v>
      </c>
      <c r="L33" s="370">
        <f>'Gen &amp; Admin'!J61</f>
        <v>24500</v>
      </c>
      <c r="M33" s="366">
        <f t="shared" si="4"/>
        <v>-2.8317601332593003E-2</v>
      </c>
      <c r="N33" s="383">
        <f t="shared" si="3"/>
        <v>-2.8317601332593003E-2</v>
      </c>
      <c r="Q33" s="297">
        <f>SUM(Q31:Q32)</f>
        <v>645576.38</v>
      </c>
      <c r="R33" s="297">
        <f>SUM(R31:R32)</f>
        <v>398708</v>
      </c>
      <c r="T33" s="373">
        <f>+E31-D31</f>
        <v>109712</v>
      </c>
      <c r="U33" s="373">
        <f>+J31+J32</f>
        <v>4160967.5300000003</v>
      </c>
    </row>
    <row r="34" spans="1:21">
      <c r="B34" s="356" t="s">
        <v>2221</v>
      </c>
      <c r="C34" s="357"/>
      <c r="D34" s="386">
        <f>55899+672+15750+125667+10267</f>
        <v>208255</v>
      </c>
      <c r="E34" s="372">
        <f>27995+63009+129122</f>
        <v>220126</v>
      </c>
      <c r="F34" s="372">
        <f>20722+33460+132673</f>
        <v>186855</v>
      </c>
      <c r="G34" s="946">
        <f>22715+13186+136322</f>
        <v>172223</v>
      </c>
      <c r="H34" s="766">
        <f>+'Gen &amp; Admin'!D18</f>
        <v>116223.15</v>
      </c>
      <c r="I34" s="369">
        <f t="shared" si="5"/>
        <v>48844.074999999983</v>
      </c>
      <c r="J34" s="369">
        <f>+'Gen &amp; Admin'!H18</f>
        <v>165067.22499999998</v>
      </c>
      <c r="K34" s="948">
        <v>175820.63</v>
      </c>
      <c r="L34" s="370">
        <f>+'Gen &amp; Admin'!J18</f>
        <v>178772.59999999998</v>
      </c>
      <c r="M34" s="366">
        <f t="shared" si="4"/>
        <v>8.3029050739781937E-2</v>
      </c>
      <c r="N34" s="383">
        <f t="shared" si="3"/>
        <v>8.3029050739781937E-2</v>
      </c>
      <c r="P34" s="373">
        <f>+L34-139000</f>
        <v>39772.599999999977</v>
      </c>
      <c r="T34" s="388">
        <f>+T33/D31</f>
        <v>2.3889197602370457E-2</v>
      </c>
      <c r="U34" s="373">
        <f>+U33-E31</f>
        <v>-541280.46999999974</v>
      </c>
    </row>
    <row r="35" spans="1:21">
      <c r="B35" s="363" t="s">
        <v>2222</v>
      </c>
      <c r="C35" s="357"/>
      <c r="D35" s="386">
        <f>15328+31775+26561</f>
        <v>73664</v>
      </c>
      <c r="E35" s="372">
        <f>63175+600+8751</f>
        <v>72526</v>
      </c>
      <c r="F35" s="372">
        <f>61569+350+6724</f>
        <v>68643</v>
      </c>
      <c r="G35" s="946">
        <f>85714+600+7208</f>
        <v>93522</v>
      </c>
      <c r="H35" s="766">
        <f>+'Gen &amp; Admin'!D47</f>
        <v>61257.55</v>
      </c>
      <c r="I35" s="369">
        <f t="shared" si="5"/>
        <v>13804.550000000003</v>
      </c>
      <c r="J35" s="369">
        <f>+'Gen &amp; Admin'!H47</f>
        <v>75062.100000000006</v>
      </c>
      <c r="K35" s="948">
        <v>76900</v>
      </c>
      <c r="L35" s="652">
        <f>+'Gen &amp; Admin'!J47</f>
        <v>87575</v>
      </c>
      <c r="M35" s="366">
        <f t="shared" si="4"/>
        <v>0.16670063853795714</v>
      </c>
      <c r="N35" s="383">
        <f t="shared" si="3"/>
        <v>0.16670063853795714</v>
      </c>
      <c r="U35" s="388">
        <f>+U34/E31</f>
        <v>-0.11511100010037746</v>
      </c>
    </row>
    <row r="36" spans="1:21">
      <c r="B36" s="363" t="s">
        <v>2223</v>
      </c>
      <c r="C36" s="357"/>
      <c r="D36" s="689">
        <f>581421+174131</f>
        <v>755552</v>
      </c>
      <c r="E36" s="700">
        <f>618553+181161</f>
        <v>799714</v>
      </c>
      <c r="F36" s="701">
        <f>611214+188474</f>
        <v>799688</v>
      </c>
      <c r="G36" s="954">
        <f>605232+194437</f>
        <v>799669</v>
      </c>
      <c r="H36" s="766">
        <f>+'Gen &amp; Admin'!D68</f>
        <v>594030.07999999996</v>
      </c>
      <c r="I36" s="389">
        <f>+J36-H36</f>
        <v>297015.04000000015</v>
      </c>
      <c r="J36" s="369">
        <f>+'Gen &amp; Admin'!H68</f>
        <v>891045.12000000011</v>
      </c>
      <c r="K36" s="948">
        <v>890420.12</v>
      </c>
      <c r="L36" s="389">
        <f>+'Gen &amp; Admin'!J68</f>
        <v>890420.12000000011</v>
      </c>
      <c r="M36" s="366">
        <f t="shared" si="4"/>
        <v>-7.0142351489450936E-4</v>
      </c>
      <c r="N36" s="383">
        <f t="shared" si="3"/>
        <v>-7.0142351489450936E-4</v>
      </c>
    </row>
    <row r="37" spans="1:21">
      <c r="A37" s="390"/>
      <c r="B37" s="376" t="s">
        <v>2179</v>
      </c>
      <c r="C37" s="357"/>
      <c r="D37" s="808">
        <f t="shared" ref="D37:L37" si="6">SUM(D23:D36)</f>
        <v>7842474</v>
      </c>
      <c r="E37" s="809">
        <f t="shared" si="6"/>
        <v>8228876</v>
      </c>
      <c r="F37" s="809">
        <f t="shared" si="6"/>
        <v>8589981</v>
      </c>
      <c r="G37" s="809">
        <f t="shared" si="6"/>
        <v>8806322</v>
      </c>
      <c r="H37" s="812">
        <f>SUM(H23:H36)</f>
        <v>6662515.8500000006</v>
      </c>
      <c r="I37" s="813">
        <f t="shared" si="6"/>
        <v>2439131.7182477801</v>
      </c>
      <c r="J37" s="813">
        <f t="shared" si="6"/>
        <v>9101647.5682477802</v>
      </c>
      <c r="K37" s="810">
        <f>SUM(K23:K36)</f>
        <v>9116361.8435739148</v>
      </c>
      <c r="L37" s="810">
        <f t="shared" si="6"/>
        <v>9434427.7015358359</v>
      </c>
      <c r="M37" s="811">
        <f t="shared" si="4"/>
        <v>3.6562625699659061E-2</v>
      </c>
      <c r="N37" s="391"/>
    </row>
    <row r="38" spans="1:21">
      <c r="B38" s="356"/>
      <c r="C38" s="357"/>
      <c r="D38" s="690"/>
      <c r="E38" s="702"/>
      <c r="F38" s="702"/>
      <c r="G38" s="955"/>
      <c r="H38" s="692"/>
      <c r="I38" s="377"/>
      <c r="J38" s="377"/>
      <c r="K38" s="956"/>
      <c r="L38" s="379"/>
      <c r="M38" s="366"/>
      <c r="N38" s="391"/>
    </row>
    <row r="39" spans="1:21">
      <c r="B39" s="392" t="s">
        <v>2224</v>
      </c>
      <c r="C39" s="357"/>
      <c r="D39" s="394">
        <f t="shared" ref="D39:J39" si="7">D20-D37</f>
        <v>-394498</v>
      </c>
      <c r="E39" s="703">
        <f>E20-E37</f>
        <v>-140397</v>
      </c>
      <c r="F39" s="703">
        <f t="shared" si="7"/>
        <v>143411</v>
      </c>
      <c r="G39" s="703">
        <f t="shared" si="7"/>
        <v>160317</v>
      </c>
      <c r="H39" s="694">
        <f t="shared" si="7"/>
        <v>-48435.629999998957</v>
      </c>
      <c r="I39" s="393">
        <f t="shared" si="7"/>
        <v>145311.07704591844</v>
      </c>
      <c r="J39" s="393">
        <f t="shared" si="7"/>
        <v>113375.44704591855</v>
      </c>
      <c r="K39" s="393">
        <v>-0.33465521596372128</v>
      </c>
      <c r="L39" s="394">
        <f>L20-L37</f>
        <v>8.1987440586090088E-2</v>
      </c>
      <c r="M39" s="366">
        <f>+(L39-J39)/J39</f>
        <v>-0.99999927685012302</v>
      </c>
      <c r="N39" s="383">
        <f>+L39/L10</f>
        <v>8.7366373166268838E-9</v>
      </c>
    </row>
    <row r="40" spans="1:21" ht="21" customHeight="1">
      <c r="B40" s="356"/>
      <c r="C40" s="357"/>
      <c r="D40" s="691"/>
      <c r="E40" s="704"/>
      <c r="F40" s="704"/>
      <c r="G40" s="957"/>
      <c r="H40" s="695"/>
      <c r="I40" s="377"/>
      <c r="J40" s="377"/>
      <c r="K40" s="377"/>
      <c r="L40" s="379"/>
      <c r="M40" s="366"/>
    </row>
    <row r="41" spans="1:21" ht="21" customHeight="1">
      <c r="B41" s="395" t="s">
        <v>2225</v>
      </c>
      <c r="C41" s="357"/>
      <c r="D41" s="691"/>
      <c r="E41" s="704"/>
      <c r="F41" s="704"/>
      <c r="G41" s="957"/>
      <c r="H41" s="696"/>
      <c r="I41" s="396"/>
      <c r="J41" s="377"/>
      <c r="K41" s="377"/>
      <c r="L41" s="379"/>
      <c r="M41" s="366"/>
    </row>
    <row r="42" spans="1:21">
      <c r="B42" s="363" t="s">
        <v>434</v>
      </c>
      <c r="C42" s="357"/>
      <c r="D42" s="404">
        <v>0</v>
      </c>
      <c r="E42" s="658">
        <v>0</v>
      </c>
      <c r="F42" s="658"/>
      <c r="G42" s="958"/>
      <c r="H42" s="364">
        <v>0</v>
      </c>
      <c r="I42" s="397">
        <v>0</v>
      </c>
      <c r="J42" s="397">
        <v>0</v>
      </c>
      <c r="K42" s="397">
        <v>0</v>
      </c>
      <c r="L42" s="397">
        <v>0</v>
      </c>
      <c r="M42" s="366">
        <v>0</v>
      </c>
    </row>
    <row r="43" spans="1:21" ht="18">
      <c r="B43" s="363" t="s">
        <v>2226</v>
      </c>
      <c r="C43" s="367" t="s">
        <v>2208</v>
      </c>
      <c r="D43" s="404">
        <v>658816</v>
      </c>
      <c r="E43" s="658">
        <v>583354</v>
      </c>
      <c r="F43" s="658">
        <v>843349</v>
      </c>
      <c r="G43" s="958">
        <v>836993</v>
      </c>
      <c r="H43" s="364">
        <v>0</v>
      </c>
      <c r="I43" s="397">
        <f>+J43-H43</f>
        <v>644430.14416000003</v>
      </c>
      <c r="J43" s="397">
        <f>+Income!G24-K18</f>
        <v>644430.14416000003</v>
      </c>
      <c r="K43" s="397">
        <v>644432.68750000012</v>
      </c>
      <c r="L43" s="397">
        <f>Income!G26-L18</f>
        <v>665570.53862999997</v>
      </c>
      <c r="M43" s="366">
        <f t="shared" ref="M43" si="8">+(L43-J43)/J43</f>
        <v>3.280478832590298E-2</v>
      </c>
      <c r="N43" s="968" t="s">
        <v>2227</v>
      </c>
    </row>
    <row r="44" spans="1:21">
      <c r="B44" s="363" t="s">
        <v>665</v>
      </c>
      <c r="C44" s="357"/>
      <c r="D44" s="386">
        <v>1995</v>
      </c>
      <c r="E44" s="372">
        <v>58368</v>
      </c>
      <c r="F44" s="372">
        <v>85128</v>
      </c>
      <c r="G44" s="946">
        <v>84807</v>
      </c>
      <c r="H44" s="693">
        <f>SUMIF('VLookup Data'!$A:$A,'VLookup Data'!A334,'VLookup Data'!$E:$E)</f>
        <v>35230.42</v>
      </c>
      <c r="I44" s="385">
        <f>+H44/8*4</f>
        <v>17615.21</v>
      </c>
      <c r="J44" s="385">
        <f>SUM(H44:I44)</f>
        <v>52845.63</v>
      </c>
      <c r="K44" s="385">
        <v>0</v>
      </c>
      <c r="L44" s="386">
        <v>0</v>
      </c>
      <c r="M44" s="366">
        <f>+(L44-J44)/J44</f>
        <v>-1</v>
      </c>
      <c r="O44" s="399" t="s">
        <v>2228</v>
      </c>
    </row>
    <row r="45" spans="1:21">
      <c r="B45" s="363" t="s">
        <v>2229</v>
      </c>
      <c r="C45" s="357"/>
      <c r="D45" s="386">
        <v>0</v>
      </c>
      <c r="E45" s="372">
        <v>0</v>
      </c>
      <c r="F45" s="372"/>
      <c r="G45" s="946">
        <v>0</v>
      </c>
      <c r="H45" s="693">
        <f>SUMIF('VLookup Data'!$A:$A,'VLookup Data'!A677,'VLookup Data'!$E:$E)*-1</f>
        <v>22958.17</v>
      </c>
      <c r="I45" s="385">
        <v>0</v>
      </c>
      <c r="J45" s="385">
        <f t="shared" ref="J45:J48" si="9">SUM(H45:I45)</f>
        <v>22958.17</v>
      </c>
      <c r="K45" s="385">
        <v>0</v>
      </c>
      <c r="L45" s="386">
        <v>0</v>
      </c>
      <c r="M45" s="366"/>
      <c r="N45" s="373"/>
    </row>
    <row r="46" spans="1:21">
      <c r="B46" s="363" t="s">
        <v>2230</v>
      </c>
      <c r="C46" s="367"/>
      <c r="D46" s="386">
        <v>64873</v>
      </c>
      <c r="E46" s="372">
        <v>65786</v>
      </c>
      <c r="F46" s="372">
        <v>0</v>
      </c>
      <c r="G46" s="946">
        <v>0</v>
      </c>
      <c r="H46" s="693">
        <v>0</v>
      </c>
      <c r="I46" s="385">
        <v>0</v>
      </c>
      <c r="J46" s="385">
        <v>0</v>
      </c>
      <c r="K46" s="385">
        <v>0</v>
      </c>
      <c r="L46" s="386">
        <v>0</v>
      </c>
      <c r="M46" s="366"/>
      <c r="N46" s="373"/>
    </row>
    <row r="47" spans="1:21">
      <c r="B47" s="363" t="s">
        <v>434</v>
      </c>
      <c r="C47" s="367" t="s">
        <v>2231</v>
      </c>
      <c r="D47" s="386">
        <v>1000659</v>
      </c>
      <c r="E47" s="372">
        <v>1000000</v>
      </c>
      <c r="F47" s="372">
        <v>0</v>
      </c>
      <c r="G47" s="946">
        <v>0</v>
      </c>
      <c r="H47" s="693">
        <f>SUMIF('VLookup Data'!$A:$A,'VLookup Data'!A218,'VLookup Data'!$E:$E)</f>
        <v>659559.49</v>
      </c>
      <c r="I47" s="385">
        <f>J47-H47</f>
        <v>345119.15</v>
      </c>
      <c r="J47" s="385">
        <f>2.52*Income!E18</f>
        <v>1004678.64</v>
      </c>
      <c r="K47" s="385">
        <v>0</v>
      </c>
      <c r="L47" s="386">
        <v>0</v>
      </c>
      <c r="M47" s="366"/>
      <c r="N47" s="373"/>
    </row>
    <row r="48" spans="1:21">
      <c r="B48" s="363" t="s">
        <v>2233</v>
      </c>
      <c r="C48" s="367" t="s">
        <v>2234</v>
      </c>
      <c r="D48" s="386">
        <v>0</v>
      </c>
      <c r="E48" s="372">
        <v>0</v>
      </c>
      <c r="F48" s="372"/>
      <c r="G48" s="946"/>
      <c r="H48" s="693">
        <v>0</v>
      </c>
      <c r="I48" s="385">
        <v>0</v>
      </c>
      <c r="J48" s="385">
        <f t="shared" si="9"/>
        <v>0</v>
      </c>
      <c r="K48" s="385">
        <v>0</v>
      </c>
      <c r="L48" s="386">
        <v>0</v>
      </c>
      <c r="M48" s="366"/>
      <c r="N48" s="373"/>
    </row>
    <row r="49" spans="1:15">
      <c r="B49" s="363" t="s">
        <v>2235</v>
      </c>
      <c r="C49" s="367" t="s">
        <v>2234</v>
      </c>
      <c r="D49" s="386">
        <v>208076</v>
      </c>
      <c r="E49" s="372">
        <v>0</v>
      </c>
      <c r="F49" s="372">
        <v>0</v>
      </c>
      <c r="G49" s="946"/>
      <c r="H49" s="693">
        <f>SUMIF('VLookup Data'!$A:$A,'VLookup Data'!A166,'VLookup Data'!$E:$E)</f>
        <v>0</v>
      </c>
      <c r="I49" s="385">
        <v>0</v>
      </c>
      <c r="J49" s="385">
        <f t="shared" ref="J49" si="10">SUM(H49:I49)</f>
        <v>0</v>
      </c>
      <c r="K49" s="385">
        <v>0</v>
      </c>
      <c r="L49" s="386">
        <v>0</v>
      </c>
      <c r="M49" s="366"/>
      <c r="N49" s="373"/>
    </row>
    <row r="50" spans="1:15">
      <c r="B50" s="400" t="s">
        <v>2236</v>
      </c>
      <c r="C50" s="357"/>
      <c r="D50" s="808">
        <f t="shared" ref="D50:L50" si="11">SUM(D42:D49)</f>
        <v>1934419</v>
      </c>
      <c r="E50" s="809">
        <f t="shared" si="11"/>
        <v>1707508</v>
      </c>
      <c r="F50" s="809">
        <f t="shared" si="11"/>
        <v>928477</v>
      </c>
      <c r="G50" s="809">
        <f t="shared" si="11"/>
        <v>921800</v>
      </c>
      <c r="H50" s="812">
        <f t="shared" si="11"/>
        <v>717748.08</v>
      </c>
      <c r="I50" s="813">
        <f t="shared" si="11"/>
        <v>1007164.50416</v>
      </c>
      <c r="J50" s="813">
        <f t="shared" si="11"/>
        <v>1724912.5841600001</v>
      </c>
      <c r="K50" s="813">
        <f>SUM(K42:K49)</f>
        <v>644432.68750000012</v>
      </c>
      <c r="L50" s="813">
        <f t="shared" si="11"/>
        <v>665570.53862999997</v>
      </c>
      <c r="M50" s="811">
        <f>+(L50-J50)/J50</f>
        <v>-0.61414245293240755</v>
      </c>
    </row>
    <row r="51" spans="1:15">
      <c r="B51" s="401"/>
      <c r="C51" s="362"/>
      <c r="E51" s="359"/>
      <c r="F51" s="359"/>
      <c r="G51" s="943"/>
      <c r="H51" s="697"/>
      <c r="I51" s="402"/>
      <c r="J51" s="402"/>
      <c r="K51" s="402"/>
      <c r="L51" s="403"/>
      <c r="M51" s="366"/>
    </row>
    <row r="52" spans="1:15">
      <c r="B52" s="395" t="s">
        <v>2237</v>
      </c>
      <c r="C52" s="357"/>
      <c r="D52" s="386"/>
      <c r="E52" s="372"/>
      <c r="F52" s="372"/>
      <c r="G52" s="946"/>
      <c r="H52" s="693"/>
      <c r="I52" s="385"/>
      <c r="J52" s="385"/>
      <c r="K52" s="385"/>
      <c r="L52" s="386"/>
      <c r="M52" s="366"/>
    </row>
    <row r="53" spans="1:15">
      <c r="B53" s="363" t="s">
        <v>2238</v>
      </c>
      <c r="C53" s="357"/>
      <c r="D53" s="404">
        <v>0</v>
      </c>
      <c r="E53" s="658">
        <v>0</v>
      </c>
      <c r="F53" s="658">
        <v>0</v>
      </c>
      <c r="G53" s="958">
        <v>0</v>
      </c>
      <c r="H53" s="364">
        <f>+CAP!D31</f>
        <v>339591.93</v>
      </c>
      <c r="I53" s="397">
        <v>0</v>
      </c>
      <c r="J53" s="397">
        <f>+CAP!H31</f>
        <v>251988.65</v>
      </c>
      <c r="K53" s="397">
        <v>0</v>
      </c>
      <c r="L53" s="404">
        <f>+CAP!J31</f>
        <v>0</v>
      </c>
      <c r="M53" s="366">
        <f>+(L53-J53)/J53</f>
        <v>-1</v>
      </c>
    </row>
    <row r="54" spans="1:15">
      <c r="B54" s="363" t="s">
        <v>2239</v>
      </c>
      <c r="C54" s="357"/>
      <c r="D54" s="386">
        <v>0</v>
      </c>
      <c r="E54" s="372">
        <v>0</v>
      </c>
      <c r="F54" s="372"/>
      <c r="G54" s="946"/>
      <c r="H54" s="693">
        <v>0</v>
      </c>
      <c r="I54" s="385">
        <v>0</v>
      </c>
      <c r="J54" s="385">
        <v>0</v>
      </c>
      <c r="K54" s="385">
        <v>0</v>
      </c>
      <c r="L54" s="386">
        <v>0</v>
      </c>
      <c r="M54" s="366"/>
    </row>
    <row r="55" spans="1:15">
      <c r="B55" s="400" t="s">
        <v>2240</v>
      </c>
      <c r="C55" s="357"/>
      <c r="D55" s="808">
        <f t="shared" ref="D55:J55" si="12">SUM(D53:D54)</f>
        <v>0</v>
      </c>
      <c r="E55" s="809">
        <f t="shared" si="12"/>
        <v>0</v>
      </c>
      <c r="F55" s="809">
        <f t="shared" si="12"/>
        <v>0</v>
      </c>
      <c r="G55" s="959"/>
      <c r="H55" s="812">
        <f t="shared" si="12"/>
        <v>339591.93</v>
      </c>
      <c r="I55" s="813">
        <f t="shared" si="12"/>
        <v>0</v>
      </c>
      <c r="J55" s="813">
        <f t="shared" si="12"/>
        <v>251988.65</v>
      </c>
      <c r="K55" s="813">
        <v>0</v>
      </c>
      <c r="L55" s="813">
        <f>SUM(L53:L54)</f>
        <v>0</v>
      </c>
      <c r="M55" s="811">
        <f>+(L55-J55)/J55</f>
        <v>-1</v>
      </c>
    </row>
    <row r="56" spans="1:15" s="343" customFormat="1">
      <c r="B56" s="401"/>
      <c r="C56" s="405"/>
      <c r="D56" s="386"/>
      <c r="E56" s="372"/>
      <c r="F56" s="372"/>
      <c r="G56" s="946"/>
      <c r="H56" s="693"/>
      <c r="I56" s="385"/>
      <c r="J56" s="385"/>
      <c r="K56" s="385"/>
      <c r="L56" s="386"/>
      <c r="M56" s="366"/>
    </row>
    <row r="57" spans="1:15">
      <c r="B57" s="406" t="s">
        <v>2241</v>
      </c>
      <c r="C57" s="407"/>
      <c r="D57" s="409">
        <f t="shared" ref="D57:L57" si="13">+D39+D50-D55</f>
        <v>1539921</v>
      </c>
      <c r="E57" s="705">
        <f t="shared" si="13"/>
        <v>1567111</v>
      </c>
      <c r="F57" s="705">
        <f t="shared" si="13"/>
        <v>1071888</v>
      </c>
      <c r="G57" s="705">
        <f t="shared" si="13"/>
        <v>1082117</v>
      </c>
      <c r="H57" s="960">
        <f>+H39+H50-H55</f>
        <v>329720.52000000101</v>
      </c>
      <c r="I57" s="408">
        <f t="shared" si="13"/>
        <v>1152475.5812059185</v>
      </c>
      <c r="J57" s="408">
        <f t="shared" si="13"/>
        <v>1586299.3812059187</v>
      </c>
      <c r="K57" s="408">
        <f t="shared" si="13"/>
        <v>644432.35284478415</v>
      </c>
      <c r="L57" s="409">
        <f t="shared" si="13"/>
        <v>665570.62061744055</v>
      </c>
      <c r="M57" s="410">
        <f>+(L57-J57)/J57</f>
        <v>-0.58042559399382232</v>
      </c>
    </row>
    <row r="58" spans="1:15">
      <c r="C58" s="297"/>
      <c r="D58" s="375"/>
      <c r="E58" s="373"/>
      <c r="F58" s="373"/>
      <c r="G58" s="373"/>
      <c r="H58" s="375"/>
      <c r="K58" s="297"/>
      <c r="M58" s="355"/>
      <c r="O58" s="343" t="s">
        <v>2242</v>
      </c>
    </row>
    <row r="59" spans="1:15">
      <c r="C59" s="297"/>
      <c r="D59" s="411"/>
      <c r="E59" s="411"/>
      <c r="F59" s="411"/>
      <c r="G59" s="411"/>
      <c r="K59" s="297"/>
      <c r="M59" s="355"/>
    </row>
    <row r="60" spans="1:15">
      <c r="B60" s="297" t="s">
        <v>2243</v>
      </c>
      <c r="C60" s="297"/>
      <c r="D60" s="375"/>
      <c r="E60" s="375"/>
      <c r="F60" s="375"/>
      <c r="G60" s="375"/>
      <c r="K60" s="297"/>
      <c r="M60" s="355"/>
    </row>
    <row r="61" spans="1:15">
      <c r="B61" s="343" t="s">
        <v>2244</v>
      </c>
      <c r="C61" s="297"/>
      <c r="D61" s="375"/>
      <c r="E61" s="375"/>
      <c r="F61" s="375"/>
      <c r="G61" s="375"/>
      <c r="K61" s="297"/>
      <c r="M61" s="355"/>
    </row>
    <row r="62" spans="1:15">
      <c r="C62" s="297"/>
      <c r="D62" s="375"/>
      <c r="E62" s="375"/>
      <c r="F62" s="375"/>
      <c r="G62" s="375"/>
      <c r="K62" s="297"/>
      <c r="M62" s="355"/>
    </row>
    <row r="63" spans="1:15">
      <c r="B63" s="343" t="s">
        <v>2245</v>
      </c>
      <c r="C63" s="297"/>
      <c r="D63" s="375"/>
      <c r="E63" s="375"/>
      <c r="F63" s="375"/>
      <c r="G63" s="375"/>
      <c r="K63" s="297"/>
      <c r="M63" s="355"/>
    </row>
    <row r="64" spans="1:15">
      <c r="A64" s="390"/>
      <c r="B64" s="343" t="s">
        <v>3216</v>
      </c>
      <c r="C64" s="343"/>
      <c r="D64" s="375"/>
      <c r="E64" s="375"/>
      <c r="F64" s="375"/>
      <c r="G64" s="375"/>
      <c r="M64" s="355"/>
    </row>
    <row r="65" spans="1:15" ht="18">
      <c r="A65" s="412"/>
      <c r="B65" s="343" t="s">
        <v>3217</v>
      </c>
      <c r="C65" s="413"/>
      <c r="D65" s="375"/>
      <c r="E65" s="375"/>
      <c r="F65" s="375"/>
      <c r="G65" s="375"/>
      <c r="H65" s="345"/>
      <c r="I65" s="345"/>
      <c r="J65" s="390"/>
      <c r="K65" s="414"/>
      <c r="M65" s="355"/>
      <c r="N65" s="967" t="s">
        <v>2250</v>
      </c>
    </row>
    <row r="66" spans="1:15">
      <c r="A66" s="390"/>
      <c r="B66" s="343" t="s">
        <v>3150</v>
      </c>
      <c r="C66" s="413"/>
      <c r="H66" s="345"/>
      <c r="I66" s="345"/>
      <c r="M66" s="355"/>
    </row>
    <row r="67" spans="1:15">
      <c r="A67" s="390"/>
      <c r="B67" s="343" t="s">
        <v>3151</v>
      </c>
      <c r="C67" s="413"/>
      <c r="H67" s="345"/>
      <c r="I67" s="345"/>
      <c r="K67" s="297"/>
    </row>
    <row r="68" spans="1:15">
      <c r="B68" s="343" t="s">
        <v>3223</v>
      </c>
      <c r="C68" s="297"/>
      <c r="J68" s="3"/>
      <c r="K68" s="297"/>
    </row>
    <row r="69" spans="1:15">
      <c r="B69" s="343" t="s">
        <v>3196</v>
      </c>
      <c r="C69" s="343"/>
    </row>
    <row r="70" spans="1:15">
      <c r="B70" s="343" t="s">
        <v>2254</v>
      </c>
      <c r="C70" s="343"/>
    </row>
    <row r="71" spans="1:15">
      <c r="C71" s="343"/>
      <c r="O71" s="343" t="s">
        <v>2255</v>
      </c>
    </row>
    <row r="72" spans="1:15">
      <c r="C72" s="343"/>
      <c r="O72" s="343" t="s">
        <v>2256</v>
      </c>
    </row>
    <row r="74" spans="1:15">
      <c r="C74" s="343"/>
      <c r="O74" s="343" t="s">
        <v>2257</v>
      </c>
    </row>
    <row r="81" spans="9:15">
      <c r="O81" s="868" t="s">
        <v>3147</v>
      </c>
    </row>
    <row r="82" spans="9:15">
      <c r="O82" s="343" t="s">
        <v>2245</v>
      </c>
    </row>
    <row r="83" spans="9:15">
      <c r="O83" s="343" t="s">
        <v>2246</v>
      </c>
    </row>
    <row r="84" spans="9:15">
      <c r="I84" s="343" t="s">
        <v>2258</v>
      </c>
      <c r="O84" s="343" t="s">
        <v>2247</v>
      </c>
    </row>
    <row r="85" spans="9:15">
      <c r="O85" s="343" t="s">
        <v>2248</v>
      </c>
    </row>
    <row r="86" spans="9:15">
      <c r="O86" s="343" t="s">
        <v>2249</v>
      </c>
    </row>
    <row r="87" spans="9:15">
      <c r="O87" s="343" t="s">
        <v>2251</v>
      </c>
    </row>
    <row r="88" spans="9:15">
      <c r="O88" s="343" t="s">
        <v>2252</v>
      </c>
    </row>
    <row r="89" spans="9:15">
      <c r="O89" s="343" t="s">
        <v>2253</v>
      </c>
    </row>
  </sheetData>
  <phoneticPr fontId="30" type="noConversion"/>
  <printOptions horizontalCentered="1"/>
  <pageMargins left="0" right="0" top="0" bottom="0" header="0.3" footer="0.3"/>
  <pageSetup scale="5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91"/>
  <sheetViews>
    <sheetView showOutlineSymbols="0" view="pageBreakPreview" topLeftCell="A29" zoomScale="85" zoomScaleNormal="100" zoomScaleSheetLayoutView="85" workbookViewId="0">
      <selection activeCell="H75" sqref="H75"/>
    </sheetView>
  </sheetViews>
  <sheetFormatPr baseColWidth="10" defaultColWidth="11" defaultRowHeight="16"/>
  <cols>
    <col min="1" max="1" width="11.85546875" style="415" customWidth="1"/>
    <col min="2" max="2" width="23.28515625" style="415" customWidth="1"/>
    <col min="3" max="3" width="4" style="415" customWidth="1"/>
    <col min="4" max="4" width="13.7109375" style="415" customWidth="1"/>
    <col min="5" max="5" width="16.7109375" style="415" customWidth="1"/>
    <col min="6" max="6" width="19" style="415" bestFit="1" customWidth="1"/>
    <col min="7" max="7" width="21.28515625" style="415" customWidth="1"/>
    <col min="8" max="8" width="14.42578125" style="415" customWidth="1"/>
    <col min="9" max="10" width="12.85546875" style="415" customWidth="1"/>
    <col min="11" max="11" width="14.85546875" style="415" customWidth="1"/>
    <col min="12" max="12" width="12.5703125" style="415" bestFit="1" customWidth="1"/>
    <col min="13" max="13" width="12.42578125" style="415" bestFit="1" customWidth="1"/>
    <col min="14" max="16384" width="11" style="415"/>
  </cols>
  <sheetData>
    <row r="1" spans="1:12">
      <c r="E1" s="416" t="str">
        <f>yrlycomp!H1</f>
        <v>444 East 86th Street Owners Corp.</v>
      </c>
    </row>
    <row r="2" spans="1:12">
      <c r="E2" s="3" t="s">
        <v>2203</v>
      </c>
    </row>
    <row r="3" spans="1:12">
      <c r="B3" s="417" t="s">
        <v>2259</v>
      </c>
      <c r="E3" s="417" t="str">
        <f>yrlycomp!H3</f>
        <v>For Year Ending 12/31/2026</v>
      </c>
    </row>
    <row r="4" spans="1:12">
      <c r="B4" s="417"/>
      <c r="D4" s="417"/>
    </row>
    <row r="5" spans="1:12" ht="15" customHeight="1">
      <c r="A5" s="418" t="s">
        <v>2184</v>
      </c>
    </row>
    <row r="6" spans="1:12" ht="15.75" customHeight="1">
      <c r="A6" s="418"/>
      <c r="C6" s="419"/>
      <c r="D6" s="419"/>
      <c r="E6" s="420" t="s">
        <v>2260</v>
      </c>
      <c r="F6" s="420" t="s">
        <v>2261</v>
      </c>
      <c r="G6" s="420" t="s">
        <v>2262</v>
      </c>
      <c r="H6" s="420" t="s">
        <v>2263</v>
      </c>
      <c r="I6" s="420" t="s">
        <v>2264</v>
      </c>
      <c r="J6" s="420"/>
      <c r="K6" s="423" t="s">
        <v>2265</v>
      </c>
    </row>
    <row r="7" spans="1:12">
      <c r="A7" s="418" t="s">
        <v>467</v>
      </c>
      <c r="B7" s="421" t="s">
        <v>468</v>
      </c>
      <c r="D7" s="422"/>
    </row>
    <row r="8" spans="1:12" hidden="1">
      <c r="A8" s="418"/>
      <c r="B8" s="421"/>
      <c r="D8" s="415">
        <v>2017</v>
      </c>
      <c r="E8" s="424">
        <v>398682</v>
      </c>
      <c r="F8" s="425">
        <v>1.4650472000000001</v>
      </c>
      <c r="G8" s="426">
        <f>E8*F8</f>
        <v>584087.94779040001</v>
      </c>
      <c r="H8" s="426">
        <f>G8*12</f>
        <v>7009055.3734847996</v>
      </c>
      <c r="I8" s="427">
        <v>2.5000000000000001E-2</v>
      </c>
      <c r="J8" s="427"/>
      <c r="L8" s="428"/>
    </row>
    <row r="9" spans="1:12" hidden="1">
      <c r="A9" s="418"/>
      <c r="B9" s="421"/>
      <c r="D9" s="415">
        <v>2018</v>
      </c>
      <c r="E9" s="424">
        <v>398682</v>
      </c>
      <c r="F9" s="425">
        <f>+F8*I9+F8</f>
        <v>1.5177888992000002</v>
      </c>
      <c r="G9" s="426">
        <f>E9*F9</f>
        <v>605115.11391085444</v>
      </c>
      <c r="H9" s="426">
        <f>G9*12</f>
        <v>7261381.3669302538</v>
      </c>
      <c r="I9" s="427">
        <v>3.5999999999999997E-2</v>
      </c>
      <c r="J9" s="427"/>
      <c r="L9" s="428"/>
    </row>
    <row r="10" spans="1:12" hidden="1">
      <c r="A10" s="418"/>
      <c r="B10" s="429"/>
      <c r="C10" s="419"/>
      <c r="D10" s="415">
        <v>2019</v>
      </c>
      <c r="E10" s="419">
        <v>398682</v>
      </c>
      <c r="F10" s="764">
        <f>+F9*I10+F9</f>
        <v>1.5709115106720002</v>
      </c>
      <c r="G10" s="426">
        <f>+E10*F10</f>
        <v>626294.14289773442</v>
      </c>
      <c r="H10" s="426">
        <f>+G10*12</f>
        <v>7515529.714772813</v>
      </c>
      <c r="I10" s="659">
        <v>3.5000000000000003E-2</v>
      </c>
      <c r="J10" s="659"/>
    </row>
    <row r="11" spans="1:12" hidden="1">
      <c r="A11" s="418"/>
      <c r="B11" s="429"/>
      <c r="C11" s="419"/>
      <c r="D11" s="415">
        <v>2020</v>
      </c>
      <c r="E11" s="419">
        <v>398682</v>
      </c>
      <c r="F11" s="764">
        <f>+F10*I11+F10</f>
        <v>1.6148970329708161</v>
      </c>
      <c r="G11" s="426">
        <f>+E11*F11</f>
        <v>643830.3788988709</v>
      </c>
      <c r="H11" s="426">
        <f>+G11*12</f>
        <v>7725964.5467864508</v>
      </c>
      <c r="I11" s="659">
        <v>2.8000000000000001E-2</v>
      </c>
      <c r="J11" s="659"/>
    </row>
    <row r="12" spans="1:12" hidden="1">
      <c r="A12" s="418"/>
      <c r="B12" s="429"/>
      <c r="C12" s="419"/>
      <c r="D12" s="415">
        <v>2021</v>
      </c>
      <c r="E12" s="419">
        <v>398682</v>
      </c>
      <c r="F12" s="764">
        <f>+F11*I12+F11</f>
        <v>1.6552694587950865</v>
      </c>
      <c r="G12" s="426">
        <f>+E12*F12</f>
        <v>659926.13837134268</v>
      </c>
      <c r="H12" s="426">
        <f>+G12*12</f>
        <v>7919113.6604561117</v>
      </c>
      <c r="I12" s="659">
        <v>2.5000000000000001E-2</v>
      </c>
      <c r="J12" s="659"/>
    </row>
    <row r="13" spans="1:12">
      <c r="A13" s="418"/>
      <c r="B13" s="429"/>
      <c r="C13" s="419"/>
      <c r="D13" s="415">
        <v>2022</v>
      </c>
      <c r="E13" s="419">
        <v>398682</v>
      </c>
      <c r="F13" s="764">
        <f>F12*I13+F12</f>
        <v>1.7016170036413489</v>
      </c>
      <c r="G13" s="426">
        <f>+E13*F13</f>
        <v>678404.07024574024</v>
      </c>
      <c r="H13" s="426">
        <f>+G13*12</f>
        <v>8140848.8429488828</v>
      </c>
      <c r="I13" s="659">
        <v>2.8000000000000001E-2</v>
      </c>
      <c r="J13" s="659"/>
    </row>
    <row r="14" spans="1:12">
      <c r="A14" s="418"/>
      <c r="B14" s="429"/>
      <c r="C14" s="419"/>
      <c r="D14" s="415">
        <v>2023</v>
      </c>
      <c r="E14" s="419">
        <v>398682</v>
      </c>
      <c r="F14" s="764">
        <f>F13*I14+F13</f>
        <v>1.7952059388416231</v>
      </c>
      <c r="G14" s="426">
        <f>+E14*F14</f>
        <v>715716.29410925601</v>
      </c>
      <c r="H14" s="426">
        <f>+G14*12</f>
        <v>8588595.5293110721</v>
      </c>
      <c r="I14" s="659">
        <v>5.5E-2</v>
      </c>
      <c r="J14" s="659"/>
    </row>
    <row r="15" spans="1:12">
      <c r="A15" s="418"/>
      <c r="B15" s="429"/>
      <c r="C15" s="419"/>
      <c r="D15" s="415">
        <v>2024</v>
      </c>
      <c r="E15" s="419">
        <v>398682</v>
      </c>
      <c r="F15" s="764">
        <v>1.8311100576184556</v>
      </c>
      <c r="G15" s="426">
        <v>730030.61999144114</v>
      </c>
      <c r="H15" s="426">
        <v>8760367.4398972932</v>
      </c>
      <c r="I15" s="659">
        <v>0.02</v>
      </c>
      <c r="J15" s="659"/>
    </row>
    <row r="16" spans="1:12">
      <c r="A16" s="418"/>
      <c r="B16" s="429"/>
      <c r="C16" s="419"/>
      <c r="D16" s="415">
        <v>2025</v>
      </c>
      <c r="E16" s="419">
        <v>398682</v>
      </c>
      <c r="F16" s="764">
        <v>1.8951989096351016</v>
      </c>
      <c r="G16" s="426">
        <v>755581.69169114158</v>
      </c>
      <c r="H16" s="426">
        <v>9066980.3002936989</v>
      </c>
      <c r="I16" s="659">
        <v>3.5000000000000003E-2</v>
      </c>
      <c r="J16" s="659"/>
    </row>
    <row r="17" spans="1:15">
      <c r="A17" s="418"/>
      <c r="B17" s="429"/>
      <c r="C17" s="419"/>
      <c r="D17" s="419"/>
      <c r="E17" s="419"/>
      <c r="F17" s="707"/>
      <c r="G17" s="428"/>
      <c r="H17" s="428"/>
      <c r="I17" s="419"/>
      <c r="J17" s="419"/>
    </row>
    <row r="18" spans="1:15">
      <c r="A18" s="418"/>
      <c r="B18" s="429"/>
      <c r="D18" s="881" t="s">
        <v>2268</v>
      </c>
      <c r="E18" s="430">
        <f>E16</f>
        <v>398682</v>
      </c>
      <c r="F18" s="765">
        <f>F16*I18+F16</f>
        <v>1.9615308714723301</v>
      </c>
      <c r="G18" s="432">
        <f>+E18*F18</f>
        <v>782027.05090033147</v>
      </c>
      <c r="H18" s="432">
        <f>+G18*12</f>
        <v>9384324.6108039767</v>
      </c>
      <c r="I18" s="383">
        <v>3.5000000000000003E-2</v>
      </c>
      <c r="J18" s="383"/>
      <c r="K18" s="415">
        <f>E18*2.52</f>
        <v>1004678.64</v>
      </c>
    </row>
    <row r="19" spans="1:15" ht="21" customHeight="1">
      <c r="A19" s="418"/>
      <c r="B19" s="433"/>
      <c r="D19" s="434"/>
      <c r="E19" s="435"/>
      <c r="G19" s="434"/>
      <c r="H19" s="435"/>
      <c r="I19" s="434"/>
      <c r="J19" s="434"/>
    </row>
    <row r="20" spans="1:15" ht="19">
      <c r="A20" s="418" t="s">
        <v>545</v>
      </c>
      <c r="B20" s="421" t="s">
        <v>2226</v>
      </c>
      <c r="D20" s="434"/>
      <c r="E20" s="436" t="s">
        <v>2260</v>
      </c>
      <c r="F20" s="437" t="s">
        <v>2271</v>
      </c>
      <c r="G20" s="436" t="s">
        <v>2272</v>
      </c>
      <c r="H20" s="436" t="s">
        <v>2273</v>
      </c>
      <c r="I20" s="434"/>
      <c r="J20" s="434"/>
    </row>
    <row r="21" spans="1:15" hidden="1">
      <c r="A21" s="418"/>
      <c r="D21" s="415">
        <v>2022</v>
      </c>
      <c r="E21" s="435">
        <v>398682</v>
      </c>
      <c r="F21" s="706">
        <v>2.06142</v>
      </c>
      <c r="G21" s="426">
        <f>+F21*E21</f>
        <v>821851.04844000004</v>
      </c>
      <c r="H21" s="435" t="s">
        <v>2275</v>
      </c>
      <c r="I21" s="434"/>
      <c r="J21" s="434"/>
    </row>
    <row r="22" spans="1:15" hidden="1">
      <c r="A22" s="418"/>
      <c r="D22" s="415">
        <v>2023</v>
      </c>
      <c r="E22" s="435">
        <v>398682</v>
      </c>
      <c r="F22" s="764">
        <v>2.1140300000000001</v>
      </c>
      <c r="G22" s="426">
        <f>+E22*F22</f>
        <v>842825.70845999999</v>
      </c>
      <c r="H22" s="435" t="s">
        <v>2275</v>
      </c>
      <c r="I22" s="434"/>
    </row>
    <row r="23" spans="1:15">
      <c r="A23" s="418"/>
      <c r="B23" s="438" t="s">
        <v>2276</v>
      </c>
      <c r="D23" s="415">
        <v>2024</v>
      </c>
      <c r="E23" s="435">
        <v>398682</v>
      </c>
      <c r="F23" s="764">
        <v>2.0993936509548963</v>
      </c>
      <c r="G23" s="426">
        <f>E23*F23</f>
        <v>836990.45954999991</v>
      </c>
      <c r="H23" s="435" t="s">
        <v>2278</v>
      </c>
      <c r="I23" s="434"/>
      <c r="J23" s="417" t="s">
        <v>2277</v>
      </c>
    </row>
    <row r="24" spans="1:15">
      <c r="A24" s="418"/>
      <c r="B24" s="433"/>
      <c r="D24" s="415">
        <v>2025</v>
      </c>
      <c r="E24" s="435">
        <v>398682</v>
      </c>
      <c r="F24" s="764">
        <v>2.1728800000000001</v>
      </c>
      <c r="G24" s="426">
        <f>E24*F24</f>
        <v>866288.14416000003</v>
      </c>
      <c r="H24" s="435" t="s">
        <v>2278</v>
      </c>
      <c r="I24" s="434"/>
      <c r="J24" s="434"/>
    </row>
    <row r="25" spans="1:15">
      <c r="A25" s="418"/>
      <c r="B25" s="433"/>
      <c r="D25" s="419"/>
      <c r="E25" s="435"/>
      <c r="F25" s="707"/>
      <c r="G25" s="434"/>
      <c r="H25" s="435"/>
      <c r="I25" s="434"/>
      <c r="J25" s="434"/>
    </row>
    <row r="26" spans="1:15">
      <c r="D26" s="881" t="str">
        <f>D18</f>
        <v>2026 Budget</v>
      </c>
      <c r="E26" s="657">
        <f>E24</f>
        <v>398682</v>
      </c>
      <c r="F26" s="765">
        <f>+(('RE Taxes'!I11*2)*17.5%)/Income!E26</f>
        <v>2.1722037579574698</v>
      </c>
      <c r="G26" s="432">
        <f>+E26*F26</f>
        <v>866018.53862999997</v>
      </c>
      <c r="H26" s="435" t="s">
        <v>2278</v>
      </c>
      <c r="I26" s="434"/>
      <c r="J26" s="869" t="s">
        <v>3149</v>
      </c>
    </row>
    <row r="27" spans="1:15">
      <c r="A27" s="418"/>
      <c r="B27" s="433"/>
      <c r="D27" s="430"/>
      <c r="E27" s="657"/>
      <c r="F27" s="431"/>
      <c r="G27" s="432"/>
      <c r="H27" s="435"/>
      <c r="I27" s="434"/>
      <c r="J27" s="434"/>
      <c r="M27" s="417"/>
    </row>
    <row r="28" spans="1:15" ht="19">
      <c r="A28" s="418" t="s">
        <v>511</v>
      </c>
      <c r="B28" s="421" t="s">
        <v>512</v>
      </c>
      <c r="C28" s="678" t="s">
        <v>2206</v>
      </c>
      <c r="D28" s="430"/>
      <c r="E28" s="436" t="s">
        <v>2279</v>
      </c>
      <c r="F28" s="675" t="s">
        <v>2280</v>
      </c>
      <c r="G28" s="676" t="s">
        <v>2281</v>
      </c>
      <c r="H28" s="436" t="s">
        <v>2282</v>
      </c>
      <c r="I28" s="677" t="s">
        <v>2283</v>
      </c>
      <c r="J28" s="677"/>
      <c r="M28" s="417"/>
    </row>
    <row r="29" spans="1:15" ht="19">
      <c r="A29" s="418"/>
      <c r="B29" s="421"/>
      <c r="C29" s="678"/>
      <c r="D29" s="678">
        <v>2025</v>
      </c>
      <c r="E29" s="435"/>
      <c r="F29" s="680"/>
      <c r="G29" s="681"/>
      <c r="H29" s="682"/>
      <c r="I29" s="683"/>
      <c r="J29" s="683"/>
      <c r="M29" s="417"/>
      <c r="N29" s="415">
        <v>2023</v>
      </c>
      <c r="O29" s="639" t="s">
        <v>2266</v>
      </c>
    </row>
    <row r="30" spans="1:15">
      <c r="A30" s="418"/>
      <c r="B30" s="433"/>
      <c r="D30" s="560" t="s">
        <v>2284</v>
      </c>
      <c r="E30" s="435">
        <v>18</v>
      </c>
      <c r="F30" s="464">
        <v>17</v>
      </c>
      <c r="G30" s="457">
        <v>75</v>
      </c>
      <c r="H30" s="457">
        <f>F30*G30</f>
        <v>1275</v>
      </c>
      <c r="I30" s="457">
        <f>H30*12</f>
        <v>15300</v>
      </c>
      <c r="J30" s="457"/>
      <c r="K30" s="429">
        <f>E30*G30</f>
        <v>1350</v>
      </c>
      <c r="L30" s="415" t="s">
        <v>2285</v>
      </c>
      <c r="M30" s="417"/>
      <c r="N30" s="415" t="s">
        <v>2286</v>
      </c>
      <c r="O30" s="639"/>
    </row>
    <row r="31" spans="1:15">
      <c r="A31" s="418"/>
      <c r="B31" s="433"/>
      <c r="D31" s="560" t="s">
        <v>2287</v>
      </c>
      <c r="E31" s="435">
        <v>14</v>
      </c>
      <c r="F31" s="464">
        <v>13</v>
      </c>
      <c r="G31" s="457">
        <v>100</v>
      </c>
      <c r="H31" s="457">
        <f>G31*F31</f>
        <v>1300</v>
      </c>
      <c r="I31" s="457">
        <f t="shared" ref="I31:I33" si="0">H31*12</f>
        <v>15600</v>
      </c>
      <c r="J31" s="457"/>
      <c r="K31" s="429">
        <f>E31*G31</f>
        <v>1400</v>
      </c>
      <c r="L31" s="415" t="s">
        <v>2288</v>
      </c>
      <c r="M31" s="417"/>
      <c r="O31" s="415" t="s">
        <v>2267</v>
      </c>
    </row>
    <row r="32" spans="1:15">
      <c r="A32" s="418"/>
      <c r="B32" s="433"/>
      <c r="D32" s="560" t="s">
        <v>2289</v>
      </c>
      <c r="E32" s="435">
        <v>16</v>
      </c>
      <c r="F32" s="464">
        <v>16</v>
      </c>
      <c r="G32" s="457">
        <v>125</v>
      </c>
      <c r="H32" s="457">
        <f>G32*F32</f>
        <v>2000</v>
      </c>
      <c r="I32" s="457">
        <f t="shared" si="0"/>
        <v>24000</v>
      </c>
      <c r="J32" s="457"/>
      <c r="K32" s="429">
        <f t="shared" ref="K32:K33" si="1">E32*G32</f>
        <v>2000</v>
      </c>
      <c r="L32" s="415" t="s">
        <v>2290</v>
      </c>
      <c r="M32" s="417"/>
      <c r="O32" s="415" t="s">
        <v>2269</v>
      </c>
    </row>
    <row r="33" spans="1:16">
      <c r="A33" s="418"/>
      <c r="B33" s="433"/>
      <c r="D33" s="560" t="s">
        <v>2291</v>
      </c>
      <c r="E33" s="435">
        <v>3</v>
      </c>
      <c r="F33" s="464">
        <v>3</v>
      </c>
      <c r="G33" s="457">
        <v>180</v>
      </c>
      <c r="H33" s="457">
        <f>G33*F33</f>
        <v>540</v>
      </c>
      <c r="I33" s="457">
        <f t="shared" si="0"/>
        <v>6480</v>
      </c>
      <c r="J33" s="457"/>
      <c r="K33" s="429">
        <f t="shared" si="1"/>
        <v>540</v>
      </c>
      <c r="M33" s="417"/>
      <c r="O33" s="415" t="s">
        <v>2270</v>
      </c>
    </row>
    <row r="34" spans="1:16">
      <c r="A34" s="418"/>
      <c r="B34" s="433"/>
      <c r="D34" s="560" t="s">
        <v>2272</v>
      </c>
      <c r="E34" s="435">
        <f t="shared" ref="E34:K34" si="2">SUM(E30:E33)</f>
        <v>51</v>
      </c>
      <c r="F34" s="424">
        <f t="shared" si="2"/>
        <v>49</v>
      </c>
      <c r="G34" s="457">
        <f>SUM(G30:G33)</f>
        <v>480</v>
      </c>
      <c r="H34" s="457">
        <f>SUM(H30:H33)</f>
        <v>5115</v>
      </c>
      <c r="I34" s="457">
        <f t="shared" si="2"/>
        <v>61380</v>
      </c>
      <c r="J34" s="457"/>
      <c r="K34" s="429">
        <f t="shared" si="2"/>
        <v>5290</v>
      </c>
      <c r="L34" s="415" t="s">
        <v>2292</v>
      </c>
      <c r="M34" s="417"/>
      <c r="O34" s="415" t="s">
        <v>2274</v>
      </c>
    </row>
    <row r="35" spans="1:16">
      <c r="A35" s="418"/>
      <c r="B35" s="433"/>
      <c r="D35" s="560"/>
      <c r="E35" s="435"/>
      <c r="F35" s="424"/>
      <c r="G35" s="457"/>
      <c r="H35" s="457"/>
      <c r="I35" s="457"/>
      <c r="J35" s="457"/>
      <c r="K35" s="429"/>
      <c r="M35" s="417"/>
    </row>
    <row r="36" spans="1:16">
      <c r="A36" s="418"/>
      <c r="B36" s="433"/>
      <c r="D36" s="434"/>
      <c r="E36" s="435"/>
      <c r="G36" s="457"/>
      <c r="H36" s="435"/>
      <c r="I36" s="434"/>
      <c r="J36" s="434"/>
    </row>
    <row r="37" spans="1:16">
      <c r="A37" s="418"/>
      <c r="B37" s="433"/>
      <c r="D37" s="881" t="str">
        <f>D26</f>
        <v>2026 Budget</v>
      </c>
      <c r="E37" s="657">
        <v>51</v>
      </c>
      <c r="F37" s="790">
        <f>F34</f>
        <v>49</v>
      </c>
      <c r="G37" s="457">
        <v>0</v>
      </c>
      <c r="H37" s="657">
        <f>H34</f>
        <v>5115</v>
      </c>
      <c r="I37" s="444">
        <f>H37*12</f>
        <v>61380</v>
      </c>
      <c r="J37" s="444"/>
    </row>
    <row r="38" spans="1:16">
      <c r="A38" s="418"/>
      <c r="B38" s="433"/>
      <c r="D38" s="434"/>
      <c r="E38" s="435"/>
      <c r="G38" s="434"/>
      <c r="H38" s="435"/>
      <c r="I38" s="434"/>
      <c r="J38" s="434"/>
    </row>
    <row r="39" spans="1:16" ht="19">
      <c r="A39" s="418" t="s">
        <v>513</v>
      </c>
      <c r="B39" s="421" t="s">
        <v>2293</v>
      </c>
      <c r="C39" s="678" t="s">
        <v>2208</v>
      </c>
      <c r="D39" s="434"/>
      <c r="E39" s="436" t="s">
        <v>2279</v>
      </c>
      <c r="F39" s="437" t="s">
        <v>2280</v>
      </c>
      <c r="G39" s="437" t="s">
        <v>2294</v>
      </c>
      <c r="H39" s="436" t="s">
        <v>2272</v>
      </c>
      <c r="L39" s="417" t="s">
        <v>2295</v>
      </c>
    </row>
    <row r="40" spans="1:16" hidden="1">
      <c r="D40" s="415">
        <v>2022</v>
      </c>
      <c r="F40" s="424">
        <v>28</v>
      </c>
      <c r="G40" s="426">
        <v>180</v>
      </c>
      <c r="H40" s="439">
        <f>F40*G40</f>
        <v>5040</v>
      </c>
      <c r="L40" s="417" t="s">
        <v>2296</v>
      </c>
    </row>
    <row r="41" spans="1:16" hidden="1">
      <c r="A41" s="418"/>
      <c r="B41" s="433"/>
      <c r="D41" s="415">
        <v>2023</v>
      </c>
      <c r="F41" s="424">
        <v>28</v>
      </c>
      <c r="G41" s="426">
        <v>180</v>
      </c>
      <c r="H41" s="439">
        <f>F41*G41</f>
        <v>5040</v>
      </c>
      <c r="L41" s="417"/>
    </row>
    <row r="42" spans="1:16">
      <c r="A42" s="418"/>
      <c r="B42" s="433"/>
      <c r="D42" s="415">
        <v>2024</v>
      </c>
      <c r="E42" s="415">
        <v>43</v>
      </c>
      <c r="F42" s="424">
        <v>26</v>
      </c>
      <c r="G42" s="426">
        <v>180</v>
      </c>
      <c r="H42" s="439">
        <f>F42*G42</f>
        <v>4680</v>
      </c>
      <c r="L42" s="417" t="s">
        <v>2297</v>
      </c>
    </row>
    <row r="43" spans="1:16">
      <c r="A43" s="418"/>
      <c r="B43" s="433"/>
      <c r="D43" s="415">
        <v>2025</v>
      </c>
      <c r="E43" s="415">
        <v>43</v>
      </c>
      <c r="F43" s="424">
        <v>41</v>
      </c>
      <c r="G43" s="426">
        <v>180</v>
      </c>
      <c r="H43" s="439">
        <f>F43*G43</f>
        <v>7380</v>
      </c>
      <c r="M43" s="415" t="s">
        <v>2298</v>
      </c>
    </row>
    <row r="44" spans="1:16">
      <c r="A44" s="418"/>
      <c r="B44" s="433"/>
      <c r="D44" s="419"/>
      <c r="G44" s="426"/>
      <c r="H44" s="439"/>
      <c r="M44" s="660" t="s">
        <v>2299</v>
      </c>
    </row>
    <row r="45" spans="1:16">
      <c r="D45" s="881" t="str">
        <f>D37</f>
        <v>2026 Budget</v>
      </c>
      <c r="E45" s="415">
        <v>43</v>
      </c>
      <c r="F45" s="440">
        <f>F43</f>
        <v>41</v>
      </c>
      <c r="G45" s="432">
        <f>G43</f>
        <v>180</v>
      </c>
      <c r="H45" s="441">
        <f>F45*G45</f>
        <v>7380</v>
      </c>
    </row>
    <row r="46" spans="1:16">
      <c r="A46" s="418"/>
      <c r="C46" s="442"/>
      <c r="D46" s="434"/>
      <c r="E46" s="434"/>
      <c r="H46" s="434"/>
      <c r="I46" s="434"/>
      <c r="J46" s="434"/>
      <c r="M46" s="415" t="s">
        <v>2301</v>
      </c>
      <c r="P46" s="442"/>
    </row>
    <row r="47" spans="1:16" ht="19">
      <c r="A47" s="418" t="s">
        <v>523</v>
      </c>
      <c r="B47" s="421" t="s">
        <v>3221</v>
      </c>
      <c r="C47" s="678" t="s">
        <v>2231</v>
      </c>
      <c r="D47" s="434"/>
      <c r="E47" s="436" t="s">
        <v>2262</v>
      </c>
      <c r="F47" s="443" t="s">
        <v>2263</v>
      </c>
      <c r="H47" s="434"/>
      <c r="I47" s="434"/>
      <c r="P47" s="442"/>
    </row>
    <row r="48" spans="1:16" hidden="1">
      <c r="C48" s="679" t="s">
        <v>2231</v>
      </c>
      <c r="D48" s="415">
        <v>2022</v>
      </c>
      <c r="E48" s="434">
        <v>5000</v>
      </c>
      <c r="F48" s="426">
        <f>+E48*12</f>
        <v>60000</v>
      </c>
      <c r="H48" s="434"/>
      <c r="I48" s="434"/>
      <c r="P48" s="442"/>
    </row>
    <row r="49" spans="1:16" hidden="1">
      <c r="A49" s="418"/>
      <c r="C49" s="442"/>
      <c r="D49" s="415">
        <v>2023</v>
      </c>
      <c r="E49" s="434">
        <v>5000</v>
      </c>
      <c r="F49" s="426">
        <f>+E49*12</f>
        <v>60000</v>
      </c>
      <c r="H49" s="434"/>
      <c r="I49" s="434"/>
      <c r="P49" s="442"/>
    </row>
    <row r="50" spans="1:16">
      <c r="A50" s="418"/>
      <c r="B50" s="421" t="s">
        <v>2300</v>
      </c>
      <c r="C50" s="442"/>
      <c r="D50" s="415">
        <v>2024</v>
      </c>
      <c r="E50" s="434">
        <v>5000</v>
      </c>
      <c r="F50" s="426">
        <v>60000</v>
      </c>
      <c r="H50" s="434"/>
      <c r="I50" s="434"/>
      <c r="P50" s="442"/>
    </row>
    <row r="51" spans="1:16">
      <c r="A51" s="418"/>
      <c r="B51" s="421"/>
      <c r="C51" s="442"/>
      <c r="D51" s="415">
        <v>2025</v>
      </c>
      <c r="E51" s="434">
        <v>4416.66</v>
      </c>
      <c r="F51" s="426">
        <v>52999.92</v>
      </c>
      <c r="H51" s="434"/>
      <c r="I51" s="434"/>
      <c r="P51" s="442"/>
    </row>
    <row r="52" spans="1:16">
      <c r="A52" s="418"/>
      <c r="B52" s="421"/>
      <c r="C52" s="442"/>
      <c r="D52" s="419"/>
      <c r="E52" s="434"/>
      <c r="F52" s="426"/>
      <c r="H52" s="434"/>
      <c r="I52" s="434"/>
      <c r="J52" s="415" t="s">
        <v>2302</v>
      </c>
      <c r="P52" s="442"/>
    </row>
    <row r="53" spans="1:16">
      <c r="A53" s="418"/>
      <c r="B53" s="421"/>
      <c r="C53" s="442"/>
      <c r="D53" s="881" t="str">
        <f>D45</f>
        <v>2026 Budget</v>
      </c>
      <c r="E53" s="444">
        <f>E51</f>
        <v>4416.66</v>
      </c>
      <c r="F53" s="432">
        <f>+E53*12</f>
        <v>52999.92</v>
      </c>
      <c r="H53" s="434"/>
      <c r="I53" s="434"/>
      <c r="J53" s="415" t="s">
        <v>2303</v>
      </c>
      <c r="P53" s="442"/>
    </row>
    <row r="54" spans="1:16" ht="12" customHeight="1">
      <c r="A54" s="418"/>
      <c r="B54" s="421"/>
      <c r="C54" s="442"/>
      <c r="D54" s="434"/>
      <c r="E54" s="434"/>
      <c r="H54" s="434"/>
      <c r="I54" s="434"/>
      <c r="J54" s="415" t="s">
        <v>2304</v>
      </c>
      <c r="P54" s="442"/>
    </row>
    <row r="55" spans="1:16" ht="9.75" customHeight="1">
      <c r="A55" s="418"/>
      <c r="C55" s="442"/>
      <c r="D55" s="434"/>
      <c r="E55" s="434"/>
      <c r="H55" s="434"/>
      <c r="I55" s="434"/>
      <c r="P55" s="442"/>
    </row>
    <row r="56" spans="1:16">
      <c r="A56" s="418"/>
      <c r="C56" s="442"/>
      <c r="D56" s="434"/>
      <c r="E56" s="434"/>
      <c r="H56" s="434"/>
      <c r="I56" s="434"/>
      <c r="J56" s="434"/>
      <c r="P56" s="442"/>
    </row>
    <row r="57" spans="1:16" s="297" customFormat="1">
      <c r="B57" s="445" t="s">
        <v>2209</v>
      </c>
      <c r="C57" s="446"/>
      <c r="D57" s="717">
        <f>+yrlycomp!H7</f>
        <v>2025</v>
      </c>
      <c r="E57" s="13">
        <f>D57</f>
        <v>2025</v>
      </c>
      <c r="F57" s="13">
        <f>E57</f>
        <v>2025</v>
      </c>
      <c r="G57" s="13">
        <f>F57</f>
        <v>2025</v>
      </c>
      <c r="H57" s="718">
        <f>+G57+1</f>
        <v>2026</v>
      </c>
      <c r="K57" s="415"/>
      <c r="L57" s="415"/>
      <c r="M57" s="415"/>
      <c r="N57" s="415"/>
      <c r="O57" s="415"/>
    </row>
    <row r="58" spans="1:16" s="297" customFormat="1">
      <c r="B58" s="446"/>
      <c r="C58" s="446"/>
      <c r="D58" s="13" t="s">
        <v>2305</v>
      </c>
      <c r="E58" s="13" t="s">
        <v>2306</v>
      </c>
      <c r="F58" s="13" t="s">
        <v>2307</v>
      </c>
      <c r="G58" s="13" t="s">
        <v>1494</v>
      </c>
      <c r="H58" s="718" t="s">
        <v>1494</v>
      </c>
      <c r="K58" s="415"/>
      <c r="L58" s="415"/>
      <c r="M58" s="415"/>
      <c r="N58" s="415"/>
      <c r="O58" s="415"/>
    </row>
    <row r="59" spans="1:16" s="297" customFormat="1">
      <c r="B59" s="447" t="s">
        <v>2308</v>
      </c>
      <c r="C59" s="447"/>
      <c r="D59" s="14" t="s">
        <v>1496</v>
      </c>
      <c r="E59" s="14" t="s">
        <v>2309</v>
      </c>
      <c r="F59" s="14" t="s">
        <v>2310</v>
      </c>
      <c r="G59" s="14"/>
      <c r="H59" s="719"/>
      <c r="K59" s="415"/>
      <c r="L59" s="415"/>
      <c r="M59" s="415"/>
      <c r="N59" s="415"/>
      <c r="O59" s="415"/>
    </row>
    <row r="60" spans="1:16" s="297" customFormat="1" hidden="1">
      <c r="A60" s="418" t="s">
        <v>559</v>
      </c>
      <c r="B60" s="448" t="s">
        <v>560</v>
      </c>
      <c r="C60" s="445"/>
      <c r="D60" s="426">
        <f>SUMIF('VLookup Data'!$A:$A,A60,'VLookup Data'!$E:$E)</f>
        <v>0</v>
      </c>
      <c r="E60" s="426">
        <f>D60/8*4</f>
        <v>0</v>
      </c>
      <c r="F60" s="426">
        <f>SUM(D60:E60)</f>
        <v>0</v>
      </c>
      <c r="G60" s="457">
        <v>0</v>
      </c>
      <c r="H60" s="432">
        <v>0</v>
      </c>
      <c r="I60" s="343"/>
      <c r="J60" s="343"/>
    </row>
    <row r="61" spans="1:16" s="297" customFormat="1">
      <c r="A61" s="418" t="s">
        <v>607</v>
      </c>
      <c r="B61" s="448" t="s">
        <v>608</v>
      </c>
      <c r="C61" s="446"/>
      <c r="D61" s="426">
        <f>SUMIF('VLookup Data'!$A:$A,A61,'VLookup Data'!$E:$E)</f>
        <v>450</v>
      </c>
      <c r="E61" s="426">
        <f>D61/8*4</f>
        <v>225</v>
      </c>
      <c r="F61" s="426">
        <f t="shared" ref="F61:F75" si="3">SUM(D61:E61)</f>
        <v>675</v>
      </c>
      <c r="G61" s="457">
        <v>1500</v>
      </c>
      <c r="H61" s="432">
        <v>1000</v>
      </c>
      <c r="I61" s="343"/>
      <c r="J61" s="343"/>
    </row>
    <row r="62" spans="1:16" s="297" customFormat="1" hidden="1">
      <c r="A62" s="418" t="s">
        <v>609</v>
      </c>
      <c r="B62" s="448" t="s">
        <v>610</v>
      </c>
      <c r="C62" s="446"/>
      <c r="D62" s="424">
        <f>SUMIF('VLookup Data'!$A:$A,A62,'VLookup Data'!$E:$E)</f>
        <v>0</v>
      </c>
      <c r="E62" s="424">
        <f t="shared" ref="E62:E76" si="4">D62/8*4</f>
        <v>0</v>
      </c>
      <c r="F62" s="424">
        <f t="shared" si="3"/>
        <v>0</v>
      </c>
      <c r="G62" s="464">
        <v>0</v>
      </c>
      <c r="H62" s="440">
        <v>0</v>
      </c>
    </row>
    <row r="63" spans="1:16" s="297" customFormat="1">
      <c r="A63" s="418" t="s">
        <v>611</v>
      </c>
      <c r="B63" s="448" t="s">
        <v>612</v>
      </c>
      <c r="C63" s="446"/>
      <c r="D63" s="424">
        <f>SUMIF('VLookup Data'!$A:$A,A63,'VLookup Data'!$E:$E)</f>
        <v>650</v>
      </c>
      <c r="E63" s="424">
        <f t="shared" si="4"/>
        <v>325</v>
      </c>
      <c r="F63" s="424">
        <f t="shared" si="3"/>
        <v>975</v>
      </c>
      <c r="G63" s="464">
        <v>0</v>
      </c>
      <c r="H63" s="440">
        <v>0</v>
      </c>
    </row>
    <row r="64" spans="1:16" s="297" customFormat="1">
      <c r="A64" s="418" t="s">
        <v>613</v>
      </c>
      <c r="B64" s="448" t="s">
        <v>614</v>
      </c>
      <c r="C64" s="446"/>
      <c r="D64" s="424">
        <f>SUMIF('VLookup Data'!$A:$A,A64,'VLookup Data'!$E:$E)</f>
        <v>-4566.04</v>
      </c>
      <c r="E64" s="424">
        <v>0</v>
      </c>
      <c r="F64" s="424">
        <f t="shared" si="3"/>
        <v>-4566.04</v>
      </c>
      <c r="G64" s="464">
        <v>0</v>
      </c>
      <c r="H64" s="440">
        <v>0</v>
      </c>
    </row>
    <row r="65" spans="1:16" s="297" customFormat="1">
      <c r="A65" s="418" t="s">
        <v>615</v>
      </c>
      <c r="B65" s="448" t="s">
        <v>616</v>
      </c>
      <c r="C65" s="446"/>
      <c r="D65" s="424">
        <f>SUMIF('VLookup Data'!$A:$A,A65,'VLookup Data'!$E:$E)</f>
        <v>900</v>
      </c>
      <c r="E65" s="424">
        <f t="shared" si="4"/>
        <v>450</v>
      </c>
      <c r="F65" s="424">
        <f t="shared" si="3"/>
        <v>1350</v>
      </c>
      <c r="G65" s="464">
        <v>0</v>
      </c>
      <c r="H65" s="440">
        <v>0</v>
      </c>
      <c r="J65" s="343" t="s">
        <v>3210</v>
      </c>
    </row>
    <row r="66" spans="1:16" s="297" customFormat="1" ht="18" customHeight="1">
      <c r="A66" s="418" t="s">
        <v>621</v>
      </c>
      <c r="B66" s="448" t="s">
        <v>622</v>
      </c>
      <c r="C66" s="446"/>
      <c r="D66" s="424">
        <f>SUMIF('VLookup Data'!$A:$A,A66,'VLookup Data'!$E:$E)</f>
        <v>6848.55</v>
      </c>
      <c r="E66" s="424">
        <f t="shared" si="4"/>
        <v>3424.2750000000001</v>
      </c>
      <c r="F66" s="424">
        <f t="shared" si="3"/>
        <v>10272.825000000001</v>
      </c>
      <c r="G66" s="464">
        <v>0</v>
      </c>
      <c r="H66" s="440">
        <v>0</v>
      </c>
    </row>
    <row r="67" spans="1:16" s="297" customFormat="1" ht="18" hidden="1" customHeight="1">
      <c r="A67" s="418" t="s">
        <v>636</v>
      </c>
      <c r="B67" s="448" t="s">
        <v>637</v>
      </c>
      <c r="C67" s="446"/>
      <c r="D67" s="424">
        <f>SUMIF('VLookup Data'!$A:$A,A67,'VLookup Data'!$E:$E)</f>
        <v>0</v>
      </c>
      <c r="E67" s="424">
        <f t="shared" si="4"/>
        <v>0</v>
      </c>
      <c r="F67" s="424">
        <f t="shared" si="3"/>
        <v>0</v>
      </c>
      <c r="G67" s="464">
        <v>0</v>
      </c>
      <c r="H67" s="440">
        <v>0</v>
      </c>
    </row>
    <row r="68" spans="1:16" s="297" customFormat="1">
      <c r="A68" s="418" t="s">
        <v>642</v>
      </c>
      <c r="B68" s="448" t="s">
        <v>643</v>
      </c>
      <c r="C68" s="446"/>
      <c r="D68" s="424">
        <f>SUMIF('VLookup Data'!$A:$A,A68,'VLookup Data'!$E:$E)</f>
        <v>16000</v>
      </c>
      <c r="E68" s="424">
        <f t="shared" si="4"/>
        <v>8000</v>
      </c>
      <c r="F68" s="424">
        <f t="shared" si="3"/>
        <v>24000</v>
      </c>
      <c r="G68" s="464">
        <v>15000</v>
      </c>
      <c r="H68" s="440">
        <v>15000</v>
      </c>
      <c r="M68" s="343"/>
    </row>
    <row r="69" spans="1:16" s="297" customFormat="1" hidden="1">
      <c r="A69" s="418" t="s">
        <v>644</v>
      </c>
      <c r="B69" s="448" t="s">
        <v>645</v>
      </c>
      <c r="C69" s="446"/>
      <c r="D69" s="424">
        <f>SUMIF('VLookup Data'!$A:$A,A69,'VLookup Data'!$E:$E)</f>
        <v>0</v>
      </c>
      <c r="E69" s="424">
        <f t="shared" si="4"/>
        <v>0</v>
      </c>
      <c r="F69" s="424">
        <f t="shared" si="3"/>
        <v>0</v>
      </c>
      <c r="G69" s="464">
        <v>0</v>
      </c>
      <c r="H69" s="440">
        <v>0</v>
      </c>
    </row>
    <row r="70" spans="1:16" s="297" customFormat="1">
      <c r="A70" s="418" t="s">
        <v>646</v>
      </c>
      <c r="B70" s="448" t="s">
        <v>647</v>
      </c>
      <c r="C70" s="449"/>
      <c r="D70" s="424">
        <f>SUMIF('VLookup Data'!$A:$A,A70,'VLookup Data'!$E:$E)</f>
        <v>7679.01</v>
      </c>
      <c r="E70" s="424">
        <f>1450.97*4</f>
        <v>5803.88</v>
      </c>
      <c r="F70" s="424">
        <f t="shared" si="3"/>
        <v>13482.89</v>
      </c>
      <c r="G70" s="464">
        <v>6000</v>
      </c>
      <c r="H70" s="440">
        <v>10000</v>
      </c>
      <c r="M70" s="343"/>
    </row>
    <row r="71" spans="1:16" s="297" customFormat="1">
      <c r="A71" s="418" t="s">
        <v>666</v>
      </c>
      <c r="B71" s="448" t="s">
        <v>667</v>
      </c>
      <c r="C71" s="449"/>
      <c r="D71" s="424">
        <f>SUMIF('VLookup Data'!$A:$A,A71,'VLookup Data'!$E:$E)</f>
        <v>7311.7</v>
      </c>
      <c r="E71" s="424">
        <v>0</v>
      </c>
      <c r="F71" s="424">
        <f t="shared" si="3"/>
        <v>7311.7</v>
      </c>
      <c r="G71" s="464">
        <v>7000</v>
      </c>
      <c r="H71" s="440">
        <v>7000</v>
      </c>
      <c r="M71" s="399"/>
    </row>
    <row r="72" spans="1:16" s="297" customFormat="1" hidden="1">
      <c r="A72" s="418" t="s">
        <v>670</v>
      </c>
      <c r="B72" s="448" t="s">
        <v>2311</v>
      </c>
      <c r="C72" s="450"/>
      <c r="D72" s="424">
        <f>SUMIF('VLookup Data'!$A:$A,A72,'VLookup Data'!$E:$E)</f>
        <v>0</v>
      </c>
      <c r="E72" s="424">
        <f t="shared" si="4"/>
        <v>0</v>
      </c>
      <c r="F72" s="424">
        <f t="shared" si="3"/>
        <v>0</v>
      </c>
      <c r="G72" s="464">
        <v>0</v>
      </c>
      <c r="H72" s="440">
        <v>0</v>
      </c>
      <c r="M72" s="399"/>
    </row>
    <row r="73" spans="1:16" hidden="1">
      <c r="A73" s="418" t="s">
        <v>672</v>
      </c>
      <c r="B73" s="448" t="s">
        <v>673</v>
      </c>
      <c r="D73" s="424">
        <f>SUMIF('VLookup Data'!$A:$A,A73,'VLookup Data'!$E:$E)</f>
        <v>0</v>
      </c>
      <c r="E73" s="424">
        <f t="shared" si="4"/>
        <v>0</v>
      </c>
      <c r="F73" s="424">
        <f t="shared" si="3"/>
        <v>0</v>
      </c>
      <c r="G73" s="464">
        <v>0</v>
      </c>
      <c r="H73" s="440">
        <v>0</v>
      </c>
      <c r="I73" s="434"/>
      <c r="J73" s="434"/>
      <c r="L73" s="434"/>
      <c r="M73" s="434"/>
      <c r="N73" s="434"/>
    </row>
    <row r="74" spans="1:16" hidden="1">
      <c r="A74" s="418" t="s">
        <v>674</v>
      </c>
      <c r="B74" s="448" t="s">
        <v>675</v>
      </c>
      <c r="D74" s="424">
        <f>SUMIF('VLookup Data'!$A:$A,A74,'VLookup Data'!$E:$E)</f>
        <v>0</v>
      </c>
      <c r="E74" s="424">
        <f t="shared" si="4"/>
        <v>0</v>
      </c>
      <c r="F74" s="424">
        <f t="shared" si="3"/>
        <v>0</v>
      </c>
      <c r="G74" s="464">
        <v>0</v>
      </c>
      <c r="H74" s="440">
        <v>0</v>
      </c>
      <c r="I74" s="434"/>
      <c r="J74" s="434"/>
      <c r="L74" s="434"/>
      <c r="M74" s="434"/>
      <c r="N74" s="434"/>
    </row>
    <row r="75" spans="1:16">
      <c r="A75" s="418" t="s">
        <v>706</v>
      </c>
      <c r="B75" s="448" t="s">
        <v>707</v>
      </c>
      <c r="D75" s="424">
        <f>SUMIF('VLookup Data'!$A:$A,A75,'VLookup Data'!$E:$E)</f>
        <v>7500</v>
      </c>
      <c r="E75" s="424">
        <f t="shared" si="4"/>
        <v>3750</v>
      </c>
      <c r="F75" s="424">
        <f t="shared" si="3"/>
        <v>11250</v>
      </c>
      <c r="G75" s="464">
        <v>3000</v>
      </c>
      <c r="H75" s="440">
        <v>3000</v>
      </c>
      <c r="I75" s="434"/>
      <c r="J75" s="434"/>
      <c r="L75" s="434"/>
      <c r="M75" s="434"/>
      <c r="N75" s="434"/>
      <c r="O75" s="434"/>
      <c r="P75" s="434"/>
    </row>
    <row r="76" spans="1:16">
      <c r="A76" s="418" t="s">
        <v>714</v>
      </c>
      <c r="B76" s="448" t="s">
        <v>715</v>
      </c>
      <c r="D76" s="424">
        <f>SUMIF('VLookup Data'!$A:$A,A76,'VLookup Data'!$E:$E)</f>
        <v>500</v>
      </c>
      <c r="E76" s="424">
        <f t="shared" si="4"/>
        <v>250</v>
      </c>
      <c r="F76" s="424">
        <f t="shared" ref="F76:F77" si="5">SUM(D76:E76)</f>
        <v>750</v>
      </c>
      <c r="G76" s="464">
        <v>0</v>
      </c>
      <c r="H76" s="440">
        <v>500</v>
      </c>
      <c r="I76" s="434"/>
      <c r="J76" s="434"/>
      <c r="L76" s="434"/>
      <c r="M76" s="434"/>
      <c r="N76" s="434"/>
    </row>
    <row r="77" spans="1:16">
      <c r="A77" s="418" t="s">
        <v>754</v>
      </c>
      <c r="B77" s="448" t="s">
        <v>755</v>
      </c>
      <c r="C77" s="678" t="s">
        <v>2232</v>
      </c>
      <c r="D77" s="424">
        <f>SUMIF('VLookup Data'!$A:$A,A77,'VLookup Data'!$E:$E)</f>
        <v>34221.279999999999</v>
      </c>
      <c r="E77" s="424">
        <v>0</v>
      </c>
      <c r="F77" s="424">
        <f t="shared" si="5"/>
        <v>34221.279999999999</v>
      </c>
      <c r="G77" s="464">
        <v>0</v>
      </c>
      <c r="H77" s="440">
        <v>7500</v>
      </c>
      <c r="I77" s="434"/>
      <c r="J77" s="434"/>
      <c r="L77" s="434"/>
      <c r="M77" s="434"/>
      <c r="N77" s="434"/>
    </row>
    <row r="78" spans="1:16" ht="17" thickBot="1">
      <c r="B78" s="448"/>
      <c r="D78" s="814">
        <f>SUM(D60:D77)</f>
        <v>77494.5</v>
      </c>
      <c r="E78" s="814">
        <f>SUM(E60:E77)</f>
        <v>22228.154999999999</v>
      </c>
      <c r="F78" s="814">
        <f>SUM(F60:F77)</f>
        <v>99722.654999999999</v>
      </c>
      <c r="G78" s="814">
        <f>SUM(G60:G77)</f>
        <v>32500</v>
      </c>
      <c r="H78" s="815">
        <f>SUM(H60:H77)</f>
        <v>44000</v>
      </c>
    </row>
    <row r="79" spans="1:16" ht="21" thickTop="1">
      <c r="D79" s="451"/>
      <c r="J79" s="966" t="s">
        <v>3215</v>
      </c>
    </row>
    <row r="80" spans="1:16">
      <c r="D80" s="451"/>
    </row>
    <row r="81" spans="1:13">
      <c r="A81" s="415" t="s">
        <v>3213</v>
      </c>
      <c r="M81" s="415" t="s">
        <v>2312</v>
      </c>
    </row>
    <row r="82" spans="1:13">
      <c r="A82" s="415" t="s">
        <v>3218</v>
      </c>
      <c r="M82" s="415" t="s">
        <v>2313</v>
      </c>
    </row>
    <row r="83" spans="1:13">
      <c r="A83" s="415" t="s">
        <v>2314</v>
      </c>
      <c r="M83" s="415" t="s">
        <v>2315</v>
      </c>
    </row>
    <row r="84" spans="1:13">
      <c r="A84" s="415" t="s">
        <v>3219</v>
      </c>
    </row>
    <row r="85" spans="1:13">
      <c r="A85" s="415" t="s">
        <v>3220</v>
      </c>
    </row>
    <row r="86" spans="1:13" hidden="1"/>
    <row r="87" spans="1:13" hidden="1"/>
    <row r="88" spans="1:13" hidden="1"/>
    <row r="89" spans="1:13" hidden="1"/>
    <row r="90" spans="1:13">
      <c r="M90" s="343" t="s">
        <v>2316</v>
      </c>
    </row>
    <row r="91" spans="1:13">
      <c r="A91" s="452" t="s">
        <v>2317</v>
      </c>
      <c r="B91" s="452"/>
      <c r="C91" s="452"/>
      <c r="D91" s="452"/>
      <c r="E91" s="452"/>
      <c r="F91" s="452"/>
      <c r="G91" s="452"/>
      <c r="H91" s="452"/>
      <c r="I91" s="452"/>
      <c r="J91" s="452"/>
      <c r="M91" s="415" t="s">
        <v>2318</v>
      </c>
    </row>
  </sheetData>
  <phoneticPr fontId="44" type="noConversion"/>
  <printOptions horizontalCentered="1"/>
  <pageMargins left="0" right="0" top="0" bottom="0" header="0.3" footer="0.3"/>
  <pageSetup scale="6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"/>
  <sheetViews>
    <sheetView view="pageBreakPreview" topLeftCell="A17" zoomScale="85" zoomScaleNormal="100" zoomScaleSheetLayoutView="85" workbookViewId="0">
      <selection activeCell="G41" sqref="G41"/>
    </sheetView>
  </sheetViews>
  <sheetFormatPr baseColWidth="10" defaultColWidth="8.85546875" defaultRowHeight="16"/>
  <cols>
    <col min="1" max="1" width="15" style="297" customWidth="1"/>
    <col min="2" max="2" width="27.140625" style="297" customWidth="1"/>
    <col min="3" max="3" width="17.28515625" style="297" customWidth="1"/>
    <col min="4" max="4" width="17" style="297" customWidth="1"/>
    <col min="5" max="5" width="15.7109375" style="297" bestFit="1" customWidth="1"/>
    <col min="6" max="6" width="16" style="297" bestFit="1" customWidth="1"/>
    <col min="7" max="7" width="17.42578125" style="297" customWidth="1"/>
    <col min="8" max="8" width="16" style="297" bestFit="1" customWidth="1"/>
    <col min="9" max="16384" width="8.85546875" style="297"/>
  </cols>
  <sheetData>
    <row r="1" spans="2:8">
      <c r="B1" s="415"/>
      <c r="C1" s="415"/>
      <c r="D1" s="416" t="str">
        <f>yrlycomp!H1</f>
        <v>444 East 86th Street Owners Corp.</v>
      </c>
      <c r="E1" s="415"/>
    </row>
    <row r="2" spans="2:8">
      <c r="B2" s="415"/>
      <c r="C2" s="415"/>
      <c r="D2" s="3" t="s">
        <v>2319</v>
      </c>
      <c r="E2" s="415"/>
    </row>
    <row r="3" spans="2:8">
      <c r="B3" s="417" t="s">
        <v>2320</v>
      </c>
      <c r="C3" s="415"/>
      <c r="D3" s="417" t="str">
        <f>yrlycomp!H3</f>
        <v>For Year Ending 12/31/2026</v>
      </c>
      <c r="E3" s="415"/>
    </row>
    <row r="5" spans="2:8" ht="38.25" customHeight="1" thickBot="1">
      <c r="H5" s="343" t="s">
        <v>2321</v>
      </c>
    </row>
    <row r="6" spans="2:8" ht="17" thickBot="1">
      <c r="B6" s="882"/>
      <c r="C6" s="1002" t="s">
        <v>2322</v>
      </c>
      <c r="D6" s="1003"/>
      <c r="E6" s="1004"/>
      <c r="H6" s="354" t="s">
        <v>2323</v>
      </c>
    </row>
    <row r="7" spans="2:8">
      <c r="B7" s="453" t="s">
        <v>2324</v>
      </c>
      <c r="C7" s="454" t="s">
        <v>2325</v>
      </c>
      <c r="D7" s="454" t="s">
        <v>2326</v>
      </c>
      <c r="E7" s="454" t="s">
        <v>2327</v>
      </c>
      <c r="H7" s="398" t="s">
        <v>2328</v>
      </c>
    </row>
    <row r="8" spans="2:8">
      <c r="B8" s="453"/>
      <c r="C8" s="454"/>
      <c r="D8" s="454"/>
      <c r="E8" s="454"/>
    </row>
    <row r="9" spans="2:8" hidden="1">
      <c r="B9" s="453"/>
      <c r="C9" s="720" t="s">
        <v>2329</v>
      </c>
      <c r="D9" s="454"/>
      <c r="E9" s="454"/>
    </row>
    <row r="10" spans="2:8" hidden="1">
      <c r="C10" s="883" t="s">
        <v>2330</v>
      </c>
      <c r="D10" s="455">
        <v>4500</v>
      </c>
      <c r="E10" s="661">
        <f>+D10*12</f>
        <v>54000</v>
      </c>
    </row>
    <row r="11" spans="2:8" hidden="1">
      <c r="C11" s="884" t="s">
        <v>2332</v>
      </c>
      <c r="D11" s="455"/>
      <c r="E11" s="455"/>
      <c r="H11" s="398"/>
    </row>
    <row r="12" spans="2:8" hidden="1">
      <c r="B12" s="885"/>
      <c r="C12" s="883" t="s">
        <v>2330</v>
      </c>
      <c r="D12" s="455">
        <v>4500</v>
      </c>
      <c r="E12" s="455">
        <v>54000</v>
      </c>
      <c r="H12" s="398"/>
    </row>
    <row r="13" spans="2:8">
      <c r="B13" s="885" t="s">
        <v>2331</v>
      </c>
      <c r="C13" s="883" t="s">
        <v>2333</v>
      </c>
      <c r="D13" s="455"/>
      <c r="E13" s="455"/>
      <c r="H13" s="398"/>
    </row>
    <row r="14" spans="2:8">
      <c r="B14" s="885"/>
      <c r="C14" s="883" t="s">
        <v>2330</v>
      </c>
      <c r="D14" s="455">
        <v>4500</v>
      </c>
      <c r="E14" s="455">
        <v>54000</v>
      </c>
      <c r="H14" s="398"/>
    </row>
    <row r="15" spans="2:8">
      <c r="B15" s="885"/>
      <c r="C15" s="886" t="s">
        <v>2334</v>
      </c>
      <c r="D15" s="455"/>
      <c r="E15" s="661"/>
      <c r="H15" s="354" t="s">
        <v>2335</v>
      </c>
    </row>
    <row r="16" spans="2:8">
      <c r="B16" s="885"/>
      <c r="C16" s="883" t="s">
        <v>2330</v>
      </c>
      <c r="D16" s="455">
        <v>4500</v>
      </c>
      <c r="E16" s="661">
        <f>+D16*12</f>
        <v>54000</v>
      </c>
      <c r="F16" s="456"/>
      <c r="H16" s="354" t="s">
        <v>2336</v>
      </c>
    </row>
    <row r="17" spans="2:8" ht="47.25" customHeight="1">
      <c r="B17" s="885"/>
      <c r="C17" s="885"/>
      <c r="D17" s="455"/>
      <c r="E17" s="426"/>
    </row>
    <row r="18" spans="2:8" ht="21.75" customHeight="1">
      <c r="B18" s="885"/>
      <c r="C18" s="887" t="s">
        <v>3153</v>
      </c>
      <c r="D18" s="662" t="s">
        <v>2337</v>
      </c>
      <c r="E18" s="663" t="s">
        <v>2338</v>
      </c>
    </row>
    <row r="19" spans="2:8">
      <c r="B19" s="885" t="s">
        <v>2339</v>
      </c>
      <c r="C19" s="888" t="s">
        <v>3155</v>
      </c>
      <c r="D19" s="664">
        <v>45664</v>
      </c>
      <c r="E19" s="455">
        <v>36961.019999999997</v>
      </c>
    </row>
    <row r="20" spans="2:8">
      <c r="B20" s="885"/>
      <c r="C20" s="889" t="s">
        <v>3156</v>
      </c>
      <c r="D20" s="664">
        <v>45686</v>
      </c>
      <c r="E20" s="455">
        <v>39945.440000000002</v>
      </c>
    </row>
    <row r="21" spans="2:8">
      <c r="B21" s="885"/>
      <c r="C21" s="888" t="s">
        <v>3157</v>
      </c>
      <c r="D21" s="664">
        <v>45719</v>
      </c>
      <c r="E21" s="455">
        <v>44777.36</v>
      </c>
    </row>
    <row r="22" spans="2:8">
      <c r="B22" s="885"/>
      <c r="C22" s="888" t="s">
        <v>3158</v>
      </c>
      <c r="D22" s="664">
        <v>45743</v>
      </c>
      <c r="E22" s="455">
        <v>28651.89</v>
      </c>
    </row>
    <row r="23" spans="2:8">
      <c r="B23" s="885"/>
      <c r="C23" s="888" t="s">
        <v>3159</v>
      </c>
      <c r="D23" s="664">
        <v>45769</v>
      </c>
      <c r="E23" s="455">
        <v>34168</v>
      </c>
    </row>
    <row r="24" spans="2:8">
      <c r="B24" s="885"/>
      <c r="C24" s="888" t="s">
        <v>3160</v>
      </c>
      <c r="D24" s="664">
        <v>45817</v>
      </c>
      <c r="E24" s="455">
        <v>46381.33</v>
      </c>
    </row>
    <row r="25" spans="2:8">
      <c r="B25" s="885"/>
      <c r="C25" s="888" t="s">
        <v>3161</v>
      </c>
      <c r="D25" s="664">
        <v>45831</v>
      </c>
      <c r="E25" s="455">
        <v>38783.93</v>
      </c>
    </row>
    <row r="26" spans="2:8">
      <c r="B26" s="885"/>
      <c r="C26" s="888" t="s">
        <v>3162</v>
      </c>
      <c r="D26" s="664">
        <v>45862</v>
      </c>
      <c r="E26" s="455">
        <v>33696.36</v>
      </c>
    </row>
    <row r="27" spans="2:8">
      <c r="B27" s="885"/>
      <c r="C27" s="888" t="s">
        <v>3163</v>
      </c>
      <c r="D27" s="664">
        <v>45888</v>
      </c>
      <c r="E27" s="455">
        <v>40694.410000000003</v>
      </c>
    </row>
    <row r="28" spans="2:8" hidden="1">
      <c r="B28" s="885"/>
      <c r="C28" s="888" t="s">
        <v>2340</v>
      </c>
      <c r="D28" s="664">
        <v>45561</v>
      </c>
      <c r="E28" s="455">
        <v>0</v>
      </c>
      <c r="H28" s="375"/>
    </row>
    <row r="29" spans="2:8">
      <c r="B29" s="885"/>
      <c r="C29" s="883" t="s">
        <v>3164</v>
      </c>
      <c r="D29" s="664"/>
      <c r="E29" s="455">
        <f>SUM(E19:E28)</f>
        <v>344059.74</v>
      </c>
      <c r="H29" s="297" t="s">
        <v>2137</v>
      </c>
    </row>
    <row r="30" spans="2:8">
      <c r="B30" s="885"/>
      <c r="C30" s="883" t="s">
        <v>3165</v>
      </c>
      <c r="D30" s="664"/>
      <c r="E30" s="665">
        <f>E29/9*3</f>
        <v>114686.58</v>
      </c>
    </row>
    <row r="31" spans="2:8">
      <c r="B31" s="885"/>
      <c r="C31" s="883"/>
      <c r="D31" s="664"/>
      <c r="E31" s="455"/>
    </row>
    <row r="32" spans="2:8">
      <c r="C32" s="666" t="s">
        <v>3154</v>
      </c>
      <c r="D32" s="664"/>
      <c r="E32" s="661">
        <f>SUM(E29:E30)</f>
        <v>458746.32</v>
      </c>
      <c r="F32" s="343"/>
      <c r="G32" s="343"/>
      <c r="H32" s="458">
        <f>E32/12</f>
        <v>38228.86</v>
      </c>
    </row>
    <row r="33" spans="1:9" ht="45.75" customHeight="1">
      <c r="A33" s="343"/>
      <c r="B33" s="343"/>
      <c r="C33" s="343"/>
      <c r="D33" s="343"/>
      <c r="E33" s="343"/>
      <c r="F33" s="343"/>
      <c r="G33" s="343"/>
      <c r="H33" s="375"/>
    </row>
    <row r="34" spans="1:9">
      <c r="A34" s="343"/>
      <c r="B34" s="459"/>
      <c r="C34" s="460">
        <f>+yrlycomp!H7</f>
        <v>2025</v>
      </c>
      <c r="D34" s="461">
        <f>C34</f>
        <v>2025</v>
      </c>
      <c r="E34" s="461">
        <f>D34</f>
        <v>2025</v>
      </c>
      <c r="F34" s="461">
        <f>E34</f>
        <v>2025</v>
      </c>
      <c r="G34" s="462">
        <f>+F34+1</f>
        <v>2026</v>
      </c>
    </row>
    <row r="35" spans="1:9">
      <c r="A35" s="343"/>
      <c r="B35" s="459"/>
      <c r="C35" s="461" t="s">
        <v>2305</v>
      </c>
      <c r="D35" s="461" t="s">
        <v>2306</v>
      </c>
      <c r="E35" s="461" t="s">
        <v>2307</v>
      </c>
      <c r="F35" s="461" t="s">
        <v>1494</v>
      </c>
      <c r="G35" s="462" t="s">
        <v>1494</v>
      </c>
    </row>
    <row r="36" spans="1:9">
      <c r="A36" s="343"/>
      <c r="B36" s="447" t="s">
        <v>2308</v>
      </c>
      <c r="C36" s="667" t="s">
        <v>1496</v>
      </c>
      <c r="D36" s="667" t="s">
        <v>2309</v>
      </c>
      <c r="E36" s="667" t="s">
        <v>2310</v>
      </c>
      <c r="F36" s="667"/>
      <c r="G36" s="668"/>
    </row>
    <row r="37" spans="1:9">
      <c r="A37" s="343"/>
      <c r="B37" s="447"/>
      <c r="C37" s="461"/>
      <c r="D37" s="461"/>
      <c r="E37" s="461"/>
      <c r="F37" s="461"/>
      <c r="G37" s="462"/>
    </row>
    <row r="38" spans="1:9">
      <c r="A38" s="3" t="s">
        <v>481</v>
      </c>
      <c r="B38" s="463" t="s">
        <v>482</v>
      </c>
      <c r="C38" s="426">
        <f>'VLookup Data'!E242</f>
        <v>36000</v>
      </c>
      <c r="D38" s="426">
        <f>E38-C38</f>
        <v>18000</v>
      </c>
      <c r="E38" s="426">
        <f>E14</f>
        <v>54000</v>
      </c>
      <c r="F38" s="426">
        <v>54000</v>
      </c>
      <c r="G38" s="432">
        <f>E16</f>
        <v>54000</v>
      </c>
      <c r="I38" s="638" t="s">
        <v>2341</v>
      </c>
    </row>
    <row r="39" spans="1:9">
      <c r="A39" s="3" t="s">
        <v>533</v>
      </c>
      <c r="B39" s="463" t="s">
        <v>534</v>
      </c>
      <c r="C39" s="424">
        <f>'VLookup Data'!E268</f>
        <v>344059.74</v>
      </c>
      <c r="D39" s="424">
        <f>E39-C39</f>
        <v>114686.58000000002</v>
      </c>
      <c r="E39" s="464">
        <f>E32</f>
        <v>458746.32</v>
      </c>
      <c r="F39" s="424">
        <v>456000</v>
      </c>
      <c r="G39" s="440">
        <v>460000</v>
      </c>
    </row>
    <row r="40" spans="1:9" hidden="1">
      <c r="A40" s="3" t="s">
        <v>583</v>
      </c>
      <c r="B40" s="463" t="s">
        <v>2342</v>
      </c>
      <c r="C40" s="424">
        <f>SUMIF('VLookup Data'!$A:$A,A40,'VLookup Data'!$E:$E)</f>
        <v>0</v>
      </c>
      <c r="D40" s="424">
        <f>C40*8/4</f>
        <v>0</v>
      </c>
      <c r="E40" s="464">
        <v>0</v>
      </c>
      <c r="F40" s="464">
        <v>0</v>
      </c>
      <c r="G40" s="440">
        <v>0</v>
      </c>
    </row>
    <row r="41" spans="1:9" ht="17" thickBot="1">
      <c r="A41" s="343"/>
      <c r="B41" s="343"/>
      <c r="C41" s="816">
        <f t="shared" ref="C41:D41" si="0">SUM(C38:C40)</f>
        <v>380059.74</v>
      </c>
      <c r="D41" s="816">
        <f t="shared" si="0"/>
        <v>132686.58000000002</v>
      </c>
      <c r="E41" s="816">
        <f>SUM(E38:E40)</f>
        <v>512746.32</v>
      </c>
      <c r="F41" s="816">
        <f>SUM(F38:F40)</f>
        <v>510000</v>
      </c>
      <c r="G41" s="817">
        <f>SUM(G38:G40)</f>
        <v>514000</v>
      </c>
    </row>
    <row r="42" spans="1:9" ht="20.25" customHeight="1" thickTop="1">
      <c r="A42" s="343"/>
      <c r="B42" s="343"/>
      <c r="C42" s="343"/>
      <c r="D42" s="343"/>
      <c r="E42" s="343"/>
      <c r="F42" s="343"/>
      <c r="G42" s="343"/>
    </row>
    <row r="43" spans="1:9">
      <c r="A43" s="343" t="s">
        <v>2343</v>
      </c>
      <c r="B43" s="343"/>
      <c r="C43" s="343"/>
      <c r="D43" s="343"/>
      <c r="E43" s="343"/>
      <c r="F43" s="343"/>
      <c r="G43" s="343"/>
    </row>
    <row r="44" spans="1:9" ht="18" customHeight="1">
      <c r="A44" s="343" t="s">
        <v>2344</v>
      </c>
      <c r="B44" s="465"/>
      <c r="C44" s="465"/>
      <c r="D44" s="465"/>
      <c r="E44" s="465"/>
      <c r="F44" s="465"/>
      <c r="G44" s="465"/>
      <c r="H44" s="465"/>
    </row>
    <row r="45" spans="1:9" ht="15.75" customHeight="1">
      <c r="A45" s="343" t="s">
        <v>2345</v>
      </c>
    </row>
    <row r="46" spans="1:9">
      <c r="I46" s="343" t="s">
        <v>2346</v>
      </c>
    </row>
    <row r="59" spans="4:4">
      <c r="D59" s="466"/>
    </row>
    <row r="61" spans="4:4">
      <c r="D61" s="466"/>
    </row>
    <row r="62" spans="4:4">
      <c r="D62" s="466" t="s">
        <v>2347</v>
      </c>
    </row>
  </sheetData>
  <mergeCells count="1">
    <mergeCell ref="C6:E6"/>
  </mergeCells>
  <pageMargins left="0" right="0" top="0.75" bottom="0.75" header="0.3" footer="0.3"/>
  <pageSetup scale="6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O108"/>
  <sheetViews>
    <sheetView topLeftCell="A13" zoomScale="90" zoomScaleNormal="90" workbookViewId="0">
      <selection activeCell="H71" sqref="H71"/>
    </sheetView>
  </sheetViews>
  <sheetFormatPr baseColWidth="10" defaultColWidth="8.85546875" defaultRowHeight="16"/>
  <cols>
    <col min="1" max="1" width="21.140625" style="47" customWidth="1"/>
    <col min="2" max="3" width="8.85546875" style="47"/>
    <col min="4" max="4" width="7.140625" style="47" customWidth="1"/>
    <col min="5" max="5" width="6.42578125" style="47" customWidth="1"/>
    <col min="6" max="6" width="8.85546875" style="47"/>
    <col min="7" max="7" width="7.42578125" style="47" customWidth="1"/>
    <col min="8" max="8" width="10.7109375" style="47" customWidth="1"/>
    <col min="9" max="9" width="9.42578125" style="47" customWidth="1"/>
    <col min="10" max="10" width="10.85546875" style="47" customWidth="1"/>
    <col min="11" max="12" width="9.7109375" style="47" customWidth="1"/>
    <col min="13" max="13" width="10.140625" style="47" customWidth="1"/>
    <col min="14" max="14" width="8.85546875" style="47"/>
    <col min="15" max="15" width="9" style="47" bestFit="1" customWidth="1"/>
    <col min="16" max="16384" width="8.85546875" style="47"/>
  </cols>
  <sheetData>
    <row r="1" spans="1:13">
      <c r="A1" s="5"/>
      <c r="B1" s="5"/>
      <c r="C1" s="5"/>
      <c r="D1" s="35" t="str">
        <f>COV!C23</f>
        <v>444 East 86th Street Owners Corp.</v>
      </c>
      <c r="E1" s="35"/>
      <c r="F1" s="5"/>
      <c r="G1" s="5"/>
      <c r="H1" s="5"/>
      <c r="I1" s="5"/>
      <c r="J1" s="5"/>
      <c r="K1" s="5"/>
      <c r="L1" s="5"/>
      <c r="M1" s="5"/>
    </row>
    <row r="2" spans="1:13">
      <c r="B2" s="5"/>
      <c r="C2" s="5"/>
      <c r="D2" s="4" t="s">
        <v>2348</v>
      </c>
      <c r="E2" s="4"/>
      <c r="F2" s="5"/>
      <c r="G2" s="5"/>
      <c r="H2" s="5"/>
      <c r="I2" s="5"/>
      <c r="J2" s="5"/>
      <c r="K2" s="5"/>
      <c r="L2" s="5"/>
      <c r="M2" s="5"/>
    </row>
    <row r="3" spans="1:13">
      <c r="A3" s="30" t="s">
        <v>2349</v>
      </c>
      <c r="B3" s="5"/>
      <c r="C3" s="5"/>
      <c r="D3" s="35" t="str">
        <f>yrlycomp!H3</f>
        <v>For Year Ending 12/31/2026</v>
      </c>
      <c r="E3" s="35"/>
      <c r="F3" s="5"/>
      <c r="G3" s="5"/>
      <c r="H3" s="5"/>
      <c r="I3" s="5"/>
      <c r="J3" s="5"/>
      <c r="K3" s="5"/>
      <c r="L3" s="5"/>
      <c r="M3" s="5"/>
    </row>
    <row r="4" spans="1:13">
      <c r="B4" s="5"/>
      <c r="C4" s="5"/>
      <c r="D4" s="5"/>
      <c r="E4" s="5"/>
      <c r="F4" s="45"/>
      <c r="G4" s="45"/>
      <c r="H4" s="45" t="s">
        <v>2350</v>
      </c>
      <c r="I4" s="5"/>
      <c r="J4" s="45" t="s">
        <v>2351</v>
      </c>
      <c r="K4" s="48" t="s">
        <v>2352</v>
      </c>
      <c r="L4" s="45"/>
      <c r="M4" s="5"/>
    </row>
    <row r="5" spans="1:13">
      <c r="A5" s="30" t="s">
        <v>2353</v>
      </c>
      <c r="B5" s="5"/>
      <c r="C5" s="5"/>
      <c r="D5" s="5"/>
      <c r="E5" s="5"/>
      <c r="F5" s="5"/>
      <c r="G5" s="5"/>
      <c r="H5" s="45" t="s">
        <v>2354</v>
      </c>
      <c r="I5" s="49" t="s">
        <v>2355</v>
      </c>
      <c r="J5" s="50" t="s">
        <v>2356</v>
      </c>
      <c r="K5" s="45" t="s">
        <v>2357</v>
      </c>
      <c r="L5" s="45" t="s">
        <v>2272</v>
      </c>
    </row>
    <row r="6" spans="1:13" ht="17" thickBot="1">
      <c r="A6" s="5" t="s">
        <v>2137</v>
      </c>
      <c r="B6" s="5"/>
      <c r="C6" s="5"/>
      <c r="D6" s="5"/>
      <c r="E6" s="5"/>
      <c r="F6" s="5"/>
      <c r="G6" s="5"/>
      <c r="H6" s="27">
        <v>1</v>
      </c>
      <c r="I6" s="27">
        <v>2</v>
      </c>
      <c r="J6" s="27">
        <v>10</v>
      </c>
      <c r="K6" s="27">
        <v>3</v>
      </c>
      <c r="L6" s="27">
        <f>SUM(H6:K6)</f>
        <v>16</v>
      </c>
    </row>
    <row r="7" spans="1:13" ht="17" thickTop="1">
      <c r="A7" s="7" t="s">
        <v>2358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3">
      <c r="A8" s="5" t="s">
        <v>2359</v>
      </c>
      <c r="B8" s="42">
        <f>41.7865*40</f>
        <v>1671.4599999999998</v>
      </c>
      <c r="C8" s="5" t="s">
        <v>2360</v>
      </c>
      <c r="D8" s="5" t="s">
        <v>2361</v>
      </c>
      <c r="E8" s="8">
        <v>0</v>
      </c>
      <c r="F8" s="5" t="s">
        <v>2362</v>
      </c>
      <c r="G8" s="5"/>
      <c r="H8" s="19">
        <f>B8*E8*H$6</f>
        <v>0</v>
      </c>
      <c r="I8" s="19"/>
      <c r="J8" s="19"/>
      <c r="K8" s="19"/>
      <c r="L8" s="19">
        <f t="shared" ref="L8:L16" si="0">SUM(H8:K8)</f>
        <v>0</v>
      </c>
    </row>
    <row r="9" spans="1:13">
      <c r="A9" s="5" t="str">
        <f>+A8</f>
        <v>Resident Manager</v>
      </c>
      <c r="B9" s="42">
        <f>+B8+25</f>
        <v>1696.4599999999998</v>
      </c>
      <c r="C9" s="5" t="str">
        <f>+C8</f>
        <v xml:space="preserve">/wk </v>
      </c>
      <c r="D9" s="5" t="str">
        <f>+D8</f>
        <v xml:space="preserve">* </v>
      </c>
      <c r="E9" s="8">
        <f>52-E8</f>
        <v>52</v>
      </c>
      <c r="F9" s="5" t="str">
        <f>+F8</f>
        <v>Wks</v>
      </c>
      <c r="G9" s="5"/>
      <c r="H9" s="31">
        <f>B9*E9*H$6</f>
        <v>88215.919999999984</v>
      </c>
      <c r="I9" s="31"/>
      <c r="J9" s="31"/>
      <c r="K9" s="31"/>
      <c r="L9" s="20">
        <f t="shared" si="0"/>
        <v>88215.919999999984</v>
      </c>
    </row>
    <row r="10" spans="1:13">
      <c r="A10" s="5" t="str">
        <f>+A8</f>
        <v>Resident Manager</v>
      </c>
      <c r="B10" s="42">
        <v>0</v>
      </c>
      <c r="C10" s="5" t="s">
        <v>2363</v>
      </c>
      <c r="D10" s="5" t="str">
        <f>+D9</f>
        <v xml:space="preserve">* </v>
      </c>
      <c r="E10" s="8">
        <v>4</v>
      </c>
      <c r="F10" s="5" t="s">
        <v>2364</v>
      </c>
      <c r="G10" s="5"/>
      <c r="H10" s="20">
        <f>B10*E10*H$6</f>
        <v>0</v>
      </c>
      <c r="I10" s="31"/>
      <c r="J10" s="31"/>
      <c r="K10" s="31"/>
      <c r="L10" s="20">
        <f t="shared" si="0"/>
        <v>0</v>
      </c>
    </row>
    <row r="11" spans="1:13">
      <c r="A11" s="5" t="s">
        <v>2355</v>
      </c>
      <c r="B11" s="42">
        <f>22.3408*40</f>
        <v>893.63200000000006</v>
      </c>
      <c r="C11" s="5" t="s">
        <v>2360</v>
      </c>
      <c r="D11" s="5" t="s">
        <v>2361</v>
      </c>
      <c r="E11" s="8">
        <v>16</v>
      </c>
      <c r="F11" s="5" t="s">
        <v>2362</v>
      </c>
      <c r="G11" s="5"/>
      <c r="H11" s="31"/>
      <c r="I11" s="31">
        <f>+B11*E11*I6</f>
        <v>28596.224000000002</v>
      </c>
      <c r="J11" s="31"/>
      <c r="K11" s="31"/>
      <c r="L11" s="20">
        <f t="shared" si="0"/>
        <v>28596.224000000002</v>
      </c>
    </row>
    <row r="12" spans="1:13">
      <c r="A12" s="5" t="str">
        <f>+A11</f>
        <v>Handyman</v>
      </c>
      <c r="B12" s="42">
        <f>+B11+24</f>
        <v>917.63200000000006</v>
      </c>
      <c r="C12" s="5" t="str">
        <f>+C11</f>
        <v xml:space="preserve">/wk </v>
      </c>
      <c r="D12" s="5" t="str">
        <f>+D11</f>
        <v xml:space="preserve">* </v>
      </c>
      <c r="E12" s="8">
        <f>52-E11</f>
        <v>36</v>
      </c>
      <c r="F12" s="5" t="str">
        <f>+F11</f>
        <v>Wks</v>
      </c>
      <c r="G12" s="5"/>
      <c r="H12" s="31"/>
      <c r="I12" s="31">
        <f>+B12*E12*I6</f>
        <v>66069.504000000001</v>
      </c>
      <c r="J12" s="31"/>
      <c r="K12" s="31"/>
      <c r="L12" s="20">
        <f t="shared" si="0"/>
        <v>66069.504000000001</v>
      </c>
    </row>
    <row r="13" spans="1:13">
      <c r="A13" s="5" t="s">
        <v>2365</v>
      </c>
      <c r="B13" s="42">
        <f>20.2128*40</f>
        <v>808.51200000000006</v>
      </c>
      <c r="C13" s="5" t="s">
        <v>2360</v>
      </c>
      <c r="D13" s="5" t="s">
        <v>2361</v>
      </c>
      <c r="E13" s="8">
        <v>16</v>
      </c>
      <c r="F13" s="5" t="s">
        <v>2362</v>
      </c>
      <c r="G13" s="5"/>
      <c r="H13" s="31"/>
      <c r="I13" s="31"/>
      <c r="J13" s="31">
        <f>+B13*E13*J6</f>
        <v>129361.92000000001</v>
      </c>
      <c r="K13" s="31"/>
      <c r="L13" s="20">
        <f t="shared" si="0"/>
        <v>129361.92000000001</v>
      </c>
    </row>
    <row r="14" spans="1:13">
      <c r="A14" s="5" t="str">
        <f>+A13</f>
        <v>Ptr/Drmn/Concierge</v>
      </c>
      <c r="B14" s="42">
        <f>+B13+22</f>
        <v>830.51200000000006</v>
      </c>
      <c r="C14" s="5" t="str">
        <f>+C13</f>
        <v xml:space="preserve">/wk </v>
      </c>
      <c r="D14" s="5" t="str">
        <f>+D13</f>
        <v xml:space="preserve">* </v>
      </c>
      <c r="E14" s="8">
        <f>52-E13</f>
        <v>36</v>
      </c>
      <c r="F14" s="5" t="str">
        <f>+F13</f>
        <v>Wks</v>
      </c>
      <c r="G14" s="5"/>
      <c r="H14" s="31"/>
      <c r="I14" s="31"/>
      <c r="J14" s="31">
        <f>+B14*E14*J6</f>
        <v>298984.32000000001</v>
      </c>
      <c r="K14" s="31"/>
      <c r="L14" s="20">
        <f t="shared" si="0"/>
        <v>298984.32000000001</v>
      </c>
    </row>
    <row r="15" spans="1:13">
      <c r="A15" s="5" t="s">
        <v>2352</v>
      </c>
      <c r="B15" s="42">
        <f>+B13*80%</f>
        <v>646.80960000000005</v>
      </c>
      <c r="C15" s="5" t="s">
        <v>2360</v>
      </c>
      <c r="D15" s="5" t="s">
        <v>2361</v>
      </c>
      <c r="E15" s="8">
        <v>16</v>
      </c>
      <c r="F15" s="5" t="s">
        <v>2362</v>
      </c>
      <c r="G15" s="5"/>
      <c r="H15" s="31"/>
      <c r="I15" s="31"/>
      <c r="J15" s="20"/>
      <c r="K15" s="31">
        <f>+B15*E15*K6</f>
        <v>31046.860800000002</v>
      </c>
      <c r="L15" s="20">
        <f t="shared" si="0"/>
        <v>31046.860800000002</v>
      </c>
    </row>
    <row r="16" spans="1:13">
      <c r="A16" s="5" t="str">
        <f>+A15</f>
        <v>Porter</v>
      </c>
      <c r="B16" s="42">
        <f>+B14*80%</f>
        <v>664.40960000000007</v>
      </c>
      <c r="C16" s="5" t="str">
        <f>+C15</f>
        <v xml:space="preserve">/wk </v>
      </c>
      <c r="D16" s="5" t="str">
        <f>+D15</f>
        <v xml:space="preserve">* </v>
      </c>
      <c r="E16" s="8">
        <f>52-E15</f>
        <v>36</v>
      </c>
      <c r="F16" s="5" t="str">
        <f>+F15</f>
        <v>Wks</v>
      </c>
      <c r="G16" s="5"/>
      <c r="H16" s="31"/>
      <c r="I16" s="31"/>
      <c r="J16" s="20"/>
      <c r="K16" s="31">
        <f>+B16*E16*K6</f>
        <v>71756.236800000013</v>
      </c>
      <c r="L16" s="20">
        <f t="shared" si="0"/>
        <v>71756.236800000013</v>
      </c>
    </row>
    <row r="17" spans="1:12">
      <c r="A17" s="5"/>
      <c r="B17" s="5"/>
      <c r="C17" s="5" t="s">
        <v>2366</v>
      </c>
      <c r="D17" s="5"/>
      <c r="E17" s="5"/>
      <c r="F17" s="5"/>
      <c r="G17" s="5"/>
      <c r="H17" s="818">
        <f>SUM(H8:H16)</f>
        <v>88215.919999999984</v>
      </c>
      <c r="I17" s="818">
        <f>SUM(I8:I16)</f>
        <v>94665.728000000003</v>
      </c>
      <c r="J17" s="818">
        <f>SUM(J8:J16)</f>
        <v>428346.24</v>
      </c>
      <c r="K17" s="818">
        <f>SUM(K8:K16)</f>
        <v>102803.09760000001</v>
      </c>
      <c r="L17" s="818">
        <f>SUM(L8:L16)</f>
        <v>714030.98560000001</v>
      </c>
    </row>
    <row r="18" spans="1:12">
      <c r="A18" s="5"/>
      <c r="B18" s="5"/>
      <c r="C18" s="5"/>
      <c r="D18" s="5"/>
      <c r="E18" s="5"/>
      <c r="F18" s="5"/>
      <c r="G18" s="5"/>
      <c r="H18" s="9"/>
      <c r="I18" s="9"/>
      <c r="J18" s="9"/>
      <c r="K18" s="9"/>
      <c r="L18" s="9"/>
    </row>
    <row r="19" spans="1:12">
      <c r="A19" s="5"/>
      <c r="B19" s="5" t="s">
        <v>2367</v>
      </c>
      <c r="C19" s="5"/>
      <c r="D19" s="5"/>
      <c r="E19" s="11">
        <v>2E-3</v>
      </c>
      <c r="F19" s="5"/>
      <c r="G19" s="5"/>
      <c r="H19" s="19">
        <f>+H17*$E$19</f>
        <v>176.43183999999997</v>
      </c>
      <c r="I19" s="19">
        <f>+I17*$E$19</f>
        <v>189.331456</v>
      </c>
      <c r="J19" s="19">
        <f>+J17*$E$19</f>
        <v>856.69248000000005</v>
      </c>
      <c r="K19" s="19">
        <f>+K17*$E$19</f>
        <v>205.60619520000003</v>
      </c>
      <c r="L19" s="19">
        <f t="shared" ref="L19:L25" si="1">SUM(H19:K19)</f>
        <v>1428.0619712</v>
      </c>
    </row>
    <row r="20" spans="1:12">
      <c r="A20" s="30"/>
      <c r="B20" s="33"/>
      <c r="C20" s="34"/>
      <c r="D20" s="30"/>
      <c r="E20" s="5"/>
      <c r="F20" s="5"/>
      <c r="G20" s="5"/>
      <c r="H20" s="9"/>
      <c r="I20" s="9"/>
      <c r="J20" s="9"/>
      <c r="K20" s="9"/>
      <c r="L20" s="20">
        <f t="shared" si="1"/>
        <v>0</v>
      </c>
    </row>
    <row r="21" spans="1:12">
      <c r="A21" s="51" t="s">
        <v>2368</v>
      </c>
      <c r="B21" s="7"/>
      <c r="C21" s="5"/>
      <c r="D21" s="54" t="s">
        <v>2369</v>
      </c>
      <c r="E21" s="5"/>
      <c r="F21" s="36" t="s">
        <v>2370</v>
      </c>
      <c r="G21" s="5"/>
      <c r="H21" s="9"/>
      <c r="I21" s="9"/>
      <c r="J21" s="9"/>
      <c r="K21" s="9"/>
      <c r="L21" s="20">
        <f t="shared" si="1"/>
        <v>0</v>
      </c>
    </row>
    <row r="22" spans="1:12">
      <c r="A22" s="5" t="str">
        <f>+A10</f>
        <v>Resident Manager</v>
      </c>
      <c r="B22" s="42">
        <f>+B9</f>
        <v>1696.4599999999998</v>
      </c>
      <c r="C22" s="8" t="s">
        <v>2371</v>
      </c>
      <c r="D22" s="52">
        <v>4</v>
      </c>
      <c r="E22" s="53" t="s">
        <v>2372</v>
      </c>
      <c r="F22" s="45">
        <v>0</v>
      </c>
      <c r="G22" s="5"/>
      <c r="H22" s="19">
        <f>+B22*F22</f>
        <v>0</v>
      </c>
      <c r="I22" s="19"/>
      <c r="J22" s="19"/>
      <c r="K22" s="19"/>
      <c r="L22" s="20">
        <f t="shared" si="1"/>
        <v>0</v>
      </c>
    </row>
    <row r="23" spans="1:12">
      <c r="A23" s="5" t="str">
        <f>+A11</f>
        <v>Handyman</v>
      </c>
      <c r="B23" s="42">
        <f>+B12</f>
        <v>917.63200000000006</v>
      </c>
      <c r="C23" s="8" t="s">
        <v>2371</v>
      </c>
      <c r="D23" s="52">
        <v>7</v>
      </c>
      <c r="E23" s="53" t="s">
        <v>2372</v>
      </c>
      <c r="F23" s="45">
        <v>4</v>
      </c>
      <c r="G23" s="5"/>
      <c r="H23" s="19"/>
      <c r="I23" s="31">
        <f>+B23*F23</f>
        <v>3670.5280000000002</v>
      </c>
      <c r="J23" s="31"/>
      <c r="K23" s="31"/>
      <c r="L23" s="20">
        <f t="shared" si="1"/>
        <v>3670.5280000000002</v>
      </c>
    </row>
    <row r="24" spans="1:12">
      <c r="A24" s="5" t="str">
        <f>+A13</f>
        <v>Ptr/Drmn/Concierge</v>
      </c>
      <c r="B24" s="42">
        <f>+B14</f>
        <v>830.51200000000006</v>
      </c>
      <c r="C24" s="8" t="s">
        <v>2371</v>
      </c>
      <c r="D24" s="52">
        <v>53.1</v>
      </c>
      <c r="E24" s="53" t="s">
        <v>2372</v>
      </c>
      <c r="F24" s="45">
        <v>10</v>
      </c>
      <c r="G24" s="5"/>
      <c r="H24" s="20"/>
      <c r="I24" s="31"/>
      <c r="J24" s="31">
        <f>+B24*F24</f>
        <v>8305.1200000000008</v>
      </c>
      <c r="K24" s="31"/>
      <c r="L24" s="20">
        <f t="shared" si="1"/>
        <v>8305.1200000000008</v>
      </c>
    </row>
    <row r="25" spans="1:12">
      <c r="A25" s="5" t="str">
        <f>+A16</f>
        <v>Porter</v>
      </c>
      <c r="B25" s="42">
        <f>+B16</f>
        <v>664.40960000000007</v>
      </c>
      <c r="C25" s="8" t="s">
        <v>2371</v>
      </c>
      <c r="D25" s="52">
        <v>3</v>
      </c>
      <c r="E25" s="53" t="s">
        <v>2372</v>
      </c>
      <c r="F25" s="45">
        <v>0</v>
      </c>
      <c r="G25" s="5"/>
      <c r="H25" s="20"/>
      <c r="I25" s="31"/>
      <c r="J25" s="31"/>
      <c r="K25" s="31">
        <f>+B25*F25</f>
        <v>0</v>
      </c>
      <c r="L25" s="20">
        <f t="shared" si="1"/>
        <v>0</v>
      </c>
    </row>
    <row r="26" spans="1:12">
      <c r="A26" s="5" t="s">
        <v>2373</v>
      </c>
      <c r="B26" s="42">
        <f>+B24*80%</f>
        <v>664.40960000000007</v>
      </c>
      <c r="C26" s="8"/>
      <c r="D26" s="52">
        <v>3</v>
      </c>
      <c r="E26" s="53" t="s">
        <v>2374</v>
      </c>
      <c r="F26" s="45">
        <v>18.670000000000002</v>
      </c>
      <c r="G26" s="5"/>
      <c r="H26" s="20"/>
      <c r="I26" s="31"/>
      <c r="J26" s="31"/>
      <c r="K26" s="31">
        <f>+D26*B26*F26</f>
        <v>37213.581696000008</v>
      </c>
      <c r="L26" s="20">
        <f>SUM(H26:K26)</f>
        <v>37213.581696000008</v>
      </c>
    </row>
    <row r="27" spans="1:12">
      <c r="A27" s="5" t="s">
        <v>2375</v>
      </c>
      <c r="B27" s="42"/>
      <c r="C27" s="8"/>
      <c r="D27" s="52"/>
      <c r="E27" s="53"/>
      <c r="F27" s="45"/>
      <c r="G27" s="5"/>
      <c r="H27" s="819">
        <f>SUM(H22:H26)</f>
        <v>0</v>
      </c>
      <c r="I27" s="819">
        <f>SUM(I22:I26)</f>
        <v>3670.5280000000002</v>
      </c>
      <c r="J27" s="819">
        <f>SUM(J22:J26)</f>
        <v>8305.1200000000008</v>
      </c>
      <c r="K27" s="819">
        <f>SUM(K22:K26)</f>
        <v>37213.581696000008</v>
      </c>
      <c r="L27" s="819">
        <f>SUM(L22:L26)</f>
        <v>49189.229696000009</v>
      </c>
    </row>
    <row r="28" spans="1:12">
      <c r="A28" s="36" t="s">
        <v>2376</v>
      </c>
      <c r="B28" s="42"/>
      <c r="C28" s="8"/>
      <c r="D28" s="54" t="s">
        <v>2369</v>
      </c>
      <c r="E28" s="53"/>
      <c r="F28" s="156" t="s">
        <v>2370</v>
      </c>
      <c r="G28" s="5"/>
      <c r="H28" s="20"/>
      <c r="I28" s="20"/>
      <c r="J28" s="33"/>
      <c r="K28" s="33"/>
      <c r="L28" s="20"/>
    </row>
    <row r="29" spans="1:12">
      <c r="A29" s="55" t="s">
        <v>2377</v>
      </c>
      <c r="B29" s="42">
        <f>+B22/5</f>
        <v>339.29199999999997</v>
      </c>
      <c r="C29" s="8" t="s">
        <v>2371</v>
      </c>
      <c r="D29" s="52">
        <v>13</v>
      </c>
      <c r="E29" s="53" t="s">
        <v>2378</v>
      </c>
      <c r="F29" s="45">
        <v>10</v>
      </c>
      <c r="G29" s="5"/>
      <c r="H29" s="20">
        <f>+B29*F29*H6</f>
        <v>3392.9199999999996</v>
      </c>
      <c r="I29" s="20"/>
      <c r="J29" s="20"/>
      <c r="K29" s="20"/>
      <c r="L29" s="19">
        <f>SUM(H29:K29)</f>
        <v>3392.9199999999996</v>
      </c>
    </row>
    <row r="30" spans="1:12">
      <c r="A30" s="55" t="s">
        <v>2379</v>
      </c>
      <c r="B30" s="42">
        <f>+B23/5</f>
        <v>183.52640000000002</v>
      </c>
      <c r="C30" s="8" t="s">
        <v>2371</v>
      </c>
      <c r="D30" s="52">
        <v>13</v>
      </c>
      <c r="E30" s="53" t="s">
        <v>2378</v>
      </c>
      <c r="F30" s="45">
        <v>10</v>
      </c>
      <c r="G30" s="5"/>
      <c r="H30" s="20"/>
      <c r="I30" s="20">
        <f>+B30*F30*I6</f>
        <v>3670.5280000000002</v>
      </c>
      <c r="J30" s="20"/>
      <c r="K30" s="20"/>
      <c r="L30" s="20">
        <f>SUM(H30:K30)</f>
        <v>3670.5280000000002</v>
      </c>
    </row>
    <row r="31" spans="1:12">
      <c r="A31" s="55" t="s">
        <v>2380</v>
      </c>
      <c r="B31" s="42">
        <f>+B24/5</f>
        <v>166.10240000000002</v>
      </c>
      <c r="C31" s="8" t="s">
        <v>2371</v>
      </c>
      <c r="D31" s="52">
        <v>13</v>
      </c>
      <c r="E31" s="53" t="s">
        <v>2378</v>
      </c>
      <c r="F31" s="45">
        <v>10</v>
      </c>
      <c r="G31" s="5"/>
      <c r="H31" s="20"/>
      <c r="I31" s="20"/>
      <c r="J31" s="20">
        <f>+B31*F31*J6</f>
        <v>16610.240000000002</v>
      </c>
      <c r="K31" s="20"/>
      <c r="L31" s="20">
        <f>SUM(H31:K31)</f>
        <v>16610.240000000002</v>
      </c>
    </row>
    <row r="32" spans="1:12">
      <c r="A32" s="55" t="s">
        <v>2381</v>
      </c>
      <c r="B32" s="42">
        <f>+B25/5</f>
        <v>132.88192000000001</v>
      </c>
      <c r="C32" s="8" t="s">
        <v>2371</v>
      </c>
      <c r="D32" s="52">
        <v>13</v>
      </c>
      <c r="E32" s="53" t="s">
        <v>2378</v>
      </c>
      <c r="F32" s="45">
        <v>10</v>
      </c>
      <c r="G32" s="5"/>
      <c r="H32" s="20"/>
      <c r="I32" s="20"/>
      <c r="J32" s="20">
        <f>+B32*F32*J7</f>
        <v>0</v>
      </c>
      <c r="K32" s="20">
        <f>+B32*F32*K6</f>
        <v>3986.4576000000006</v>
      </c>
      <c r="L32" s="20">
        <f>SUM(H32:K32)</f>
        <v>3986.4576000000006</v>
      </c>
    </row>
    <row r="33" spans="1:12">
      <c r="A33" s="5" t="s">
        <v>2375</v>
      </c>
      <c r="B33" s="42"/>
      <c r="C33" s="8"/>
      <c r="D33" s="52"/>
      <c r="E33" s="53"/>
      <c r="F33" s="45"/>
      <c r="G33" s="5"/>
      <c r="H33" s="819">
        <f>SUM(H29:H32)</f>
        <v>3392.9199999999996</v>
      </c>
      <c r="I33" s="819">
        <f>SUM(I29:I32)</f>
        <v>3670.5280000000002</v>
      </c>
      <c r="J33" s="819">
        <f>SUM(J29:J32)</f>
        <v>16610.240000000002</v>
      </c>
      <c r="K33" s="819">
        <f>SUM(K29:K32)</f>
        <v>3986.4576000000006</v>
      </c>
      <c r="L33" s="819">
        <f>SUM(L29:L32)</f>
        <v>27660.145600000003</v>
      </c>
    </row>
    <row r="34" spans="1:12">
      <c r="A34" s="56" t="s">
        <v>2382</v>
      </c>
      <c r="B34" s="42"/>
      <c r="C34" s="8"/>
      <c r="D34" s="52"/>
      <c r="E34" s="53"/>
      <c r="F34" s="45"/>
      <c r="G34" s="5"/>
      <c r="H34" s="20"/>
      <c r="I34" s="20"/>
      <c r="J34" s="20"/>
      <c r="K34" s="20"/>
      <c r="L34" s="20"/>
    </row>
    <row r="35" spans="1:12">
      <c r="A35" s="47" t="s">
        <v>2383</v>
      </c>
      <c r="B35" s="42"/>
      <c r="D35" s="5"/>
      <c r="E35" s="5"/>
      <c r="F35" s="5" t="s">
        <v>2366</v>
      </c>
      <c r="G35" s="5"/>
      <c r="H35" s="818">
        <f>+H27+H33</f>
        <v>3392.9199999999996</v>
      </c>
      <c r="I35" s="818">
        <f>+I27+I33</f>
        <v>7341.0560000000005</v>
      </c>
      <c r="J35" s="818">
        <f>+J27+J33</f>
        <v>24915.360000000001</v>
      </c>
      <c r="K35" s="818">
        <f>+K27+K33</f>
        <v>41200.03929600001</v>
      </c>
      <c r="L35" s="818">
        <f>+L27+L33</f>
        <v>76849.375296000013</v>
      </c>
    </row>
    <row r="36" spans="1:12">
      <c r="A36" s="30"/>
      <c r="B36" s="33"/>
      <c r="C36" s="34"/>
      <c r="D36" s="30"/>
    </row>
    <row r="37" spans="1:12">
      <c r="A37" s="51" t="s">
        <v>2384</v>
      </c>
      <c r="B37" s="42" t="s">
        <v>2137</v>
      </c>
      <c r="C37" s="5"/>
      <c r="D37" s="54" t="s">
        <v>2369</v>
      </c>
      <c r="E37" s="5" t="s">
        <v>2137</v>
      </c>
      <c r="F37" s="5"/>
      <c r="G37" s="156" t="s">
        <v>2370</v>
      </c>
      <c r="H37" s="9" t="s">
        <v>2137</v>
      </c>
      <c r="I37" s="9"/>
      <c r="J37" s="9"/>
      <c r="K37" s="9"/>
      <c r="L37" s="9" t="s">
        <v>2137</v>
      </c>
    </row>
    <row r="38" spans="1:12">
      <c r="A38" s="5" t="s">
        <v>2385</v>
      </c>
      <c r="B38" s="42">
        <f>+B29</f>
        <v>339.29199999999997</v>
      </c>
      <c r="C38" s="6" t="s">
        <v>2371</v>
      </c>
      <c r="D38" s="5">
        <v>11</v>
      </c>
      <c r="E38" s="57" t="s">
        <v>2386</v>
      </c>
      <c r="F38" s="45">
        <v>1.5</v>
      </c>
      <c r="G38" s="45">
        <v>0</v>
      </c>
      <c r="H38" s="19">
        <f>+B38*D38*F38*G38</f>
        <v>0</v>
      </c>
      <c r="I38" s="19"/>
      <c r="J38" s="19"/>
      <c r="K38" s="19"/>
      <c r="L38" s="19">
        <f>SUM(H38:K38)</f>
        <v>0</v>
      </c>
    </row>
    <row r="39" spans="1:12">
      <c r="A39" s="5" t="str">
        <f>+A23</f>
        <v>Handyman</v>
      </c>
      <c r="B39" s="42">
        <f>+B30</f>
        <v>183.52640000000002</v>
      </c>
      <c r="C39" s="6" t="s">
        <v>2371</v>
      </c>
      <c r="D39" s="5">
        <v>11</v>
      </c>
      <c r="E39" s="57" t="s">
        <v>2386</v>
      </c>
      <c r="F39" s="45">
        <v>1.5</v>
      </c>
      <c r="G39" s="45">
        <v>1</v>
      </c>
      <c r="H39" s="19"/>
      <c r="I39" s="31">
        <f>+B39*D39*F39*G39</f>
        <v>3028.1856000000007</v>
      </c>
      <c r="J39" s="31"/>
      <c r="K39" s="31"/>
      <c r="L39" s="20">
        <f>SUM(H39:K39)</f>
        <v>3028.1856000000007</v>
      </c>
    </row>
    <row r="40" spans="1:12">
      <c r="A40" s="5" t="str">
        <f>+A24</f>
        <v>Ptr/Drmn/Concierge</v>
      </c>
      <c r="B40" s="42">
        <f>+B31</f>
        <v>166.10240000000002</v>
      </c>
      <c r="C40" s="6" t="s">
        <v>2371</v>
      </c>
      <c r="D40" s="5">
        <v>11</v>
      </c>
      <c r="E40" s="57" t="s">
        <v>2386</v>
      </c>
      <c r="F40" s="45">
        <v>1.5</v>
      </c>
      <c r="G40" s="45">
        <v>4</v>
      </c>
      <c r="H40" s="19"/>
      <c r="I40" s="31"/>
      <c r="J40" s="31">
        <f>+B40*D40*F40*G40</f>
        <v>10962.758400000001</v>
      </c>
      <c r="K40" s="31"/>
      <c r="L40" s="20">
        <f>SUM(H40:K40)</f>
        <v>10962.758400000001</v>
      </c>
    </row>
    <row r="41" spans="1:12">
      <c r="A41" s="5" t="s">
        <v>2387</v>
      </c>
      <c r="B41" s="42">
        <f>+B32</f>
        <v>132.88192000000001</v>
      </c>
      <c r="C41" s="6" t="s">
        <v>2371</v>
      </c>
      <c r="D41" s="5">
        <v>11</v>
      </c>
      <c r="E41" s="57" t="s">
        <v>2386</v>
      </c>
      <c r="F41" s="45">
        <v>1.5</v>
      </c>
      <c r="G41" s="45">
        <v>0</v>
      </c>
      <c r="H41" s="19"/>
      <c r="I41" s="31"/>
      <c r="J41" s="31"/>
      <c r="K41" s="31">
        <f>+B41*D41*F41*G41</f>
        <v>0</v>
      </c>
      <c r="L41" s="20">
        <f>SUM(H41:K41)</f>
        <v>0</v>
      </c>
    </row>
    <row r="42" spans="1:12">
      <c r="A42" s="5" t="s">
        <v>2388</v>
      </c>
      <c r="B42" s="5"/>
      <c r="C42" s="5"/>
      <c r="D42" s="5"/>
      <c r="E42" s="8"/>
      <c r="F42" s="5"/>
      <c r="G42" s="5"/>
      <c r="H42" s="10">
        <v>15000</v>
      </c>
      <c r="I42" s="10">
        <f>+B12*I6*2</f>
        <v>3670.5280000000002</v>
      </c>
      <c r="J42" s="29">
        <f>+B14*J6</f>
        <v>8305.1200000000008</v>
      </c>
      <c r="K42" s="20">
        <f>+B16*K6</f>
        <v>1993.2288000000003</v>
      </c>
      <c r="L42" s="20">
        <f>SUM(H42:K42)</f>
        <v>28968.876800000002</v>
      </c>
    </row>
    <row r="43" spans="1:12">
      <c r="A43" s="5"/>
      <c r="B43" s="5"/>
      <c r="C43" s="5" t="s">
        <v>2366</v>
      </c>
      <c r="D43" s="5"/>
      <c r="E43" s="5"/>
      <c r="F43" s="5"/>
      <c r="G43" s="5"/>
      <c r="H43" s="818">
        <f>SUM(H38:H42)</f>
        <v>15000</v>
      </c>
      <c r="I43" s="818">
        <f>SUM(I38:I42)</f>
        <v>6698.713600000001</v>
      </c>
      <c r="J43" s="818">
        <f>SUM(J38:J42)</f>
        <v>19267.878400000001</v>
      </c>
      <c r="K43" s="818">
        <f>SUM(K38:K42)</f>
        <v>1993.2288000000003</v>
      </c>
      <c r="L43" s="818">
        <f>SUM(L38:L42)</f>
        <v>42959.820800000001</v>
      </c>
    </row>
    <row r="44" spans="1:12">
      <c r="A44" s="30"/>
      <c r="B44" s="33"/>
      <c r="C44" s="34"/>
      <c r="D44" s="30"/>
      <c r="E44" s="5"/>
      <c r="F44" s="5"/>
      <c r="G44" s="5"/>
      <c r="H44" s="9"/>
      <c r="I44" s="9"/>
      <c r="J44" s="9"/>
      <c r="K44" s="9"/>
      <c r="L44" s="9"/>
    </row>
    <row r="45" spans="1:12">
      <c r="A45" s="5"/>
      <c r="B45" s="5" t="s">
        <v>2389</v>
      </c>
      <c r="C45" s="5"/>
      <c r="D45" s="5"/>
      <c r="E45" s="5"/>
      <c r="F45" s="5"/>
      <c r="G45" s="5"/>
      <c r="H45" s="818">
        <f>H17+H35+H43+H19</f>
        <v>106785.27183999999</v>
      </c>
      <c r="I45" s="818">
        <f>I17+I35+I43+I19</f>
        <v>108894.829056</v>
      </c>
      <c r="J45" s="818">
        <f>J17+J35+J43+J19</f>
        <v>473386.17087999999</v>
      </c>
      <c r="K45" s="818">
        <f>K17+K35+K43+K19</f>
        <v>146201.97189120002</v>
      </c>
      <c r="L45" s="818">
        <f>L17+L35+L43+L19</f>
        <v>835268.24366720009</v>
      </c>
    </row>
    <row r="46" spans="1:12">
      <c r="A46" s="5"/>
      <c r="B46" s="5"/>
      <c r="C46" s="5"/>
      <c r="D46" s="5"/>
      <c r="E46" s="5"/>
      <c r="F46" s="5"/>
      <c r="G46" s="5"/>
      <c r="H46" s="9"/>
      <c r="I46" s="9"/>
      <c r="J46" s="9"/>
      <c r="K46" s="9"/>
      <c r="L46" s="9"/>
    </row>
    <row r="47" spans="1:12">
      <c r="A47" s="5" t="s">
        <v>2390</v>
      </c>
      <c r="B47" s="5"/>
      <c r="C47" s="5"/>
      <c r="D47" s="5"/>
      <c r="E47" s="5"/>
      <c r="F47" s="5"/>
      <c r="G47" s="5"/>
      <c r="H47" s="9"/>
      <c r="I47" s="9"/>
      <c r="J47" s="9"/>
      <c r="K47" s="9"/>
      <c r="L47" s="9"/>
    </row>
    <row r="48" spans="1:12">
      <c r="A48" s="1005" t="s">
        <v>2391</v>
      </c>
      <c r="B48" s="1005"/>
      <c r="C48" s="11">
        <v>7.6499999999999999E-2</v>
      </c>
      <c r="D48" s="5"/>
      <c r="E48" s="5"/>
      <c r="F48" s="5"/>
      <c r="G48" s="5"/>
      <c r="H48" s="19">
        <f>+H45*$C$48</f>
        <v>8169.0732957599985</v>
      </c>
      <c r="I48" s="19">
        <f>+I45*$C$48</f>
        <v>8330.4544227839997</v>
      </c>
      <c r="J48" s="19">
        <f>+J45*$C$48</f>
        <v>36214.04207232</v>
      </c>
      <c r="K48" s="19">
        <f>+K45*$C$48</f>
        <v>11184.450849676801</v>
      </c>
      <c r="L48" s="19">
        <f t="shared" ref="L48:L61" si="2">SUM(H48:K48)</f>
        <v>63898.020640540803</v>
      </c>
    </row>
    <row r="49" spans="1:12">
      <c r="A49" s="5" t="s">
        <v>2392</v>
      </c>
      <c r="B49" s="40">
        <v>7.4999999999999997E-2</v>
      </c>
      <c r="C49" s="12" t="s">
        <v>2393</v>
      </c>
      <c r="D49" s="5"/>
      <c r="E49" s="19">
        <v>8500</v>
      </c>
      <c r="F49" s="5"/>
      <c r="G49" s="5"/>
      <c r="H49" s="9">
        <f>+$E$49*$B$49*H6</f>
        <v>637.5</v>
      </c>
      <c r="I49" s="9">
        <f>+$E$49*$B$49*I6</f>
        <v>1275</v>
      </c>
      <c r="J49" s="9">
        <f>+$E$49*$B$49*J6</f>
        <v>6375</v>
      </c>
      <c r="K49" s="9">
        <f>+$E$49*$B$49*K6</f>
        <v>1912.5</v>
      </c>
      <c r="L49" s="9">
        <f t="shared" si="2"/>
        <v>10200</v>
      </c>
    </row>
    <row r="50" spans="1:12">
      <c r="A50" s="5" t="s">
        <v>2394</v>
      </c>
      <c r="B50" s="40">
        <v>1.0999999999999999E-2</v>
      </c>
      <c r="C50" s="12" t="s">
        <v>2393</v>
      </c>
      <c r="D50" s="5"/>
      <c r="E50" s="19">
        <v>8000</v>
      </c>
      <c r="F50" s="5"/>
      <c r="G50" s="5"/>
      <c r="H50" s="9">
        <f>+$E$50*$B$50*H6</f>
        <v>88</v>
      </c>
      <c r="I50" s="9">
        <f>+$E$50*$B$50*I6</f>
        <v>176</v>
      </c>
      <c r="J50" s="9">
        <f>+$E$50*$B$50*J6</f>
        <v>880</v>
      </c>
      <c r="K50" s="9">
        <f>+$E$50*$B$50*K6</f>
        <v>264</v>
      </c>
      <c r="L50" s="9">
        <f t="shared" si="2"/>
        <v>1408</v>
      </c>
    </row>
    <row r="51" spans="1:12">
      <c r="A51" s="5" t="s">
        <v>2395</v>
      </c>
      <c r="B51" s="40">
        <v>3.3999999999999998E-3</v>
      </c>
      <c r="C51" s="12" t="s">
        <v>2393</v>
      </c>
      <c r="D51" s="5"/>
      <c r="E51" s="19">
        <v>2500</v>
      </c>
      <c r="F51" s="5" t="s">
        <v>2396</v>
      </c>
      <c r="G51" s="6">
        <v>4</v>
      </c>
      <c r="H51" s="9">
        <f>+$B$51*$E$51*$G$51*H6</f>
        <v>34</v>
      </c>
      <c r="I51" s="9">
        <f>+$B$51*$E$51*$G$51*I6</f>
        <v>68</v>
      </c>
      <c r="J51" s="9">
        <f>+$B$51*$E$51*$G$51*J6</f>
        <v>340</v>
      </c>
      <c r="K51" s="9">
        <f>+$B$51*$E$51*$G$51*K6</f>
        <v>102</v>
      </c>
      <c r="L51" s="9">
        <f t="shared" si="2"/>
        <v>544</v>
      </c>
    </row>
    <row r="52" spans="1:12">
      <c r="A52" s="5" t="s">
        <v>2397</v>
      </c>
      <c r="B52" s="5"/>
      <c r="C52" s="41">
        <v>45</v>
      </c>
      <c r="D52" s="5" t="s">
        <v>2398</v>
      </c>
      <c r="E52" s="5"/>
      <c r="F52" s="5"/>
      <c r="G52" s="5"/>
      <c r="H52" s="9">
        <f>C52*H6</f>
        <v>45</v>
      </c>
      <c r="I52" s="9">
        <f>C52*I6</f>
        <v>90</v>
      </c>
      <c r="J52" s="9">
        <f>+C52*J6</f>
        <v>450</v>
      </c>
      <c r="K52" s="9">
        <f>+C52*K6</f>
        <v>135</v>
      </c>
      <c r="L52" s="9">
        <f t="shared" si="2"/>
        <v>720</v>
      </c>
    </row>
    <row r="53" spans="1:12">
      <c r="A53" s="5" t="s">
        <v>2399</v>
      </c>
      <c r="B53" s="11">
        <v>4.4999999999999998E-2</v>
      </c>
      <c r="C53" s="5" t="s">
        <v>2400</v>
      </c>
      <c r="D53" s="5"/>
      <c r="E53" s="5"/>
      <c r="F53" s="5"/>
      <c r="G53" s="5"/>
      <c r="H53" s="9">
        <f>+H45*$B$53</f>
        <v>4805.3372327999996</v>
      </c>
      <c r="I53" s="9">
        <f>+I45*$B$53</f>
        <v>4900.26730752</v>
      </c>
      <c r="J53" s="9">
        <f>+J45*$B$53</f>
        <v>21302.377689599998</v>
      </c>
      <c r="K53" s="9">
        <f>+K45*$B$53</f>
        <v>6579.088735104001</v>
      </c>
      <c r="L53" s="9">
        <f t="shared" si="2"/>
        <v>37587.070965024002</v>
      </c>
    </row>
    <row r="54" spans="1:12">
      <c r="A54" s="5"/>
      <c r="B54" s="5"/>
      <c r="C54" s="5"/>
      <c r="D54" s="5"/>
      <c r="E54" s="5"/>
      <c r="F54" s="5"/>
      <c r="G54" s="5"/>
      <c r="H54" s="9"/>
      <c r="I54" s="9"/>
      <c r="J54" s="9"/>
      <c r="K54" s="9"/>
      <c r="L54" s="9">
        <f t="shared" si="2"/>
        <v>0</v>
      </c>
    </row>
    <row r="55" spans="1:12">
      <c r="A55" s="5" t="s">
        <v>2401</v>
      </c>
      <c r="B55" s="21">
        <f>3217.66/3</f>
        <v>1072.5533333333333</v>
      </c>
      <c r="C55" s="5" t="s">
        <v>2402</v>
      </c>
      <c r="D55" s="5"/>
      <c r="E55" s="5">
        <v>12</v>
      </c>
      <c r="F55" s="11" t="s">
        <v>2403</v>
      </c>
      <c r="G55" s="9"/>
      <c r="H55" s="9">
        <f>+$B$55*$E$55*H6</f>
        <v>12870.64</v>
      </c>
      <c r="I55" s="9">
        <f>+$B$55*$E$55*I6</f>
        <v>25741.279999999999</v>
      </c>
      <c r="J55" s="9">
        <f>+$B$55*$E$55*J6</f>
        <v>128706.4</v>
      </c>
      <c r="K55" s="9">
        <f>+$B$55*$E$55*K6</f>
        <v>38611.919999999998</v>
      </c>
      <c r="L55" s="9">
        <f t="shared" si="2"/>
        <v>205930.23999999999</v>
      </c>
    </row>
    <row r="56" spans="1:12">
      <c r="A56" s="5" t="s">
        <v>2404</v>
      </c>
      <c r="B56" s="21">
        <v>82.75</v>
      </c>
      <c r="C56" s="5" t="s">
        <v>2405</v>
      </c>
      <c r="D56" s="5"/>
      <c r="E56" s="5">
        <v>52</v>
      </c>
      <c r="F56" s="11" t="s">
        <v>2362</v>
      </c>
      <c r="G56" s="9"/>
      <c r="H56" s="9">
        <f>+$B$56*$E$56*H6</f>
        <v>4303</v>
      </c>
      <c r="I56" s="9">
        <f>+$B$56*$E$56*I6</f>
        <v>8606</v>
      </c>
      <c r="J56" s="9">
        <f>+$B$56*$E$56*J6</f>
        <v>43030</v>
      </c>
      <c r="K56" s="9">
        <v>0</v>
      </c>
      <c r="L56" s="9">
        <f t="shared" si="2"/>
        <v>55939</v>
      </c>
    </row>
    <row r="57" spans="1:12">
      <c r="A57" s="5" t="s">
        <v>2406</v>
      </c>
      <c r="B57" s="21">
        <v>10</v>
      </c>
      <c r="C57" s="5" t="s">
        <v>2405</v>
      </c>
      <c r="D57" s="5"/>
      <c r="E57" s="5">
        <v>52</v>
      </c>
      <c r="F57" s="11" t="s">
        <v>2362</v>
      </c>
      <c r="G57" s="9"/>
      <c r="H57" s="9">
        <f>+$B$57*$E$57*H6</f>
        <v>520</v>
      </c>
      <c r="I57" s="9">
        <f>+$B$57*$E$57*I6</f>
        <v>1040</v>
      </c>
      <c r="J57" s="9">
        <f>+$B$57*$E$57*J6</f>
        <v>5200</v>
      </c>
      <c r="K57" s="9">
        <v>0</v>
      </c>
      <c r="L57" s="9">
        <f t="shared" si="2"/>
        <v>6760</v>
      </c>
    </row>
    <row r="58" spans="1:12">
      <c r="A58" s="5" t="s">
        <v>2407</v>
      </c>
      <c r="B58" s="21"/>
      <c r="C58" s="5"/>
      <c r="D58" s="5"/>
      <c r="E58" s="5"/>
      <c r="F58" s="11"/>
      <c r="G58" s="9"/>
      <c r="H58" s="9"/>
      <c r="I58" s="9"/>
      <c r="J58" s="9"/>
      <c r="K58" s="9"/>
      <c r="L58" s="9">
        <f t="shared" si="2"/>
        <v>0</v>
      </c>
    </row>
    <row r="59" spans="1:12">
      <c r="A59" s="5" t="s">
        <v>829</v>
      </c>
      <c r="B59" s="21">
        <v>16.63</v>
      </c>
      <c r="C59" s="5" t="s">
        <v>2402</v>
      </c>
      <c r="D59" s="5"/>
      <c r="E59" s="5">
        <v>12</v>
      </c>
      <c r="F59" s="11" t="str">
        <f>+F55</f>
        <v>Months</v>
      </c>
      <c r="G59" s="9"/>
      <c r="H59" s="9">
        <f>+$B$59*$E$59*H6</f>
        <v>199.56</v>
      </c>
      <c r="I59" s="9">
        <f>+$B$59*$E$59*I6</f>
        <v>399.12</v>
      </c>
      <c r="J59" s="9">
        <f>+$B$59*$E$59*J6</f>
        <v>1995.6</v>
      </c>
      <c r="K59" s="9">
        <f>+$B$59*$E$59*K6</f>
        <v>598.68000000000006</v>
      </c>
      <c r="L59" s="9">
        <f t="shared" si="2"/>
        <v>3192.96</v>
      </c>
    </row>
    <row r="60" spans="1:12">
      <c r="A60" s="5" t="s">
        <v>831</v>
      </c>
      <c r="B60" s="21">
        <v>14.13</v>
      </c>
      <c r="C60" s="5" t="s">
        <v>2402</v>
      </c>
      <c r="D60" s="5"/>
      <c r="E60" s="5">
        <v>12</v>
      </c>
      <c r="F60" s="11" t="str">
        <f>+F59</f>
        <v>Months</v>
      </c>
      <c r="G60" s="9"/>
      <c r="H60" s="9">
        <f>+$B$60*$E$60*H6</f>
        <v>169.56</v>
      </c>
      <c r="I60" s="9">
        <f>+$B$60*$E$60*I6</f>
        <v>339.12</v>
      </c>
      <c r="J60" s="9">
        <f>+$B$60*$E$60*J6</f>
        <v>1695.6</v>
      </c>
      <c r="K60" s="9">
        <f>+$B$60*$E$60*K6</f>
        <v>508.68</v>
      </c>
      <c r="L60" s="9">
        <f t="shared" si="2"/>
        <v>2712.9599999999996</v>
      </c>
    </row>
    <row r="61" spans="1:12">
      <c r="A61" s="5" t="s">
        <v>2408</v>
      </c>
      <c r="B61" s="21">
        <v>130</v>
      </c>
      <c r="C61" s="5" t="s">
        <v>2409</v>
      </c>
      <c r="D61" s="5"/>
      <c r="E61" s="5">
        <v>4</v>
      </c>
      <c r="F61" s="11" t="s">
        <v>2410</v>
      </c>
      <c r="G61" s="9"/>
      <c r="H61" s="9">
        <f>+$B$61*$E$61*H6</f>
        <v>520</v>
      </c>
      <c r="I61" s="9">
        <f>+$B$61*$E$61*I6</f>
        <v>1040</v>
      </c>
      <c r="J61" s="9">
        <f>+$B$61*$E$61*J6</f>
        <v>5200</v>
      </c>
      <c r="K61" s="9">
        <f>+$B$61*$E$61*K6</f>
        <v>1560</v>
      </c>
      <c r="L61" s="9">
        <f t="shared" si="2"/>
        <v>8320</v>
      </c>
    </row>
    <row r="62" spans="1:12">
      <c r="A62" s="58" t="s">
        <v>2411</v>
      </c>
      <c r="B62" s="5" t="s">
        <v>2412</v>
      </c>
      <c r="C62" s="5"/>
      <c r="D62" s="5"/>
      <c r="E62" s="5"/>
      <c r="F62" s="5"/>
      <c r="G62" s="5"/>
      <c r="H62" s="819">
        <f>SUM(H48:H61)</f>
        <v>32361.67052856</v>
      </c>
      <c r="I62" s="819">
        <f>SUM(I48:I61)</f>
        <v>52005.241730304006</v>
      </c>
      <c r="J62" s="819">
        <f>SUM(J48:J61)</f>
        <v>251389.01976192</v>
      </c>
      <c r="K62" s="819">
        <f>SUM(K48:K61)</f>
        <v>61456.319584780802</v>
      </c>
      <c r="L62" s="819">
        <f>SUM(L48:L61)</f>
        <v>397212.25160556484</v>
      </c>
    </row>
    <row r="63" spans="1:12">
      <c r="B63" s="5"/>
      <c r="C63" s="5"/>
      <c r="D63" s="5"/>
      <c r="E63" s="5"/>
      <c r="F63" s="5"/>
      <c r="G63" s="5"/>
      <c r="H63" s="19"/>
      <c r="I63" s="19"/>
      <c r="J63" s="19"/>
      <c r="K63" s="19"/>
      <c r="L63" s="19"/>
    </row>
    <row r="64" spans="1:12">
      <c r="A64" s="5" t="s">
        <v>2413</v>
      </c>
      <c r="B64" s="5">
        <v>0</v>
      </c>
      <c r="C64" s="22" t="s">
        <v>2414</v>
      </c>
      <c r="D64" s="21">
        <v>0</v>
      </c>
      <c r="E64" s="5">
        <v>0</v>
      </c>
      <c r="F64" s="5" t="s">
        <v>2415</v>
      </c>
      <c r="G64" s="5"/>
      <c r="H64" s="19">
        <v>0</v>
      </c>
      <c r="I64" s="19">
        <v>0</v>
      </c>
      <c r="J64" s="19">
        <v>0</v>
      </c>
      <c r="K64" s="19">
        <v>0</v>
      </c>
      <c r="L64" s="9">
        <f>SUM(H64:K64)</f>
        <v>0</v>
      </c>
    </row>
    <row r="65" spans="1:14" ht="17" thickBot="1">
      <c r="A65" s="5"/>
      <c r="B65" s="5" t="s">
        <v>2416</v>
      </c>
      <c r="C65" s="5"/>
      <c r="D65" s="5"/>
      <c r="E65" s="5"/>
      <c r="F65" s="5"/>
      <c r="G65" s="5"/>
      <c r="H65" s="820">
        <f>H62+H45+H64</f>
        <v>139146.94236855998</v>
      </c>
      <c r="I65" s="820">
        <f>I62+I45+I64</f>
        <v>160900.07078630402</v>
      </c>
      <c r="J65" s="820">
        <f>J62+J45+J64</f>
        <v>724775.19064191997</v>
      </c>
      <c r="K65" s="820">
        <f>K62+K45+K64</f>
        <v>207658.29147598083</v>
      </c>
      <c r="L65" s="820">
        <f>L62+L45+L64</f>
        <v>1232480.4952727649</v>
      </c>
    </row>
    <row r="66" spans="1:14" ht="17" thickTop="1">
      <c r="A66" s="6" t="s">
        <v>2417</v>
      </c>
      <c r="B66" s="5"/>
      <c r="C66" s="5"/>
      <c r="D66" s="5"/>
      <c r="E66" s="5"/>
      <c r="F66" s="5"/>
      <c r="G66" s="5"/>
      <c r="H66" s="19">
        <f>H65/H6</f>
        <v>139146.94236855998</v>
      </c>
      <c r="I66" s="19">
        <f>I65/I6</f>
        <v>80450.035393152008</v>
      </c>
      <c r="J66" s="19">
        <f>J65/J6</f>
        <v>72477.519064191991</v>
      </c>
      <c r="K66" s="19">
        <f>K65/K6</f>
        <v>69219.430491993611</v>
      </c>
      <c r="L66" s="19">
        <f>L65/L6</f>
        <v>77030.030954547809</v>
      </c>
    </row>
    <row r="67" spans="1:14">
      <c r="A67" s="6"/>
      <c r="B67" s="5"/>
      <c r="C67" s="5"/>
      <c r="D67" s="5"/>
      <c r="E67" s="5"/>
      <c r="F67" s="5"/>
      <c r="G67" s="5"/>
      <c r="H67" s="19"/>
      <c r="I67" s="19"/>
      <c r="J67" s="19"/>
      <c r="K67" s="19"/>
      <c r="L67" s="19"/>
      <c r="M67" s="19"/>
    </row>
    <row r="68" spans="1:14">
      <c r="A68" s="6"/>
      <c r="C68" s="5"/>
      <c r="E68" s="821" t="s">
        <v>2418</v>
      </c>
      <c r="F68" s="787"/>
      <c r="G68" s="787"/>
      <c r="H68" s="788">
        <v>2011</v>
      </c>
      <c r="I68" s="788">
        <v>2011</v>
      </c>
      <c r="J68" s="788">
        <v>2011</v>
      </c>
      <c r="K68" s="788">
        <v>2011</v>
      </c>
      <c r="L68" s="822">
        <v>2012</v>
      </c>
    </row>
    <row r="69" spans="1:14">
      <c r="A69" s="59"/>
      <c r="B69" s="44"/>
      <c r="C69" s="44"/>
      <c r="E69" s="60"/>
      <c r="F69" s="61"/>
      <c r="G69" s="44"/>
      <c r="H69" s="13" t="s">
        <v>2419</v>
      </c>
      <c r="I69" s="13" t="s">
        <v>2420</v>
      </c>
      <c r="J69" s="13" t="s">
        <v>2307</v>
      </c>
      <c r="K69" s="45" t="s">
        <v>2421</v>
      </c>
      <c r="L69" s="62" t="s">
        <v>2421</v>
      </c>
    </row>
    <row r="70" spans="1:14">
      <c r="A70" s="59"/>
      <c r="B70" s="44"/>
      <c r="C70" s="63"/>
      <c r="E70" s="60"/>
      <c r="F70" s="44"/>
      <c r="G70" s="44"/>
      <c r="H70" s="14" t="s">
        <v>1496</v>
      </c>
      <c r="I70" s="14" t="s">
        <v>2422</v>
      </c>
      <c r="J70" s="14" t="s">
        <v>2310</v>
      </c>
      <c r="K70" s="64"/>
      <c r="L70" s="65"/>
    </row>
    <row r="71" spans="1:14">
      <c r="A71" s="59"/>
      <c r="B71" s="44"/>
      <c r="C71" s="63"/>
      <c r="E71" s="66"/>
      <c r="F71" s="67"/>
      <c r="G71" s="67"/>
      <c r="H71" s="68">
        <f>883222-8484</f>
        <v>874738</v>
      </c>
      <c r="I71" s="68">
        <f>+H71/9*3+28900</f>
        <v>320479.33333333331</v>
      </c>
      <c r="J71" s="68">
        <f>SUM(H71:I71)</f>
        <v>1195217.3333333333</v>
      </c>
      <c r="K71" s="69">
        <v>1196720</v>
      </c>
      <c r="L71" s="70">
        <f>+L65</f>
        <v>1232480.4952727649</v>
      </c>
    </row>
    <row r="72" spans="1:14">
      <c r="A72" s="59"/>
      <c r="B72" s="44"/>
      <c r="C72" s="63"/>
      <c r="D72" s="44"/>
      <c r="E72" s="71"/>
      <c r="F72" s="44"/>
      <c r="G72" s="44"/>
      <c r="H72" s="13"/>
      <c r="I72" s="13"/>
      <c r="J72" s="13"/>
      <c r="K72" s="45"/>
      <c r="L72" s="19"/>
    </row>
    <row r="73" spans="1:14">
      <c r="A73" s="6"/>
      <c r="B73" s="44"/>
      <c r="C73" s="63"/>
      <c r="D73" s="44"/>
      <c r="E73" s="71"/>
      <c r="F73" s="44"/>
      <c r="G73" s="44"/>
      <c r="H73" s="13"/>
      <c r="I73" s="13"/>
      <c r="J73" s="13"/>
      <c r="K73" s="45"/>
      <c r="L73" s="19"/>
    </row>
    <row r="74" spans="1:14">
      <c r="A74" s="1006" t="s">
        <v>2347</v>
      </c>
      <c r="B74" s="1006"/>
      <c r="C74" s="1006"/>
      <c r="D74" s="1006"/>
      <c r="E74" s="1006"/>
      <c r="F74" s="1006"/>
      <c r="G74" s="1006"/>
      <c r="H74" s="1006"/>
      <c r="I74" s="1006"/>
      <c r="J74" s="1006"/>
      <c r="K74" s="1006"/>
      <c r="L74" s="1006"/>
    </row>
    <row r="75" spans="1:14">
      <c r="A75" s="5"/>
      <c r="B75" s="5"/>
      <c r="C75" s="5"/>
      <c r="D75" s="5"/>
      <c r="F75" s="5"/>
      <c r="G75" s="5"/>
      <c r="H75" s="5"/>
      <c r="I75" s="5"/>
      <c r="J75" s="5"/>
      <c r="K75" s="5"/>
      <c r="L75" s="5"/>
    </row>
    <row r="78" spans="1:14">
      <c r="A78" s="72" t="s">
        <v>2423</v>
      </c>
    </row>
    <row r="79" spans="1:14">
      <c r="A79" s="73" t="s">
        <v>2424</v>
      </c>
      <c r="B79" s="74">
        <v>4</v>
      </c>
      <c r="C79" s="74">
        <v>5</v>
      </c>
      <c r="D79" s="74">
        <v>4</v>
      </c>
      <c r="E79" s="74">
        <v>4</v>
      </c>
      <c r="F79" s="74">
        <v>5</v>
      </c>
      <c r="G79" s="74">
        <v>4</v>
      </c>
      <c r="H79" s="74">
        <v>4</v>
      </c>
      <c r="I79" s="74">
        <v>5</v>
      </c>
      <c r="J79" s="74">
        <v>4</v>
      </c>
      <c r="K79" s="74">
        <v>5</v>
      </c>
      <c r="L79" s="74">
        <v>4</v>
      </c>
      <c r="M79" s="74">
        <v>4</v>
      </c>
      <c r="N79" s="74">
        <f>SUM(B79:M79)</f>
        <v>52</v>
      </c>
    </row>
    <row r="80" spans="1:14">
      <c r="B80" s="75" t="s">
        <v>2425</v>
      </c>
      <c r="C80" s="75" t="s">
        <v>2426</v>
      </c>
      <c r="D80" s="75" t="s">
        <v>2427</v>
      </c>
      <c r="E80" s="75" t="s">
        <v>2428</v>
      </c>
      <c r="F80" s="75" t="s">
        <v>2278</v>
      </c>
      <c r="G80" s="75" t="s">
        <v>2429</v>
      </c>
      <c r="H80" s="75" t="s">
        <v>2430</v>
      </c>
      <c r="I80" s="75" t="s">
        <v>2431</v>
      </c>
      <c r="J80" s="75" t="s">
        <v>2432</v>
      </c>
      <c r="K80" s="75" t="s">
        <v>2433</v>
      </c>
      <c r="L80" s="75" t="s">
        <v>2434</v>
      </c>
      <c r="M80" s="75" t="s">
        <v>2435</v>
      </c>
      <c r="N80" s="75" t="s">
        <v>2436</v>
      </c>
    </row>
    <row r="81" spans="1:15">
      <c r="A81" s="47" t="s">
        <v>2437</v>
      </c>
      <c r="B81" s="76">
        <f t="shared" ref="B81:M81" si="3">(+$L$45-$L$33-$L$42)/52*B79</f>
        <v>59895.324712861548</v>
      </c>
      <c r="C81" s="76">
        <f t="shared" si="3"/>
        <v>74869.155891076938</v>
      </c>
      <c r="D81" s="76">
        <f t="shared" si="3"/>
        <v>59895.324712861548</v>
      </c>
      <c r="E81" s="76">
        <f t="shared" si="3"/>
        <v>59895.324712861548</v>
      </c>
      <c r="F81" s="76">
        <f t="shared" si="3"/>
        <v>74869.155891076938</v>
      </c>
      <c r="G81" s="76">
        <f t="shared" si="3"/>
        <v>59895.324712861548</v>
      </c>
      <c r="H81" s="76">
        <f t="shared" si="3"/>
        <v>59895.324712861548</v>
      </c>
      <c r="I81" s="76">
        <f t="shared" si="3"/>
        <v>74869.155891076938</v>
      </c>
      <c r="J81" s="76">
        <f t="shared" si="3"/>
        <v>59895.324712861548</v>
      </c>
      <c r="K81" s="76">
        <f t="shared" si="3"/>
        <v>74869.155891076938</v>
      </c>
      <c r="L81" s="76">
        <f t="shared" si="3"/>
        <v>59895.324712861548</v>
      </c>
      <c r="M81" s="76">
        <f t="shared" si="3"/>
        <v>59895.324712861548</v>
      </c>
      <c r="N81" s="76">
        <f>SUM(B81:M81)</f>
        <v>778639.22126720019</v>
      </c>
    </row>
    <row r="82" spans="1:15">
      <c r="A82" s="57" t="s">
        <v>2438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6"/>
    </row>
    <row r="83" spans="1:15">
      <c r="A83" s="57" t="s">
        <v>2376</v>
      </c>
      <c r="B83" s="77"/>
      <c r="C83" s="78">
        <f>+L33</f>
        <v>27660.145600000003</v>
      </c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6">
        <f>SUM(B83:M83)</f>
        <v>27660.145600000003</v>
      </c>
    </row>
    <row r="84" spans="1:15">
      <c r="A84" s="57" t="s">
        <v>785</v>
      </c>
      <c r="B84" s="77"/>
      <c r="C84" s="78"/>
      <c r="D84" s="77"/>
      <c r="E84" s="77"/>
      <c r="F84" s="77"/>
      <c r="G84" s="77"/>
      <c r="H84" s="77"/>
      <c r="I84" s="77"/>
      <c r="J84" s="77"/>
      <c r="K84" s="77"/>
      <c r="L84" s="77"/>
      <c r="M84" s="76">
        <f>+L42</f>
        <v>28968.876800000002</v>
      </c>
      <c r="N84" s="76">
        <f>SUM(B84:M84)</f>
        <v>28968.876800000002</v>
      </c>
    </row>
    <row r="85" spans="1:15">
      <c r="A85" s="79" t="s">
        <v>2439</v>
      </c>
      <c r="B85" s="823">
        <f>SUM(B81:B84)</f>
        <v>59895.324712861548</v>
      </c>
      <c r="C85" s="823">
        <f t="shared" ref="C85:N85" si="4">SUM(C81:C84)</f>
        <v>102529.30149107694</v>
      </c>
      <c r="D85" s="823">
        <f t="shared" si="4"/>
        <v>59895.324712861548</v>
      </c>
      <c r="E85" s="823">
        <f t="shared" si="4"/>
        <v>59895.324712861548</v>
      </c>
      <c r="F85" s="823">
        <f t="shared" si="4"/>
        <v>74869.155891076938</v>
      </c>
      <c r="G85" s="823">
        <f t="shared" si="4"/>
        <v>59895.324712861548</v>
      </c>
      <c r="H85" s="823">
        <f t="shared" si="4"/>
        <v>59895.324712861548</v>
      </c>
      <c r="I85" s="823">
        <f t="shared" si="4"/>
        <v>74869.155891076938</v>
      </c>
      <c r="J85" s="823">
        <f t="shared" si="4"/>
        <v>59895.324712861548</v>
      </c>
      <c r="K85" s="823">
        <f t="shared" si="4"/>
        <v>74869.155891076938</v>
      </c>
      <c r="L85" s="823">
        <f t="shared" si="4"/>
        <v>59895.324712861548</v>
      </c>
      <c r="M85" s="823">
        <f t="shared" si="4"/>
        <v>88864.201512861546</v>
      </c>
      <c r="N85" s="823">
        <f t="shared" si="4"/>
        <v>835268.24366720021</v>
      </c>
      <c r="O85" s="80" t="s">
        <v>2440</v>
      </c>
    </row>
    <row r="86" spans="1:15">
      <c r="A86" s="57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</row>
    <row r="87" spans="1:15">
      <c r="A87" s="81" t="s">
        <v>2441</v>
      </c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77"/>
    </row>
    <row r="88" spans="1:15">
      <c r="A88" s="83">
        <f>+C48</f>
        <v>7.6499999999999999E-2</v>
      </c>
      <c r="B88" s="84">
        <f>+B85*$A$88</f>
        <v>4581.9923405339086</v>
      </c>
      <c r="C88" s="84">
        <f t="shared" ref="C88:M88" si="5">+C85*$A$88</f>
        <v>7843.4915640673862</v>
      </c>
      <c r="D88" s="84">
        <f t="shared" si="5"/>
        <v>4581.9923405339086</v>
      </c>
      <c r="E88" s="84">
        <f t="shared" si="5"/>
        <v>4581.9923405339086</v>
      </c>
      <c r="F88" s="84">
        <f t="shared" si="5"/>
        <v>5727.4904256673854</v>
      </c>
      <c r="G88" s="84">
        <f t="shared" si="5"/>
        <v>4581.9923405339086</v>
      </c>
      <c r="H88" s="84">
        <f t="shared" si="5"/>
        <v>4581.9923405339086</v>
      </c>
      <c r="I88" s="84">
        <f t="shared" si="5"/>
        <v>5727.4904256673854</v>
      </c>
      <c r="J88" s="84">
        <f t="shared" si="5"/>
        <v>4581.9923405339086</v>
      </c>
      <c r="K88" s="84">
        <f t="shared" si="5"/>
        <v>5727.4904256673854</v>
      </c>
      <c r="L88" s="84">
        <f t="shared" si="5"/>
        <v>4581.9923405339086</v>
      </c>
      <c r="M88" s="84">
        <f t="shared" si="5"/>
        <v>6798.111415733908</v>
      </c>
      <c r="N88" s="76">
        <f>SUM(B88:M88)</f>
        <v>63898.020640540803</v>
      </c>
    </row>
    <row r="89" spans="1:15">
      <c r="A89" s="85" t="s">
        <v>2392</v>
      </c>
      <c r="B89" s="86"/>
      <c r="C89" s="78">
        <f>+L49</f>
        <v>10200</v>
      </c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76">
        <f>SUM(B89:M89)</f>
        <v>10200</v>
      </c>
    </row>
    <row r="90" spans="1:15">
      <c r="A90" s="85" t="s">
        <v>2442</v>
      </c>
      <c r="B90" s="76"/>
      <c r="C90" s="76">
        <f>+L50</f>
        <v>1408</v>
      </c>
      <c r="D90" s="76"/>
      <c r="E90" s="76"/>
      <c r="F90" s="76"/>
      <c r="G90" s="76"/>
      <c r="H90" s="76"/>
      <c r="I90" s="76"/>
      <c r="J90" s="76"/>
      <c r="K90" s="76"/>
      <c r="L90" s="76"/>
      <c r="M90" s="86"/>
      <c r="N90" s="76">
        <f>SUM(B90:M90)</f>
        <v>1408</v>
      </c>
    </row>
    <row r="91" spans="1:15">
      <c r="A91" s="85" t="s">
        <v>2395</v>
      </c>
      <c r="B91" s="76"/>
      <c r="C91" s="76"/>
      <c r="D91" s="87">
        <f>+L51/4</f>
        <v>136</v>
      </c>
      <c r="E91" s="87"/>
      <c r="F91" s="87"/>
      <c r="G91" s="87">
        <f>D91</f>
        <v>136</v>
      </c>
      <c r="H91" s="87"/>
      <c r="I91" s="87"/>
      <c r="J91" s="87">
        <f>D91</f>
        <v>136</v>
      </c>
      <c r="K91" s="87"/>
      <c r="L91" s="87">
        <f>D91</f>
        <v>136</v>
      </c>
      <c r="M91" s="86"/>
      <c r="N91" s="76">
        <f>SUM(B91:M91)</f>
        <v>544</v>
      </c>
    </row>
    <row r="92" spans="1:15" ht="17" thickBot="1">
      <c r="A92" s="88" t="s">
        <v>2443</v>
      </c>
      <c r="B92" s="824">
        <f>SUM(B88:B91)</f>
        <v>4581.9923405339086</v>
      </c>
      <c r="C92" s="824">
        <f t="shared" ref="C92:M92" si="6">SUM(C88:C91)</f>
        <v>19451.491564067386</v>
      </c>
      <c r="D92" s="824">
        <f t="shared" si="6"/>
        <v>4717.9923405339086</v>
      </c>
      <c r="E92" s="824">
        <f t="shared" si="6"/>
        <v>4581.9923405339086</v>
      </c>
      <c r="F92" s="824">
        <f t="shared" si="6"/>
        <v>5727.4904256673854</v>
      </c>
      <c r="G92" s="824">
        <f t="shared" si="6"/>
        <v>4717.9923405339086</v>
      </c>
      <c r="H92" s="824">
        <f t="shared" si="6"/>
        <v>4581.9923405339086</v>
      </c>
      <c r="I92" s="824">
        <f t="shared" si="6"/>
        <v>5727.4904256673854</v>
      </c>
      <c r="J92" s="824">
        <f t="shared" si="6"/>
        <v>4717.9923405339086</v>
      </c>
      <c r="K92" s="824">
        <f t="shared" si="6"/>
        <v>5727.4904256673854</v>
      </c>
      <c r="L92" s="824">
        <f t="shared" si="6"/>
        <v>4717.9923405339086</v>
      </c>
      <c r="M92" s="824">
        <f t="shared" si="6"/>
        <v>6798.111415733908</v>
      </c>
      <c r="N92" s="89">
        <f>SUM(B92:M92)</f>
        <v>76050.020640540795</v>
      </c>
      <c r="O92" s="80" t="s">
        <v>2444</v>
      </c>
    </row>
    <row r="93" spans="1:15" ht="17" thickTop="1">
      <c r="A93" s="85"/>
      <c r="M93" s="88"/>
    </row>
    <row r="94" spans="1:15">
      <c r="A94" s="90"/>
      <c r="C94" s="91"/>
    </row>
    <row r="95" spans="1:15">
      <c r="A95" s="92" t="s">
        <v>2445</v>
      </c>
      <c r="B95" s="93"/>
      <c r="C95" s="93"/>
      <c r="D95" s="93">
        <v>3000</v>
      </c>
      <c r="E95" s="93">
        <f t="shared" ref="E95:M95" si="7">(+$L$53-$D$95)/9</f>
        <v>3843.0078850026671</v>
      </c>
      <c r="F95" s="93">
        <f t="shared" si="7"/>
        <v>3843.0078850026671</v>
      </c>
      <c r="G95" s="93">
        <f t="shared" si="7"/>
        <v>3843.0078850026671</v>
      </c>
      <c r="H95" s="93">
        <f t="shared" si="7"/>
        <v>3843.0078850026671</v>
      </c>
      <c r="I95" s="93">
        <f t="shared" si="7"/>
        <v>3843.0078850026671</v>
      </c>
      <c r="J95" s="93">
        <f t="shared" si="7"/>
        <v>3843.0078850026671</v>
      </c>
      <c r="K95" s="93">
        <f t="shared" si="7"/>
        <v>3843.0078850026671</v>
      </c>
      <c r="L95" s="93">
        <f t="shared" si="7"/>
        <v>3843.0078850026671</v>
      </c>
      <c r="M95" s="93">
        <f t="shared" si="7"/>
        <v>3843.0078850026671</v>
      </c>
      <c r="N95" s="89">
        <f>SUM(B95:M95)</f>
        <v>37587.070965024002</v>
      </c>
      <c r="O95" s="80" t="s">
        <v>2446</v>
      </c>
    </row>
    <row r="96" spans="1:15">
      <c r="A96" s="94" t="s">
        <v>2447</v>
      </c>
      <c r="B96" s="93"/>
      <c r="C96" s="93"/>
      <c r="D96" s="93">
        <f>+L52</f>
        <v>720</v>
      </c>
      <c r="E96" s="93"/>
      <c r="F96" s="93"/>
      <c r="G96" s="93"/>
      <c r="H96" s="93"/>
      <c r="I96" s="93"/>
      <c r="J96" s="93"/>
      <c r="K96" s="93"/>
      <c r="L96" s="93"/>
      <c r="M96" s="95"/>
      <c r="N96" s="89">
        <f>SUM(B96:M96)</f>
        <v>720</v>
      </c>
      <c r="O96" s="80" t="s">
        <v>2448</v>
      </c>
    </row>
    <row r="97" spans="1:15">
      <c r="A97" s="94" t="s">
        <v>2449</v>
      </c>
      <c r="B97" s="825">
        <f>SUM(B95:B96)</f>
        <v>0</v>
      </c>
      <c r="C97" s="825">
        <f t="shared" ref="C97:N97" si="8">SUM(C95:C96)</f>
        <v>0</v>
      </c>
      <c r="D97" s="825">
        <f t="shared" si="8"/>
        <v>3720</v>
      </c>
      <c r="E97" s="825">
        <f t="shared" si="8"/>
        <v>3843.0078850026671</v>
      </c>
      <c r="F97" s="825">
        <f t="shared" si="8"/>
        <v>3843.0078850026671</v>
      </c>
      <c r="G97" s="825">
        <f t="shared" si="8"/>
        <v>3843.0078850026671</v>
      </c>
      <c r="H97" s="825">
        <f t="shared" si="8"/>
        <v>3843.0078850026671</v>
      </c>
      <c r="I97" s="825">
        <f t="shared" si="8"/>
        <v>3843.0078850026671</v>
      </c>
      <c r="J97" s="825">
        <f t="shared" si="8"/>
        <v>3843.0078850026671</v>
      </c>
      <c r="K97" s="825">
        <f t="shared" si="8"/>
        <v>3843.0078850026671</v>
      </c>
      <c r="L97" s="825">
        <f t="shared" si="8"/>
        <v>3843.0078850026671</v>
      </c>
      <c r="M97" s="825">
        <f t="shared" si="8"/>
        <v>3843.0078850026671</v>
      </c>
      <c r="N97" s="825">
        <f t="shared" si="8"/>
        <v>38307.070965024002</v>
      </c>
    </row>
    <row r="98" spans="1:15">
      <c r="A98" s="90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</row>
    <row r="99" spans="1:1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</row>
    <row r="100" spans="1:15">
      <c r="A100" s="79" t="s">
        <v>2450</v>
      </c>
      <c r="B100" s="93">
        <f>SUM($L$55:$L$61)/12</f>
        <v>23571.263333333336</v>
      </c>
      <c r="C100" s="93">
        <f t="shared" ref="C100:M100" si="9">SUM($L$55:$L$61)/12</f>
        <v>23571.263333333336</v>
      </c>
      <c r="D100" s="93">
        <f t="shared" si="9"/>
        <v>23571.263333333336</v>
      </c>
      <c r="E100" s="93">
        <f t="shared" si="9"/>
        <v>23571.263333333336</v>
      </c>
      <c r="F100" s="93">
        <f t="shared" si="9"/>
        <v>23571.263333333336</v>
      </c>
      <c r="G100" s="93">
        <f t="shared" si="9"/>
        <v>23571.263333333336</v>
      </c>
      <c r="H100" s="93">
        <f t="shared" si="9"/>
        <v>23571.263333333336</v>
      </c>
      <c r="I100" s="93">
        <f t="shared" si="9"/>
        <v>23571.263333333336</v>
      </c>
      <c r="J100" s="93">
        <f t="shared" si="9"/>
        <v>23571.263333333336</v>
      </c>
      <c r="K100" s="93">
        <f t="shared" si="9"/>
        <v>23571.263333333336</v>
      </c>
      <c r="L100" s="93">
        <f t="shared" si="9"/>
        <v>23571.263333333336</v>
      </c>
      <c r="M100" s="93">
        <f t="shared" si="9"/>
        <v>23571.263333333336</v>
      </c>
      <c r="N100" s="89">
        <f>SUM(B100:M100)</f>
        <v>282855.16000000003</v>
      </c>
      <c r="O100" s="80" t="s">
        <v>2451</v>
      </c>
    </row>
    <row r="101" spans="1:1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</row>
    <row r="102" spans="1:15">
      <c r="A102" s="97" t="s">
        <v>2452</v>
      </c>
      <c r="B102" s="93">
        <f>+B85+B92+B97+B100</f>
        <v>88048.58038672879</v>
      </c>
      <c r="C102" s="93">
        <f t="shared" ref="C102:L102" si="10">+C85+C92+C97+C100</f>
        <v>145552.05638847768</v>
      </c>
      <c r="D102" s="93">
        <f t="shared" si="10"/>
        <v>91904.58038672879</v>
      </c>
      <c r="E102" s="93">
        <f t="shared" si="10"/>
        <v>91891.588271731453</v>
      </c>
      <c r="F102" s="93">
        <f t="shared" si="10"/>
        <v>108010.91753508033</v>
      </c>
      <c r="G102" s="93">
        <f t="shared" si="10"/>
        <v>92027.588271731453</v>
      </c>
      <c r="H102" s="93">
        <f t="shared" si="10"/>
        <v>91891.588271731453</v>
      </c>
      <c r="I102" s="93">
        <f t="shared" si="10"/>
        <v>108010.91753508033</v>
      </c>
      <c r="J102" s="93">
        <f t="shared" si="10"/>
        <v>92027.588271731453</v>
      </c>
      <c r="K102" s="93">
        <f t="shared" si="10"/>
        <v>108010.91753508033</v>
      </c>
      <c r="L102" s="93">
        <f t="shared" si="10"/>
        <v>92027.588271731453</v>
      </c>
      <c r="M102" s="93">
        <f>+M85+M92+M97+M100</f>
        <v>123076.58414693145</v>
      </c>
      <c r="N102" s="93">
        <f>+N85+N92+N97+N100</f>
        <v>1232480.4952727649</v>
      </c>
    </row>
    <row r="103" spans="1:1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</row>
    <row r="104" spans="1:1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</row>
    <row r="105" spans="1:1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</row>
    <row r="106" spans="1:1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</row>
    <row r="107" spans="1:1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</row>
    <row r="108" spans="1:1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</row>
  </sheetData>
  <mergeCells count="2">
    <mergeCell ref="A48:B48"/>
    <mergeCell ref="A74:L74"/>
  </mergeCells>
  <phoneticPr fontId="44" type="noConversion"/>
  <pageMargins left="0.5" right="0.39" top="1" bottom="0.49" header="0.5" footer="0.31"/>
  <pageSetup scale="1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U135"/>
  <sheetViews>
    <sheetView topLeftCell="A37" zoomScale="80" zoomScaleNormal="80" zoomScaleSheetLayoutView="90" workbookViewId="0">
      <selection activeCell="L67" sqref="L67"/>
    </sheetView>
  </sheetViews>
  <sheetFormatPr baseColWidth="10" defaultColWidth="8.85546875" defaultRowHeight="16"/>
  <cols>
    <col min="1" max="1" width="17.85546875" style="297" customWidth="1"/>
    <col min="2" max="2" width="9.85546875" style="297" customWidth="1"/>
    <col min="3" max="3" width="5.5703125" style="297" customWidth="1"/>
    <col min="4" max="4" width="0.85546875" style="297" customWidth="1"/>
    <col min="5" max="5" width="10.28515625" style="297" customWidth="1"/>
    <col min="6" max="6" width="14.42578125" style="297" customWidth="1"/>
    <col min="7" max="7" width="8.140625" style="297" customWidth="1"/>
    <col min="8" max="8" width="12.140625" style="297" customWidth="1"/>
    <col min="9" max="14" width="12" style="297" customWidth="1"/>
    <col min="15" max="16" width="12.140625" style="297" customWidth="1"/>
    <col min="17" max="17" width="9.42578125" style="297" bestFit="1" customWidth="1"/>
    <col min="18" max="18" width="12" style="297" customWidth="1"/>
    <col min="19" max="19" width="11.85546875" style="297" customWidth="1"/>
    <col min="20" max="20" width="11.7109375" style="297" customWidth="1"/>
    <col min="21" max="16384" width="8.85546875" style="297"/>
  </cols>
  <sheetData>
    <row r="1" spans="1:19">
      <c r="A1" s="5"/>
      <c r="B1" s="5"/>
      <c r="C1" s="5"/>
      <c r="D1" s="5"/>
      <c r="F1" s="580" t="str">
        <f>Income!E1</f>
        <v>444 East 86th Street Owners Corp.</v>
      </c>
      <c r="H1" s="5"/>
      <c r="I1" s="5"/>
      <c r="J1" s="5"/>
      <c r="K1" s="5"/>
      <c r="L1" s="5"/>
      <c r="M1" s="5"/>
      <c r="N1" s="5"/>
      <c r="O1" s="343"/>
      <c r="P1" s="673" t="s">
        <v>3202</v>
      </c>
    </row>
    <row r="2" spans="1:19">
      <c r="B2" s="5"/>
      <c r="C2" s="5"/>
      <c r="D2" s="5"/>
      <c r="F2" s="4" t="s">
        <v>2453</v>
      </c>
      <c r="H2" s="5"/>
      <c r="I2" s="5"/>
      <c r="J2" s="5"/>
      <c r="K2" s="5"/>
      <c r="L2" s="5"/>
      <c r="M2" s="5"/>
      <c r="N2" s="5"/>
      <c r="O2" s="5"/>
      <c r="P2" s="456" t="s">
        <v>2454</v>
      </c>
    </row>
    <row r="3" spans="1:19">
      <c r="A3" s="30" t="s">
        <v>2349</v>
      </c>
      <c r="B3" s="5"/>
      <c r="C3" s="5"/>
      <c r="D3" s="5"/>
      <c r="F3" s="581" t="str">
        <f>' bud'!C3</f>
        <v>For Year Ending 12/31/2026</v>
      </c>
      <c r="H3" s="5"/>
      <c r="I3" s="5"/>
      <c r="J3" s="5"/>
      <c r="K3" s="5"/>
      <c r="L3" s="5"/>
      <c r="M3" s="5"/>
      <c r="N3" s="5"/>
      <c r="O3" s="5"/>
      <c r="P3" s="3" t="s">
        <v>3207</v>
      </c>
      <c r="Q3" s="343"/>
    </row>
    <row r="4" spans="1:19">
      <c r="B4" s="5"/>
      <c r="C4" s="5"/>
      <c r="D4" s="5"/>
      <c r="E4" s="5"/>
      <c r="F4" s="45"/>
      <c r="G4" s="45"/>
      <c r="I4" s="49" t="str">
        <f>pyrl!H4</f>
        <v>Resident</v>
      </c>
      <c r="J4" s="5"/>
      <c r="K4" s="45"/>
      <c r="L4" s="45"/>
      <c r="M4" s="5"/>
      <c r="P4" s="387"/>
    </row>
    <row r="5" spans="1:19">
      <c r="A5" s="582" t="s">
        <v>2455</v>
      </c>
      <c r="B5" s="5"/>
      <c r="C5" s="5"/>
      <c r="D5" s="5"/>
      <c r="E5" s="5"/>
      <c r="F5" s="5"/>
      <c r="G5" s="5"/>
      <c r="I5" s="49" t="str">
        <f>pyrl!H5</f>
        <v>Manager</v>
      </c>
      <c r="J5" s="49" t="s">
        <v>2355</v>
      </c>
      <c r="K5" s="49" t="s">
        <v>2456</v>
      </c>
      <c r="L5" s="49" t="s">
        <v>2456</v>
      </c>
      <c r="M5" s="49" t="s">
        <v>2272</v>
      </c>
      <c r="P5" s="673" t="s">
        <v>2457</v>
      </c>
    </row>
    <row r="6" spans="1:19" ht="17" thickBot="1">
      <c r="A6" s="583" t="s">
        <v>2458</v>
      </c>
      <c r="B6" s="5"/>
      <c r="C6" s="5"/>
      <c r="D6" s="5"/>
      <c r="E6" s="5"/>
      <c r="F6" s="5"/>
      <c r="G6" s="5"/>
      <c r="I6" s="27">
        <v>1</v>
      </c>
      <c r="J6" s="27">
        <v>3</v>
      </c>
      <c r="K6" s="27">
        <v>7</v>
      </c>
      <c r="L6" s="27">
        <v>1</v>
      </c>
      <c r="M6" s="584">
        <f>SUM(I6:L6)</f>
        <v>12</v>
      </c>
      <c r="P6" s="467" t="s">
        <v>2459</v>
      </c>
    </row>
    <row r="7" spans="1:19" ht="17" thickTop="1">
      <c r="A7" s="5" t="s">
        <v>2460</v>
      </c>
      <c r="B7" s="537">
        <f>58.8105*40</f>
        <v>2352.42</v>
      </c>
      <c r="C7" s="5" t="s">
        <v>2360</v>
      </c>
      <c r="D7" s="5"/>
      <c r="E7" s="8">
        <v>24</v>
      </c>
      <c r="F7" s="5" t="s">
        <v>2362</v>
      </c>
      <c r="G7" s="30"/>
      <c r="I7" s="585">
        <f>SUM(B7*E7*$I$6)</f>
        <v>56458.080000000002</v>
      </c>
      <c r="J7" s="585"/>
      <c r="K7" s="585" t="s">
        <v>2137</v>
      </c>
      <c r="L7" s="585"/>
      <c r="M7" s="585">
        <f t="shared" ref="M7:M14" si="0">SUM(I7:K7)</f>
        <v>56458.080000000002</v>
      </c>
      <c r="N7" s="388"/>
      <c r="P7" s="673" t="s">
        <v>3201</v>
      </c>
      <c r="Q7" s="399"/>
    </row>
    <row r="8" spans="1:19">
      <c r="A8" s="5" t="s">
        <v>2460</v>
      </c>
      <c r="B8" s="537">
        <f>58.8105*1.05*40</f>
        <v>2470.0410000000002</v>
      </c>
      <c r="C8" s="5" t="s">
        <v>2360</v>
      </c>
      <c r="D8" s="5"/>
      <c r="E8" s="8">
        <v>28</v>
      </c>
      <c r="F8" s="5" t="s">
        <v>2362</v>
      </c>
      <c r="G8" s="30"/>
      <c r="I8" s="585">
        <f>SUM(B8*E8*$I$6)</f>
        <v>69161.148000000001</v>
      </c>
      <c r="J8" s="585"/>
      <c r="K8" s="585"/>
      <c r="L8" s="585"/>
      <c r="M8" s="585"/>
      <c r="N8" s="388"/>
      <c r="P8" s="673"/>
      <c r="Q8" s="399"/>
    </row>
    <row r="9" spans="1:19">
      <c r="A9" s="5" t="s">
        <v>2461</v>
      </c>
      <c r="B9" s="537">
        <f>34.14*40</f>
        <v>1365.6</v>
      </c>
      <c r="C9" s="5" t="s">
        <v>2360</v>
      </c>
      <c r="D9" s="5"/>
      <c r="E9" s="8">
        <v>16</v>
      </c>
      <c r="F9" s="5" t="s">
        <v>2362</v>
      </c>
      <c r="G9" s="30"/>
      <c r="I9" s="586"/>
      <c r="J9" s="586">
        <f>(B9*E9)*1</f>
        <v>21849.599999999999</v>
      </c>
      <c r="K9" s="586"/>
      <c r="L9" s="586"/>
      <c r="M9" s="586">
        <f t="shared" si="0"/>
        <v>21849.599999999999</v>
      </c>
      <c r="P9" s="467" t="s">
        <v>2462</v>
      </c>
      <c r="S9" s="467" t="s">
        <v>2463</v>
      </c>
    </row>
    <row r="10" spans="1:19">
      <c r="A10" s="5" t="str">
        <f>+A9</f>
        <v>Assistant Super</v>
      </c>
      <c r="B10" s="537">
        <f>B9+42</f>
        <v>1407.6</v>
      </c>
      <c r="C10" s="5" t="str">
        <f>+C9</f>
        <v xml:space="preserve">/wk </v>
      </c>
      <c r="D10" s="5"/>
      <c r="E10" s="8">
        <v>36</v>
      </c>
      <c r="F10" s="5" t="s">
        <v>2362</v>
      </c>
      <c r="G10" s="30"/>
      <c r="I10" s="586"/>
      <c r="J10" s="586">
        <f>(B10*E10)*1</f>
        <v>50673.599999999999</v>
      </c>
      <c r="K10" s="586"/>
      <c r="L10" s="586"/>
      <c r="M10" s="586">
        <f t="shared" si="0"/>
        <v>50673.599999999999</v>
      </c>
      <c r="P10" s="456" t="s">
        <v>2464</v>
      </c>
      <c r="Q10" s="890">
        <v>0.75</v>
      </c>
      <c r="S10" s="673" t="s">
        <v>2465</v>
      </c>
    </row>
    <row r="11" spans="1:19">
      <c r="A11" s="5" t="s">
        <v>2355</v>
      </c>
      <c r="B11" s="537">
        <f>32.61*40</f>
        <v>1304.4000000000001</v>
      </c>
      <c r="C11" s="5" t="str">
        <f t="shared" ref="C11:C12" si="1">+C10</f>
        <v xml:space="preserve">/wk </v>
      </c>
      <c r="D11" s="5"/>
      <c r="E11" s="8">
        <v>16</v>
      </c>
      <c r="F11" s="5" t="s">
        <v>2362</v>
      </c>
      <c r="G11" s="30"/>
      <c r="I11" s="586"/>
      <c r="J11" s="586">
        <f>SUM(B11*E11)*2</f>
        <v>41740.800000000003</v>
      </c>
      <c r="K11" s="586"/>
      <c r="L11" s="586"/>
      <c r="M11" s="586">
        <f t="shared" si="0"/>
        <v>41740.800000000003</v>
      </c>
      <c r="P11" s="673" t="s">
        <v>2466</v>
      </c>
      <c r="S11" s="673" t="s">
        <v>2467</v>
      </c>
    </row>
    <row r="12" spans="1:19">
      <c r="A12" s="5" t="str">
        <f>+A11</f>
        <v>Handyman</v>
      </c>
      <c r="B12" s="537">
        <f>+B11+42</f>
        <v>1346.4</v>
      </c>
      <c r="C12" s="5" t="str">
        <f t="shared" si="1"/>
        <v xml:space="preserve">/wk </v>
      </c>
      <c r="D12" s="5"/>
      <c r="E12" s="8">
        <v>36</v>
      </c>
      <c r="F12" s="5" t="s">
        <v>2362</v>
      </c>
      <c r="G12" s="30"/>
      <c r="I12" s="586"/>
      <c r="J12" s="586">
        <f>SUM(B12*E12)*2</f>
        <v>96940.800000000003</v>
      </c>
      <c r="K12" s="586"/>
      <c r="L12" s="586"/>
      <c r="M12" s="586">
        <f t="shared" si="0"/>
        <v>96940.800000000003</v>
      </c>
      <c r="P12" s="673" t="s">
        <v>2468</v>
      </c>
      <c r="S12" s="673" t="s">
        <v>2469</v>
      </c>
    </row>
    <row r="13" spans="1:19">
      <c r="A13" s="5" t="s">
        <v>2456</v>
      </c>
      <c r="B13" s="537">
        <f>29.78*40</f>
        <v>1191.2</v>
      </c>
      <c r="C13" s="5" t="s">
        <v>2360</v>
      </c>
      <c r="D13" s="5"/>
      <c r="E13" s="8">
        <v>16</v>
      </c>
      <c r="F13" s="5" t="str">
        <f>+F9</f>
        <v>Wks</v>
      </c>
      <c r="G13" s="5"/>
      <c r="I13" s="586"/>
      <c r="J13" s="586"/>
      <c r="K13" s="586">
        <f>SUM(B13*E13*$K$6)</f>
        <v>133414.39999999999</v>
      </c>
      <c r="L13" s="586"/>
      <c r="M13" s="586">
        <f t="shared" si="0"/>
        <v>133414.39999999999</v>
      </c>
      <c r="P13" s="673" t="s">
        <v>2470</v>
      </c>
      <c r="S13" s="673" t="s">
        <v>2471</v>
      </c>
    </row>
    <row r="14" spans="1:19">
      <c r="A14" s="5" t="s">
        <v>2456</v>
      </c>
      <c r="B14" s="537">
        <f>+B13+40</f>
        <v>1231.2</v>
      </c>
      <c r="C14" s="5" t="s">
        <v>2360</v>
      </c>
      <c r="D14" s="5"/>
      <c r="E14" s="8">
        <v>36</v>
      </c>
      <c r="F14" s="5" t="s">
        <v>2362</v>
      </c>
      <c r="G14" s="30"/>
      <c r="I14" s="586"/>
      <c r="J14" s="586"/>
      <c r="K14" s="586">
        <f>SUM(B14*E14*$K$6)</f>
        <v>310262.40000000002</v>
      </c>
      <c r="L14" s="586"/>
      <c r="M14" s="586">
        <f t="shared" si="0"/>
        <v>310262.40000000002</v>
      </c>
      <c r="N14" s="480"/>
      <c r="P14" s="587"/>
    </row>
    <row r="15" spans="1:19">
      <c r="A15" s="5" t="s">
        <v>2472</v>
      </c>
      <c r="B15" s="537">
        <f>B13*75%</f>
        <v>893.40000000000009</v>
      </c>
      <c r="C15" s="5" t="s">
        <v>2360</v>
      </c>
      <c r="D15" s="5"/>
      <c r="E15" s="8">
        <v>16</v>
      </c>
      <c r="F15" s="5" t="s">
        <v>2362</v>
      </c>
      <c r="G15" s="30"/>
      <c r="I15" s="586"/>
      <c r="J15" s="586"/>
      <c r="K15" s="586"/>
      <c r="L15" s="586">
        <f>SUM(B15*E15*$L$6)</f>
        <v>14294.400000000001</v>
      </c>
      <c r="M15" s="586">
        <f>SUM(J15:L15)</f>
        <v>14294.400000000001</v>
      </c>
      <c r="N15" s="587"/>
    </row>
    <row r="16" spans="1:19">
      <c r="A16" s="5" t="s">
        <v>2472</v>
      </c>
      <c r="B16" s="537">
        <f>B14*75%</f>
        <v>923.40000000000009</v>
      </c>
      <c r="C16" s="5" t="s">
        <v>2360</v>
      </c>
      <c r="D16" s="5"/>
      <c r="E16" s="8">
        <v>32</v>
      </c>
      <c r="F16" s="5" t="s">
        <v>2362</v>
      </c>
      <c r="G16" s="30"/>
      <c r="I16" s="586"/>
      <c r="J16" s="586"/>
      <c r="K16" s="586"/>
      <c r="L16" s="586">
        <f>SUM(B16*E16*$L$6)</f>
        <v>29548.800000000003</v>
      </c>
      <c r="M16" s="586">
        <f>SUM(J16:L16)</f>
        <v>29548.800000000003</v>
      </c>
      <c r="P16" s="343" t="s">
        <v>2473</v>
      </c>
    </row>
    <row r="17" spans="1:20">
      <c r="A17" s="5" t="s">
        <v>3198</v>
      </c>
      <c r="B17" s="537">
        <f>B14*85%</f>
        <v>1046.52</v>
      </c>
      <c r="C17" s="5" t="s">
        <v>2360</v>
      </c>
      <c r="D17" s="5"/>
      <c r="E17" s="8">
        <v>4</v>
      </c>
      <c r="F17" s="5" t="s">
        <v>2362</v>
      </c>
      <c r="G17" s="30"/>
      <c r="I17" s="586"/>
      <c r="J17" s="586"/>
      <c r="K17" s="586"/>
      <c r="L17" s="586">
        <f>SUM(B17*E17*$L$6)</f>
        <v>4186.08</v>
      </c>
      <c r="M17" s="586">
        <f>SUM(J17:L17)</f>
        <v>4186.08</v>
      </c>
    </row>
    <row r="18" spans="1:20">
      <c r="A18" s="5"/>
      <c r="B18" s="5"/>
      <c r="C18" s="5"/>
      <c r="D18" s="5"/>
      <c r="E18" s="5"/>
      <c r="F18" s="589" t="s">
        <v>2474</v>
      </c>
      <c r="I18" s="826">
        <f>SUM(I7:I17)</f>
        <v>125619.228</v>
      </c>
      <c r="J18" s="826">
        <f>SUM(J7:J17)</f>
        <v>211204.8</v>
      </c>
      <c r="K18" s="826">
        <f>SUM(K7:K17)</f>
        <v>443676.80000000005</v>
      </c>
      <c r="L18" s="826">
        <f>SUM(L7:L17)</f>
        <v>48029.280000000006</v>
      </c>
      <c r="M18" s="826">
        <f>SUM(M7:M17)</f>
        <v>759368.96000000008</v>
      </c>
      <c r="P18" s="297" t="s">
        <v>2475</v>
      </c>
    </row>
    <row r="19" spans="1:20">
      <c r="B19" s="5"/>
      <c r="C19" s="5"/>
      <c r="D19" s="5"/>
      <c r="E19" s="5"/>
      <c r="F19" s="5"/>
      <c r="G19" s="5"/>
      <c r="I19" s="9"/>
      <c r="J19" s="9"/>
      <c r="K19" s="9"/>
      <c r="L19" s="9"/>
      <c r="M19" s="9"/>
      <c r="N19" s="398"/>
      <c r="P19" s="297" t="s">
        <v>2476</v>
      </c>
      <c r="R19" s="343" t="s">
        <v>3199</v>
      </c>
    </row>
    <row r="20" spans="1:20" ht="18">
      <c r="A20" s="5" t="s">
        <v>2477</v>
      </c>
      <c r="B20" s="5"/>
      <c r="C20" s="5"/>
      <c r="D20" s="5"/>
      <c r="E20" s="5"/>
      <c r="F20" s="5"/>
      <c r="G20" s="591"/>
      <c r="I20" s="592"/>
      <c r="J20" s="592"/>
      <c r="K20" s="9"/>
      <c r="L20" s="9"/>
      <c r="M20" s="9"/>
      <c r="O20" s="297" t="s">
        <v>2478</v>
      </c>
      <c r="P20" s="297" t="s">
        <v>2479</v>
      </c>
      <c r="R20" s="343" t="s">
        <v>3200</v>
      </c>
    </row>
    <row r="21" spans="1:20" ht="18">
      <c r="A21" s="5" t="s">
        <v>2480</v>
      </c>
      <c r="B21" s="5"/>
      <c r="C21" s="5"/>
      <c r="D21" s="5"/>
      <c r="E21" s="5"/>
      <c r="F21" s="5"/>
      <c r="H21" s="593">
        <f>59/52</f>
        <v>1.1346153846153846</v>
      </c>
      <c r="I21" s="594">
        <f>+I18*$H$21</f>
        <v>142529.50869230769</v>
      </c>
      <c r="J21" s="594">
        <f>+J18*$H$21</f>
        <v>239636.21538461535</v>
      </c>
      <c r="K21" s="594">
        <f>+K18*$H$21</f>
        <v>503402.5230769231</v>
      </c>
      <c r="L21" s="594">
        <f>+L18*$H$21</f>
        <v>54494.76</v>
      </c>
      <c r="M21" s="594">
        <f>SUM(I21:L21)</f>
        <v>940063.00715384609</v>
      </c>
      <c r="O21" s="375">
        <f>M21-M18</f>
        <v>180694.04715384601</v>
      </c>
      <c r="P21" s="343"/>
    </row>
    <row r="22" spans="1:20">
      <c r="A22" s="5" t="s">
        <v>785</v>
      </c>
      <c r="B22" s="5"/>
      <c r="C22" s="5"/>
      <c r="D22" s="5"/>
      <c r="E22" s="8"/>
      <c r="F22" s="5"/>
      <c r="G22" s="5"/>
      <c r="I22" s="685">
        <v>15000</v>
      </c>
      <c r="J22" s="685">
        <f>3000*3</f>
        <v>9000</v>
      </c>
      <c r="K22" s="685">
        <f>1800*K6</f>
        <v>12600</v>
      </c>
      <c r="L22" s="685">
        <f>1600*L6</f>
        <v>1600</v>
      </c>
      <c r="M22" s="594">
        <f>SUM(I22:L22)</f>
        <v>38200</v>
      </c>
    </row>
    <row r="23" spans="1:20" ht="17.25" customHeight="1">
      <c r="A23" s="5"/>
      <c r="B23" s="5" t="s">
        <v>2389</v>
      </c>
      <c r="C23" s="5"/>
      <c r="D23" s="5"/>
      <c r="E23" s="5"/>
      <c r="F23" s="5"/>
      <c r="G23" s="5"/>
      <c r="I23" s="826">
        <f>SUM(I21:I22)</f>
        <v>157529.50869230769</v>
      </c>
      <c r="J23" s="826">
        <f>SUM(J21:J22)</f>
        <v>248636.21538461535</v>
      </c>
      <c r="K23" s="826">
        <f>SUM(K21:K22)</f>
        <v>516002.5230769231</v>
      </c>
      <c r="L23" s="826">
        <f>SUM(L21:L22)</f>
        <v>56094.76</v>
      </c>
      <c r="M23" s="826">
        <f>SUM(M21:M22)</f>
        <v>978263.00715384609</v>
      </c>
      <c r="P23" s="590"/>
    </row>
    <row r="24" spans="1:20">
      <c r="A24" s="582" t="s">
        <v>2390</v>
      </c>
      <c r="B24" s="5"/>
      <c r="C24" s="5"/>
      <c r="D24" s="5"/>
      <c r="E24" s="5"/>
      <c r="F24" s="5"/>
      <c r="G24" s="5"/>
      <c r="I24" s="9"/>
      <c r="J24" s="9"/>
      <c r="K24" s="9"/>
      <c r="L24" s="9"/>
      <c r="M24" s="9"/>
      <c r="P24" s="343"/>
    </row>
    <row r="25" spans="1:20">
      <c r="A25" s="5" t="s">
        <v>2391</v>
      </c>
      <c r="B25" s="5"/>
      <c r="C25" s="11">
        <v>7.6499999999999999E-2</v>
      </c>
      <c r="D25" s="595" t="s">
        <v>3197</v>
      </c>
      <c r="E25" s="5"/>
      <c r="F25" s="5"/>
      <c r="G25" s="5"/>
      <c r="I25" s="585">
        <f>+I23*$C$25</f>
        <v>12051.007414961538</v>
      </c>
      <c r="J25" s="585">
        <f>+J23*$C$25</f>
        <v>19020.670476923075</v>
      </c>
      <c r="K25" s="585">
        <f>+K23*$C$25</f>
        <v>39474.193015384619</v>
      </c>
      <c r="L25" s="585">
        <f>+L23*$C$25</f>
        <v>4291.2491399999999</v>
      </c>
      <c r="M25" s="585">
        <f>SUM(I25:L25)</f>
        <v>74837.120047269229</v>
      </c>
    </row>
    <row r="26" spans="1:20">
      <c r="A26" s="5" t="s">
        <v>2392</v>
      </c>
      <c r="B26" s="11">
        <v>2.0250000000000001E-2</v>
      </c>
      <c r="C26" s="12" t="s">
        <v>2393</v>
      </c>
      <c r="D26" s="5"/>
      <c r="E26" s="19">
        <v>12000</v>
      </c>
      <c r="F26" s="5"/>
      <c r="G26" s="5"/>
      <c r="I26" s="586">
        <f>+$B$26*$E$26*I6</f>
        <v>243</v>
      </c>
      <c r="J26" s="586">
        <f>+$B$26*$E$26*J6</f>
        <v>729</v>
      </c>
      <c r="K26" s="586">
        <f>+$B$26*$E$26*K6</f>
        <v>1701</v>
      </c>
      <c r="L26" s="586">
        <f>+$B$26*$E$26*L6</f>
        <v>243</v>
      </c>
      <c r="M26" s="586">
        <f t="shared" ref="M26:M31" si="2">SUM(I26:L26)</f>
        <v>2916</v>
      </c>
      <c r="N26" s="375"/>
    </row>
    <row r="27" spans="1:20">
      <c r="A27" s="5" t="s">
        <v>2394</v>
      </c>
      <c r="B27" s="11">
        <v>6.0000000000000001E-3</v>
      </c>
      <c r="C27" s="12" t="s">
        <v>2393</v>
      </c>
      <c r="D27" s="5"/>
      <c r="E27" s="19">
        <v>7000</v>
      </c>
      <c r="F27" s="5"/>
      <c r="G27" s="5"/>
      <c r="I27" s="586">
        <f>+$E$27*$B$27*I6</f>
        <v>42</v>
      </c>
      <c r="J27" s="586">
        <f>+$E$27*$B$27*J6</f>
        <v>126</v>
      </c>
      <c r="K27" s="586">
        <f>+$E$27*$B$27*K6</f>
        <v>294</v>
      </c>
      <c r="L27" s="586">
        <f>+$E$27*$B$27*L6</f>
        <v>42</v>
      </c>
      <c r="M27" s="586">
        <f t="shared" si="2"/>
        <v>504</v>
      </c>
    </row>
    <row r="28" spans="1:20">
      <c r="A28" s="5" t="s">
        <v>2395</v>
      </c>
      <c r="B28" s="11">
        <v>3.3999999999999998E-3</v>
      </c>
      <c r="C28" s="12" t="s">
        <v>2481</v>
      </c>
      <c r="D28" s="5"/>
      <c r="E28" s="19"/>
      <c r="F28" s="5"/>
      <c r="G28" s="6"/>
      <c r="I28" s="586">
        <f>I23*$B$28</f>
        <v>535.60032955384611</v>
      </c>
      <c r="J28" s="586">
        <f>J23*$B$28</f>
        <v>845.36313230769213</v>
      </c>
      <c r="K28" s="586">
        <f>K23*$B$28</f>
        <v>1754.4085784615384</v>
      </c>
      <c r="L28" s="586">
        <f>L23*$B$28</f>
        <v>190.722184</v>
      </c>
      <c r="M28" s="586">
        <f t="shared" si="2"/>
        <v>3326.0942243230766</v>
      </c>
      <c r="R28" s="343"/>
      <c r="T28" s="587"/>
    </row>
    <row r="29" spans="1:20">
      <c r="A29" s="5" t="s">
        <v>2397</v>
      </c>
      <c r="B29" s="5"/>
      <c r="C29" s="41">
        <v>45</v>
      </c>
      <c r="D29" s="5" t="s">
        <v>2398</v>
      </c>
      <c r="E29" s="5"/>
      <c r="F29" s="5"/>
      <c r="G29" s="5"/>
      <c r="I29" s="586">
        <f>+C29*I6</f>
        <v>45</v>
      </c>
      <c r="J29" s="586">
        <f>+C29*J6</f>
        <v>135</v>
      </c>
      <c r="K29" s="586">
        <f>+C29*K6</f>
        <v>315</v>
      </c>
      <c r="L29" s="586">
        <f>+C29*L6</f>
        <v>45</v>
      </c>
      <c r="M29" s="586">
        <f t="shared" si="2"/>
        <v>540</v>
      </c>
    </row>
    <row r="30" spans="1:20">
      <c r="A30" s="5" t="s">
        <v>2482</v>
      </c>
      <c r="B30" s="11">
        <v>4.5500000000000002E-3</v>
      </c>
      <c r="C30" s="41" t="s">
        <v>2481</v>
      </c>
      <c r="D30" s="5"/>
      <c r="E30" s="5"/>
      <c r="F30" s="5"/>
      <c r="G30" s="5"/>
      <c r="I30" s="586">
        <f>I23*$B$30</f>
        <v>716.75926455000001</v>
      </c>
      <c r="J30" s="586">
        <f>J23*$B$30</f>
        <v>1131.2947799999999</v>
      </c>
      <c r="K30" s="586">
        <f>K23*$B$30</f>
        <v>2347.8114800000003</v>
      </c>
      <c r="L30" s="586">
        <f>L23*$B$30</f>
        <v>255.23115800000002</v>
      </c>
      <c r="M30" s="586">
        <f t="shared" si="2"/>
        <v>4451.09668255</v>
      </c>
      <c r="Q30" s="354"/>
    </row>
    <row r="31" spans="1:20">
      <c r="A31" s="5" t="s">
        <v>2399</v>
      </c>
      <c r="B31" s="11">
        <v>0.05</v>
      </c>
      <c r="C31" s="5" t="s">
        <v>2400</v>
      </c>
      <c r="D31" s="5"/>
      <c r="E31" s="5"/>
      <c r="F31" s="5"/>
      <c r="G31" s="5"/>
      <c r="I31" s="586">
        <f>+$B$31*I23</f>
        <v>7876.475434615385</v>
      </c>
      <c r="J31" s="586">
        <f>+$B$31*J23</f>
        <v>12431.810769230768</v>
      </c>
      <c r="K31" s="586">
        <f>+$B$31*K23</f>
        <v>25800.126153846155</v>
      </c>
      <c r="L31" s="586">
        <f>+$B$31*L23</f>
        <v>2804.7380000000003</v>
      </c>
      <c r="M31" s="586">
        <f t="shared" si="2"/>
        <v>48913.150357692306</v>
      </c>
      <c r="Q31" s="354"/>
    </row>
    <row r="32" spans="1:20">
      <c r="A32" s="5"/>
      <c r="B32" s="11"/>
      <c r="C32" s="5"/>
      <c r="D32" s="5"/>
      <c r="E32" s="5"/>
      <c r="F32" s="5"/>
      <c r="G32" s="5"/>
      <c r="I32" s="586"/>
      <c r="J32" s="586"/>
      <c r="K32" s="586"/>
      <c r="L32" s="586"/>
      <c r="M32" s="586"/>
      <c r="Q32" s="343"/>
    </row>
    <row r="33" spans="1:17">
      <c r="A33" s="582" t="s">
        <v>2483</v>
      </c>
      <c r="B33" s="11"/>
      <c r="C33" s="5"/>
      <c r="D33" s="5"/>
      <c r="E33" s="5"/>
      <c r="F33" s="5"/>
      <c r="G33" s="5"/>
      <c r="I33" s="586"/>
      <c r="J33" s="586"/>
      <c r="K33" s="586"/>
      <c r="L33" s="586"/>
      <c r="M33" s="586"/>
      <c r="Q33" s="588"/>
    </row>
    <row r="34" spans="1:17">
      <c r="A34" s="5" t="s">
        <v>2484</v>
      </c>
      <c r="B34" s="11"/>
      <c r="C34" s="5"/>
      <c r="D34" s="5"/>
      <c r="E34" s="585">
        <f>(283.85*10%)+283.85</f>
        <v>312.23500000000001</v>
      </c>
      <c r="F34" s="5" t="s">
        <v>2485</v>
      </c>
      <c r="G34" s="5"/>
      <c r="I34" s="586">
        <f>+E34*12</f>
        <v>3746.82</v>
      </c>
      <c r="J34" s="586">
        <v>0</v>
      </c>
      <c r="K34" s="586">
        <v>0</v>
      </c>
      <c r="L34" s="586">
        <v>0</v>
      </c>
      <c r="M34" s="586">
        <f>SUM(I34:K34)</f>
        <v>3746.82</v>
      </c>
      <c r="Q34" s="354"/>
    </row>
    <row r="35" spans="1:17">
      <c r="A35" s="5"/>
      <c r="B35" s="11"/>
      <c r="C35" s="5"/>
      <c r="D35" s="5"/>
      <c r="E35" s="585">
        <f>(3289.72*10%)+3289.72</f>
        <v>3618.692</v>
      </c>
      <c r="F35" s="5" t="s">
        <v>2485</v>
      </c>
      <c r="G35" s="5"/>
      <c r="I35" s="586">
        <f>+E35*12</f>
        <v>43424.304000000004</v>
      </c>
      <c r="J35" s="586">
        <v>0</v>
      </c>
      <c r="K35" s="586">
        <v>0</v>
      </c>
      <c r="L35" s="586">
        <v>0</v>
      </c>
      <c r="M35" s="586">
        <f>SUM(I35:K35)</f>
        <v>43424.304000000004</v>
      </c>
      <c r="N35" s="456"/>
    </row>
    <row r="36" spans="1:17" ht="12" customHeight="1">
      <c r="A36" s="582" t="s">
        <v>2486</v>
      </c>
      <c r="C36" s="596"/>
      <c r="D36" s="5"/>
      <c r="E36" s="54"/>
      <c r="G36" s="5"/>
      <c r="I36" s="586"/>
      <c r="J36" s="586"/>
      <c r="K36" s="586"/>
      <c r="L36" s="586"/>
      <c r="M36" s="586"/>
    </row>
    <row r="37" spans="1:17">
      <c r="A37" s="5" t="s">
        <v>2484</v>
      </c>
      <c r="C37" s="597"/>
      <c r="E37" s="585">
        <f>2113*12</f>
        <v>25356</v>
      </c>
      <c r="F37" s="598" t="s">
        <v>2487</v>
      </c>
      <c r="G37" s="5"/>
      <c r="I37" s="586">
        <v>0</v>
      </c>
      <c r="J37" s="586">
        <f>+$E$37*J6</f>
        <v>76068</v>
      </c>
      <c r="K37" s="586">
        <f>+$E$37*K6</f>
        <v>177492</v>
      </c>
      <c r="L37" s="586">
        <f>+$E$37*L6</f>
        <v>25356</v>
      </c>
      <c r="M37" s="586">
        <f>SUM(I37:L37)</f>
        <v>278916</v>
      </c>
    </row>
    <row r="38" spans="1:17" ht="15.75" customHeight="1">
      <c r="A38" s="5" t="s">
        <v>2488</v>
      </c>
      <c r="B38" s="40"/>
      <c r="C38" s="599"/>
      <c r="E38" s="585">
        <f>143*52</f>
        <v>7436</v>
      </c>
      <c r="F38" s="598" t="s">
        <v>2487</v>
      </c>
      <c r="G38" s="5"/>
      <c r="I38" s="586">
        <v>0</v>
      </c>
      <c r="J38" s="586">
        <f>$E$38*J6</f>
        <v>22308</v>
      </c>
      <c r="K38" s="586">
        <f>$E$38*K6</f>
        <v>52052</v>
      </c>
      <c r="L38" s="586">
        <f>E38*L6</f>
        <v>7436</v>
      </c>
      <c r="M38" s="586">
        <f t="shared" ref="M38:M42" si="3">SUM(I38:L38)</f>
        <v>81796</v>
      </c>
    </row>
    <row r="39" spans="1:17" ht="16.5" customHeight="1">
      <c r="A39" s="5" t="s">
        <v>2406</v>
      </c>
      <c r="B39" s="40"/>
      <c r="C39" s="599"/>
      <c r="E39" s="585">
        <f>10*52</f>
        <v>520</v>
      </c>
      <c r="F39" s="598" t="s">
        <v>2487</v>
      </c>
      <c r="G39" s="5"/>
      <c r="I39" s="586">
        <v>0</v>
      </c>
      <c r="J39" s="586">
        <f>$E$39*J6</f>
        <v>1560</v>
      </c>
      <c r="K39" s="586">
        <f>($E$39*7)+(10*43)</f>
        <v>4070</v>
      </c>
      <c r="L39" s="586">
        <f>E39*L6</f>
        <v>520</v>
      </c>
      <c r="M39" s="586">
        <f t="shared" si="3"/>
        <v>6150</v>
      </c>
      <c r="P39" s="673"/>
    </row>
    <row r="40" spans="1:17">
      <c r="A40" s="5" t="s">
        <v>2489</v>
      </c>
      <c r="B40" s="40"/>
      <c r="C40" s="599"/>
      <c r="E40" s="585">
        <f>+E39</f>
        <v>520</v>
      </c>
      <c r="F40" s="598" t="s">
        <v>2487</v>
      </c>
      <c r="G40" s="5"/>
      <c r="I40" s="586">
        <v>0</v>
      </c>
      <c r="J40" s="586">
        <v>0</v>
      </c>
      <c r="K40" s="586">
        <f>+E40*3</f>
        <v>1560</v>
      </c>
      <c r="L40" s="586">
        <v>0</v>
      </c>
      <c r="M40" s="586">
        <f t="shared" si="3"/>
        <v>1560</v>
      </c>
      <c r="P40" s="673"/>
    </row>
    <row r="41" spans="1:17" ht="13.5" customHeight="1">
      <c r="A41" s="5" t="s">
        <v>2490</v>
      </c>
      <c r="B41" s="40"/>
      <c r="C41" s="599"/>
      <c r="E41" s="585">
        <v>199</v>
      </c>
      <c r="F41" s="598" t="s">
        <v>2487</v>
      </c>
      <c r="G41" s="5"/>
      <c r="I41" s="586">
        <v>0</v>
      </c>
      <c r="J41" s="586">
        <f>+$E$41*J6</f>
        <v>597</v>
      </c>
      <c r="K41" s="586">
        <f>+$E$41*K6</f>
        <v>1393</v>
      </c>
      <c r="L41" s="586">
        <f>+$E$41*L6</f>
        <v>199</v>
      </c>
      <c r="M41" s="586">
        <f t="shared" si="3"/>
        <v>2189</v>
      </c>
      <c r="P41" s="343"/>
    </row>
    <row r="42" spans="1:17">
      <c r="A42" s="5" t="s">
        <v>2491</v>
      </c>
      <c r="B42" s="40"/>
      <c r="C42" s="599"/>
      <c r="E42" s="585">
        <f>14.13*12</f>
        <v>169.56</v>
      </c>
      <c r="F42" s="598" t="s">
        <v>2487</v>
      </c>
      <c r="G42" s="5"/>
      <c r="I42" s="586">
        <v>0</v>
      </c>
      <c r="J42" s="586">
        <f>+$E$42*J6</f>
        <v>508.68</v>
      </c>
      <c r="K42" s="586">
        <f>+$E$42*K6</f>
        <v>1186.92</v>
      </c>
      <c r="L42" s="586">
        <f>+$E$42*L6</f>
        <v>169.56</v>
      </c>
      <c r="M42" s="586">
        <f t="shared" si="3"/>
        <v>1865.16</v>
      </c>
    </row>
    <row r="43" spans="1:17" ht="12" customHeight="1">
      <c r="A43" s="600"/>
      <c r="C43" s="343"/>
      <c r="D43" s="11"/>
      <c r="I43" s="586"/>
      <c r="J43" s="586"/>
      <c r="K43" s="586"/>
      <c r="L43" s="586"/>
      <c r="M43" s="586"/>
      <c r="O43" s="456"/>
    </row>
    <row r="44" spans="1:17">
      <c r="A44" s="58"/>
      <c r="B44" s="5" t="s">
        <v>2492</v>
      </c>
      <c r="C44" s="5"/>
      <c r="D44" s="5"/>
      <c r="E44" s="5"/>
      <c r="F44" s="5"/>
      <c r="G44" s="5"/>
      <c r="I44" s="827">
        <f t="shared" ref="I44:M44" si="4">SUM(I25:I42)</f>
        <v>68680.96644368078</v>
      </c>
      <c r="J44" s="827">
        <f t="shared" si="4"/>
        <v>135460.81915846153</v>
      </c>
      <c r="K44" s="827">
        <f t="shared" si="4"/>
        <v>309440.45922769228</v>
      </c>
      <c r="L44" s="827">
        <f t="shared" si="4"/>
        <v>41552.500481999996</v>
      </c>
      <c r="M44" s="827">
        <f t="shared" si="4"/>
        <v>555134.74531183462</v>
      </c>
      <c r="N44" s="542"/>
      <c r="O44" s="343"/>
    </row>
    <row r="45" spans="1:17">
      <c r="B45" s="5"/>
      <c r="C45" s="5"/>
      <c r="D45" s="5"/>
      <c r="E45" s="5"/>
      <c r="F45" s="5"/>
      <c r="G45" s="5"/>
      <c r="I45" s="19"/>
      <c r="J45" s="19"/>
      <c r="K45" s="19"/>
      <c r="L45" s="19"/>
    </row>
    <row r="46" spans="1:17" hidden="1">
      <c r="A46" s="5" t="s">
        <v>2413</v>
      </c>
      <c r="B46" s="5">
        <v>0</v>
      </c>
      <c r="C46" s="22" t="s">
        <v>2414</v>
      </c>
      <c r="D46" s="21">
        <v>0</v>
      </c>
      <c r="E46" s="5">
        <v>0</v>
      </c>
      <c r="F46" s="5" t="s">
        <v>2415</v>
      </c>
      <c r="G46" s="5"/>
      <c r="I46" s="19">
        <v>0</v>
      </c>
      <c r="J46" s="19">
        <v>0</v>
      </c>
      <c r="K46" s="19">
        <v>0</v>
      </c>
      <c r="L46" s="19"/>
    </row>
    <row r="47" spans="1:17" ht="16.5" customHeight="1" thickBot="1">
      <c r="A47" s="5"/>
      <c r="B47" s="5" t="s">
        <v>2416</v>
      </c>
      <c r="C47" s="5"/>
      <c r="D47" s="5"/>
      <c r="E47" s="5"/>
      <c r="F47" s="5"/>
      <c r="G47" s="5"/>
      <c r="I47" s="828">
        <f t="shared" ref="I47:M47" si="5">+I23+I44</f>
        <v>226210.47513598847</v>
      </c>
      <c r="J47" s="828">
        <f t="shared" si="5"/>
        <v>384097.03454307688</v>
      </c>
      <c r="K47" s="828">
        <f t="shared" si="5"/>
        <v>825442.98230461543</v>
      </c>
      <c r="L47" s="828">
        <f t="shared" si="5"/>
        <v>97647.260481999998</v>
      </c>
      <c r="M47" s="828">
        <f t="shared" si="5"/>
        <v>1533397.7524656807</v>
      </c>
    </row>
    <row r="48" spans="1:17" ht="15" customHeight="1" thickTop="1">
      <c r="B48" s="5"/>
      <c r="C48" s="5"/>
      <c r="D48" s="5"/>
      <c r="E48" s="5"/>
      <c r="F48" s="601" t="s">
        <v>2493</v>
      </c>
      <c r="I48" s="585">
        <f>I47/I6</f>
        <v>226210.47513598847</v>
      </c>
      <c r="J48" s="585">
        <f>J47/J6</f>
        <v>128032.34484769229</v>
      </c>
      <c r="K48" s="585">
        <f>K47/K6</f>
        <v>117920.42604351649</v>
      </c>
      <c r="L48" s="585">
        <f>L47/L6</f>
        <v>97647.260481999998</v>
      </c>
      <c r="M48" s="585"/>
      <c r="N48" s="537"/>
    </row>
    <row r="49" spans="1:17" ht="19.5" customHeight="1">
      <c r="A49" s="6"/>
      <c r="B49" s="5"/>
      <c r="C49" s="5"/>
      <c r="D49" s="5"/>
      <c r="E49" s="5"/>
      <c r="F49" s="5"/>
      <c r="G49" s="5"/>
      <c r="H49" s="19"/>
      <c r="I49" s="19"/>
      <c r="J49" s="19"/>
      <c r="K49" s="19"/>
      <c r="L49" s="19"/>
      <c r="M49" s="19"/>
      <c r="N49" s="19"/>
      <c r="O49" s="19"/>
    </row>
    <row r="50" spans="1:17" ht="14.25" customHeight="1">
      <c r="A50" s="6"/>
      <c r="C50" s="5"/>
      <c r="E50" s="821" t="s">
        <v>2418</v>
      </c>
      <c r="F50" s="787"/>
      <c r="G50" s="789"/>
      <c r="H50" s="891">
        <f>+yrlycomp!H7</f>
        <v>2025</v>
      </c>
      <c r="I50" s="891">
        <f>H50</f>
        <v>2025</v>
      </c>
      <c r="J50" s="891">
        <f>I50</f>
        <v>2025</v>
      </c>
      <c r="K50" s="891">
        <f>J50</f>
        <v>2025</v>
      </c>
      <c r="L50" s="891">
        <f>+K50+1</f>
        <v>2026</v>
      </c>
      <c r="M50" s="602"/>
    </row>
    <row r="51" spans="1:17">
      <c r="A51" s="59"/>
      <c r="B51" s="44"/>
      <c r="C51" s="44"/>
      <c r="E51" s="66"/>
      <c r="F51" s="67"/>
      <c r="G51" s="969"/>
      <c r="H51" s="893" t="s">
        <v>2494</v>
      </c>
      <c r="I51" s="893" t="s">
        <v>2306</v>
      </c>
      <c r="J51" s="893" t="s">
        <v>2307</v>
      </c>
      <c r="K51" s="893" t="s">
        <v>1494</v>
      </c>
      <c r="L51" s="893" t="s">
        <v>1494</v>
      </c>
      <c r="M51" s="13"/>
      <c r="O51" s="448" t="s">
        <v>2495</v>
      </c>
    </row>
    <row r="52" spans="1:17">
      <c r="A52" s="59"/>
      <c r="B52" s="44"/>
      <c r="C52" s="63"/>
      <c r="E52" s="603" t="s">
        <v>2184</v>
      </c>
      <c r="F52" s="604"/>
      <c r="G52" s="605"/>
      <c r="H52" s="892" t="s">
        <v>1496</v>
      </c>
      <c r="I52" s="892" t="s">
        <v>2422</v>
      </c>
      <c r="J52" s="892" t="s">
        <v>2310</v>
      </c>
      <c r="K52" s="892"/>
      <c r="L52" s="892"/>
      <c r="M52" s="13"/>
    </row>
    <row r="53" spans="1:17">
      <c r="A53" s="59"/>
      <c r="B53" s="44"/>
      <c r="C53" s="63"/>
      <c r="E53" s="606" t="s">
        <v>766</v>
      </c>
      <c r="F53" s="448" t="s">
        <v>767</v>
      </c>
      <c r="H53" s="829">
        <f>SUMIF('VLookup Data'!$A:$A,E53,'VLookup Data'!$E:$E)</f>
        <v>464474.23</v>
      </c>
      <c r="I53" s="829">
        <f>H53/8*4+4256</f>
        <v>236493.11499999999</v>
      </c>
      <c r="J53" s="829">
        <f>SUM(H53:I53)</f>
        <v>700967.34499999997</v>
      </c>
      <c r="K53" s="829">
        <v>802061.84000000008</v>
      </c>
      <c r="L53" s="830">
        <f>M18</f>
        <v>759368.96000000008</v>
      </c>
      <c r="M53" s="607"/>
      <c r="O53" s="297" t="s">
        <v>3224</v>
      </c>
      <c r="P53" s="297" t="s">
        <v>2496</v>
      </c>
    </row>
    <row r="54" spans="1:17">
      <c r="A54" s="59"/>
      <c r="B54" s="44"/>
      <c r="C54" s="63"/>
      <c r="D54" s="44"/>
      <c r="E54" s="606" t="s">
        <v>768</v>
      </c>
      <c r="F54" s="448" t="s">
        <v>769</v>
      </c>
      <c r="H54" s="385">
        <f>SUMIF('VLookup Data'!$A:$A,E54,'VLookup Data'!$E:$E)</f>
        <v>38888.879999999997</v>
      </c>
      <c r="I54" s="385">
        <f>H54/8*4</f>
        <v>19444.439999999999</v>
      </c>
      <c r="J54" s="385">
        <f t="shared" ref="J54:J76" si="6">SUM(H54:I54)</f>
        <v>58333.319999999992</v>
      </c>
      <c r="K54" s="385">
        <v>26138.390809499073</v>
      </c>
      <c r="L54" s="708">
        <f>+$O$21*P54</f>
        <v>46686.107820921403</v>
      </c>
      <c r="M54" s="608"/>
      <c r="O54" s="297">
        <v>54984.95</v>
      </c>
      <c r="P54" s="773">
        <f>O54/SUM($O$54:$O$60)</f>
        <v>0.25837103411144502</v>
      </c>
      <c r="Q54" s="297" t="s">
        <v>2497</v>
      </c>
    </row>
    <row r="55" spans="1:17">
      <c r="A55" s="6"/>
      <c r="B55" s="5"/>
      <c r="C55" s="5"/>
      <c r="D55" s="5"/>
      <c r="E55" s="606" t="s">
        <v>770</v>
      </c>
      <c r="F55" s="448" t="s">
        <v>771</v>
      </c>
      <c r="H55" s="385">
        <f>SUMIF('VLookup Data'!$A:$A,E55,'VLookup Data'!$E:$E)</f>
        <v>55459.56</v>
      </c>
      <c r="I55" s="385">
        <f>H55/8*2</f>
        <v>13864.89</v>
      </c>
      <c r="J55" s="385">
        <f>SUM(H55:I55)</f>
        <v>69324.45</v>
      </c>
      <c r="K55" s="385">
        <v>33015.768978779546</v>
      </c>
      <c r="L55" s="708">
        <f t="shared" ref="L55:L60" si="7">+$O$21*P55</f>
        <v>53046.572556021223</v>
      </c>
      <c r="M55" s="608"/>
      <c r="N55" s="19"/>
      <c r="O55" s="19">
        <v>62476.04</v>
      </c>
      <c r="P55" s="773">
        <f t="shared" ref="P55:P60" si="8">O55/SUM($O$54:$O$60)</f>
        <v>0.29357122379829403</v>
      </c>
      <c r="Q55" s="297" t="s">
        <v>2498</v>
      </c>
    </row>
    <row r="56" spans="1:17">
      <c r="A56" s="5"/>
      <c r="B56" s="5"/>
      <c r="C56" s="5"/>
      <c r="D56" s="5"/>
      <c r="E56" s="606" t="s">
        <v>772</v>
      </c>
      <c r="F56" s="448" t="s">
        <v>773</v>
      </c>
      <c r="H56" s="385">
        <f>SUMIF('VLookup Data'!$A:$A,E56,'VLookup Data'!$E:$E)</f>
        <v>15234.04</v>
      </c>
      <c r="I56" s="385">
        <f t="shared" ref="I56:I76" si="9">H56/8*4</f>
        <v>7617.02</v>
      </c>
      <c r="J56" s="385">
        <f t="shared" si="6"/>
        <v>22851.06</v>
      </c>
      <c r="K56" s="385">
        <v>14547.188681486628</v>
      </c>
      <c r="L56" s="708">
        <f t="shared" si="7"/>
        <v>24629.468132313425</v>
      </c>
      <c r="M56" s="608"/>
      <c r="N56" s="5"/>
      <c r="O56" s="297">
        <v>29007.56</v>
      </c>
      <c r="P56" s="773">
        <f t="shared" si="8"/>
        <v>0.13630481203037903</v>
      </c>
      <c r="Q56" s="297" t="s">
        <v>2499</v>
      </c>
    </row>
    <row r="57" spans="1:17">
      <c r="A57" s="5"/>
      <c r="B57" s="5"/>
      <c r="C57" s="5"/>
      <c r="D57" s="5"/>
      <c r="E57" s="606" t="s">
        <v>774</v>
      </c>
      <c r="F57" s="448" t="s">
        <v>775</v>
      </c>
      <c r="H57" s="385">
        <f>SUMIF('VLookup Data'!$A:$A,E57,'VLookup Data'!$E:$E)</f>
        <v>15065.04</v>
      </c>
      <c r="I57" s="385">
        <f t="shared" si="9"/>
        <v>7532.52</v>
      </c>
      <c r="J57" s="385">
        <f t="shared" si="6"/>
        <v>22597.56</v>
      </c>
      <c r="K57" s="385">
        <v>13874.31050772954</v>
      </c>
      <c r="L57" s="708">
        <f t="shared" si="7"/>
        <v>23641.591400089688</v>
      </c>
      <c r="M57" s="608"/>
      <c r="N57" s="5"/>
      <c r="O57" s="297">
        <v>27844.080000000002</v>
      </c>
      <c r="P57" s="773">
        <f t="shared" si="8"/>
        <v>0.13083768819434782</v>
      </c>
      <c r="Q57" s="297" t="s">
        <v>2500</v>
      </c>
    </row>
    <row r="58" spans="1:17">
      <c r="A58" s="5"/>
      <c r="B58" s="5"/>
      <c r="C58" s="5"/>
      <c r="D58" s="5"/>
      <c r="E58" s="606" t="s">
        <v>776</v>
      </c>
      <c r="F58" s="448" t="s">
        <v>777</v>
      </c>
      <c r="H58" s="385">
        <f>SUMIF('VLookup Data'!$A:$A,E58,'VLookup Data'!$E:$E)</f>
        <v>30446.68</v>
      </c>
      <c r="I58" s="385">
        <f>(H58-19996.68)/8*4</f>
        <v>5225</v>
      </c>
      <c r="J58" s="385">
        <f t="shared" si="6"/>
        <v>35671.68</v>
      </c>
      <c r="K58" s="385">
        <v>20359.895460868203</v>
      </c>
      <c r="L58" s="708">
        <f t="shared" si="7"/>
        <v>30289.644858649717</v>
      </c>
      <c r="M58" s="608"/>
      <c r="N58" s="5"/>
      <c r="O58" s="297">
        <v>35673.879999999997</v>
      </c>
      <c r="P58" s="773">
        <f t="shared" si="8"/>
        <v>0.1676294561760554</v>
      </c>
      <c r="Q58" s="297" t="s">
        <v>2501</v>
      </c>
    </row>
    <row r="59" spans="1:17">
      <c r="A59" s="5"/>
      <c r="B59" s="5"/>
      <c r="C59" s="5"/>
      <c r="D59" s="5"/>
      <c r="E59" s="606" t="s">
        <v>778</v>
      </c>
      <c r="F59" s="448" t="s">
        <v>779</v>
      </c>
      <c r="H59" s="385">
        <f>SUMIF('VLookup Data'!$A:$A,E59,'VLookup Data'!$E:$E)</f>
        <v>390</v>
      </c>
      <c r="I59" s="385">
        <f t="shared" si="9"/>
        <v>195</v>
      </c>
      <c r="J59" s="385">
        <f t="shared" si="6"/>
        <v>585</v>
      </c>
      <c r="K59" s="385">
        <v>34.308638559953557</v>
      </c>
      <c r="L59" s="708">
        <f t="shared" si="7"/>
        <v>445.76209682801823</v>
      </c>
      <c r="M59" s="608"/>
      <c r="N59" s="5"/>
      <c r="O59" s="297">
        <v>525</v>
      </c>
      <c r="P59" s="773">
        <f t="shared" si="8"/>
        <v>2.466944007560408E-3</v>
      </c>
      <c r="Q59" s="388" t="s">
        <v>2502</v>
      </c>
    </row>
    <row r="60" spans="1:17">
      <c r="A60" s="5"/>
      <c r="B60" s="5"/>
      <c r="C60" s="5"/>
      <c r="D60" s="5"/>
      <c r="E60" s="606" t="s">
        <v>782</v>
      </c>
      <c r="F60" s="448" t="s">
        <v>783</v>
      </c>
      <c r="H60" s="385">
        <f>SUMIF('VLookup Data'!$A:$A,E60,'VLookup Data'!$E:$E)</f>
        <v>2302.4</v>
      </c>
      <c r="I60" s="385">
        <f t="shared" si="9"/>
        <v>1151.2</v>
      </c>
      <c r="J60" s="385">
        <f t="shared" si="6"/>
        <v>3453.6000000000004</v>
      </c>
      <c r="K60" s="385">
        <v>0</v>
      </c>
      <c r="L60" s="708">
        <f t="shared" si="7"/>
        <v>1954.900289022532</v>
      </c>
      <c r="M60" s="608"/>
      <c r="N60" s="5"/>
      <c r="O60" s="297">
        <v>2302.4</v>
      </c>
      <c r="P60" s="773">
        <f t="shared" si="8"/>
        <v>1.0818841681918255E-2</v>
      </c>
      <c r="Q60" s="388" t="s">
        <v>2503</v>
      </c>
    </row>
    <row r="61" spans="1:17">
      <c r="A61" s="5"/>
      <c r="B61" s="5"/>
      <c r="C61" s="5"/>
      <c r="D61" s="5"/>
      <c r="E61" s="606" t="s">
        <v>784</v>
      </c>
      <c r="F61" s="448" t="s">
        <v>785</v>
      </c>
      <c r="H61" s="385">
        <f>SUMIF('VLookup Data'!$A:$A,E61,'VLookup Data'!$E:$E)</f>
        <v>1000</v>
      </c>
      <c r="I61" s="385">
        <f>M22</f>
        <v>38200</v>
      </c>
      <c r="J61" s="385">
        <f>SUM(H61:I61)</f>
        <v>39200</v>
      </c>
      <c r="K61" s="385">
        <v>34500</v>
      </c>
      <c r="L61" s="708">
        <f>M22</f>
        <v>38200</v>
      </c>
      <c r="M61" s="608"/>
      <c r="N61" s="5"/>
      <c r="O61" s="297">
        <f>SUM(O54:O60)</f>
        <v>212813.91</v>
      </c>
      <c r="Q61" s="388"/>
    </row>
    <row r="62" spans="1:17">
      <c r="A62" s="5"/>
      <c r="B62" s="5"/>
      <c r="C62" s="5"/>
      <c r="D62" s="5"/>
      <c r="E62" s="606" t="s">
        <v>766</v>
      </c>
      <c r="F62" s="448" t="s">
        <v>2504</v>
      </c>
      <c r="G62" s="412"/>
      <c r="H62" s="397">
        <f>SUM(H53:H61)</f>
        <v>623260.83000000007</v>
      </c>
      <c r="I62" s="397">
        <f>SUM(I53:I61)</f>
        <v>329723.18500000006</v>
      </c>
      <c r="J62" s="397">
        <f>SUM(J53:J61)</f>
        <v>952984.01500000001</v>
      </c>
      <c r="K62" s="397">
        <v>944531.70307692303</v>
      </c>
      <c r="L62" s="709">
        <f>+M23</f>
        <v>978263.00715384609</v>
      </c>
      <c r="M62" s="607"/>
      <c r="N62" s="5"/>
      <c r="Q62" s="388"/>
    </row>
    <row r="63" spans="1:17">
      <c r="A63" s="5"/>
      <c r="B63" s="5"/>
      <c r="C63" s="5"/>
      <c r="D63" s="5"/>
      <c r="E63" s="606" t="s">
        <v>796</v>
      </c>
      <c r="F63" s="448" t="s">
        <v>797</v>
      </c>
      <c r="H63" s="385">
        <f>SUMIF('VLookup Data'!$A:$A,E63,'VLookup Data'!$E:$E)+'VLookup Data'!E402</f>
        <v>52227.66</v>
      </c>
      <c r="I63" s="385">
        <f t="shared" si="9"/>
        <v>26113.83</v>
      </c>
      <c r="J63" s="385">
        <f t="shared" si="6"/>
        <v>78341.490000000005</v>
      </c>
      <c r="K63" s="385">
        <v>78888.083075846152</v>
      </c>
      <c r="L63" s="708">
        <f>+M25+M26+M27+M28</f>
        <v>81583.214271592311</v>
      </c>
      <c r="M63" s="608"/>
      <c r="N63" s="5"/>
      <c r="Q63" s="388"/>
    </row>
    <row r="64" spans="1:17" hidden="1">
      <c r="A64" s="5"/>
      <c r="B64" s="5"/>
      <c r="C64" s="5"/>
      <c r="D64" s="5"/>
      <c r="E64" s="606" t="s">
        <v>800</v>
      </c>
      <c r="F64" s="448" t="s">
        <v>2505</v>
      </c>
      <c r="H64" s="385">
        <v>0</v>
      </c>
      <c r="I64" s="385">
        <f t="shared" si="9"/>
        <v>0</v>
      </c>
      <c r="J64" s="385">
        <f t="shared" si="6"/>
        <v>0</v>
      </c>
      <c r="K64" s="385">
        <v>0</v>
      </c>
      <c r="L64" s="708">
        <v>0</v>
      </c>
      <c r="M64" s="608"/>
      <c r="N64" s="5"/>
      <c r="Q64" s="388"/>
    </row>
    <row r="65" spans="1:21" hidden="1">
      <c r="A65" s="5"/>
      <c r="B65" s="5"/>
      <c r="C65" s="5"/>
      <c r="D65" s="5"/>
      <c r="E65" s="606" t="s">
        <v>814</v>
      </c>
      <c r="F65" s="448" t="s">
        <v>815</v>
      </c>
      <c r="H65" s="385">
        <f>SUMIF('VLookup Data'!$A:$A,E65,'VLookup Data'!$E:$E)</f>
        <v>0</v>
      </c>
      <c r="I65" s="385">
        <f t="shared" si="9"/>
        <v>0</v>
      </c>
      <c r="J65" s="385">
        <f t="shared" si="6"/>
        <v>0</v>
      </c>
      <c r="K65" s="385">
        <v>0</v>
      </c>
      <c r="L65" s="708">
        <v>0</v>
      </c>
      <c r="M65" s="608"/>
      <c r="N65" s="5"/>
      <c r="Q65" s="388"/>
    </row>
    <row r="66" spans="1:21">
      <c r="A66" s="5"/>
      <c r="B66" s="5"/>
      <c r="C66" s="5"/>
      <c r="D66" s="5"/>
      <c r="E66" s="606" t="s">
        <v>804</v>
      </c>
      <c r="F66" s="448" t="s">
        <v>805</v>
      </c>
      <c r="H66" s="385">
        <f>'VLookup Data'!E404</f>
        <v>-1340</v>
      </c>
      <c r="I66" s="385">
        <v>1340</v>
      </c>
      <c r="J66" s="385">
        <v>0</v>
      </c>
      <c r="K66" s="385">
        <v>0</v>
      </c>
      <c r="L66" s="708">
        <v>0</v>
      </c>
      <c r="M66" s="608"/>
      <c r="N66" s="5"/>
      <c r="Q66" s="388"/>
    </row>
    <row r="67" spans="1:21">
      <c r="A67" s="5"/>
      <c r="B67" s="5"/>
      <c r="C67" s="5"/>
      <c r="D67" s="5"/>
      <c r="E67" s="606" t="s">
        <v>816</v>
      </c>
      <c r="F67" s="448" t="s">
        <v>817</v>
      </c>
      <c r="G67" s="412"/>
      <c r="H67" s="385">
        <f>SUMIF('VLookup Data'!$A:$A,E67,'VLookup Data'!$E:$E)</f>
        <v>28588.560000000001</v>
      </c>
      <c r="I67" s="385">
        <f t="shared" si="9"/>
        <v>14294.28</v>
      </c>
      <c r="J67" s="385">
        <f t="shared" si="6"/>
        <v>42882.840000000004</v>
      </c>
      <c r="K67" s="385">
        <v>49205.417999999998</v>
      </c>
      <c r="L67" s="708">
        <f>+M34+M35</f>
        <v>47171.124000000003</v>
      </c>
      <c r="M67" s="608"/>
      <c r="N67" s="5"/>
      <c r="Q67" s="388"/>
    </row>
    <row r="68" spans="1:21">
      <c r="A68" s="5"/>
      <c r="B68" s="5"/>
      <c r="C68" s="5"/>
      <c r="D68" s="5"/>
      <c r="E68" s="606" t="s">
        <v>822</v>
      </c>
      <c r="F68" s="448" t="s">
        <v>823</v>
      </c>
      <c r="H68" s="385">
        <f>SUMIF('VLookup Data'!$A:$A,E68,'VLookup Data'!$E:$E)</f>
        <v>51415</v>
      </c>
      <c r="I68" s="385">
        <f t="shared" si="9"/>
        <v>25707.5</v>
      </c>
      <c r="J68" s="385">
        <f t="shared" si="6"/>
        <v>77122.5</v>
      </c>
      <c r="K68" s="385">
        <v>78116.25</v>
      </c>
      <c r="L68" s="708">
        <f>+M38</f>
        <v>81796</v>
      </c>
      <c r="M68" s="608"/>
      <c r="N68" s="5"/>
      <c r="Q68" s="388"/>
    </row>
    <row r="69" spans="1:21">
      <c r="A69" s="5"/>
      <c r="B69" s="5"/>
      <c r="C69" s="5"/>
      <c r="D69" s="5"/>
      <c r="E69" s="606" t="s">
        <v>824</v>
      </c>
      <c r="F69" s="448" t="s">
        <v>825</v>
      </c>
      <c r="G69" s="412"/>
      <c r="H69" s="385">
        <f>SUMIF('VLookup Data'!$A:$A,E69,'VLookup Data'!$E:$E)</f>
        <v>179828</v>
      </c>
      <c r="I69" s="385">
        <f>22561*4</f>
        <v>90244</v>
      </c>
      <c r="J69" s="385">
        <f t="shared" si="6"/>
        <v>270072</v>
      </c>
      <c r="K69" s="385">
        <v>270732</v>
      </c>
      <c r="L69" s="708">
        <f>+M37</f>
        <v>278916</v>
      </c>
      <c r="M69" s="608"/>
      <c r="N69" s="5"/>
      <c r="Q69" s="3"/>
      <c r="R69" s="3"/>
      <c r="S69" s="3"/>
      <c r="U69" s="375"/>
    </row>
    <row r="70" spans="1:21">
      <c r="A70" s="5"/>
      <c r="B70" s="5"/>
      <c r="C70" s="5"/>
      <c r="D70" s="5"/>
      <c r="E70" s="606" t="s">
        <v>826</v>
      </c>
      <c r="F70" s="448" t="s">
        <v>827</v>
      </c>
      <c r="H70" s="385">
        <f>SUMIF('VLookup Data'!$A:$A,E70,'VLookup Data'!$E:$E)</f>
        <v>4550</v>
      </c>
      <c r="I70" s="385">
        <f>(520*3)+650</f>
        <v>2210</v>
      </c>
      <c r="J70" s="385">
        <f t="shared" si="6"/>
        <v>6760</v>
      </c>
      <c r="K70" s="385">
        <v>7190</v>
      </c>
      <c r="L70" s="708">
        <f>+M39+M40</f>
        <v>7710</v>
      </c>
      <c r="M70" s="608"/>
      <c r="N70" s="5"/>
      <c r="U70" s="611"/>
    </row>
    <row r="71" spans="1:21">
      <c r="A71" s="5"/>
      <c r="B71" s="5"/>
      <c r="C71" s="5"/>
      <c r="D71" s="5"/>
      <c r="E71" s="606" t="s">
        <v>828</v>
      </c>
      <c r="F71" s="448" t="s">
        <v>829</v>
      </c>
      <c r="H71" s="385">
        <f>SUMIF('VLookup Data'!$A:$A,E71,'VLookup Data'!$E:$E)</f>
        <v>1313.51</v>
      </c>
      <c r="I71" s="385">
        <f>182.93*4</f>
        <v>731.72</v>
      </c>
      <c r="J71" s="385">
        <f t="shared" si="6"/>
        <v>2045.23</v>
      </c>
      <c r="K71" s="385">
        <v>396</v>
      </c>
      <c r="L71" s="708">
        <f>+M41</f>
        <v>2189</v>
      </c>
      <c r="M71" s="608"/>
      <c r="N71" s="5"/>
    </row>
    <row r="72" spans="1:21">
      <c r="A72" s="5"/>
      <c r="B72" s="5"/>
      <c r="C72" s="5"/>
      <c r="D72" s="5"/>
      <c r="E72" s="606" t="s">
        <v>830</v>
      </c>
      <c r="F72" s="448" t="s">
        <v>831</v>
      </c>
      <c r="H72" s="385">
        <f>SUMIF('VLookup Data'!$A:$A,E72,'VLookup Data'!$E:$E)</f>
        <v>1243.44</v>
      </c>
      <c r="I72" s="385">
        <f>155.43*4</f>
        <v>621.72</v>
      </c>
      <c r="J72" s="385">
        <f t="shared" si="6"/>
        <v>1865.16</v>
      </c>
      <c r="K72" s="385">
        <v>1865.16</v>
      </c>
      <c r="L72" s="708">
        <f>+M42</f>
        <v>1865.16</v>
      </c>
      <c r="M72" s="608"/>
      <c r="N72" s="5"/>
      <c r="P72" s="3"/>
    </row>
    <row r="73" spans="1:21">
      <c r="A73" s="5"/>
      <c r="B73" s="5"/>
      <c r="C73" s="5"/>
      <c r="D73" s="5"/>
      <c r="E73" s="606" t="s">
        <v>836</v>
      </c>
      <c r="F73" s="448" t="s">
        <v>2506</v>
      </c>
      <c r="H73" s="385">
        <f>SUMIF('VLookup Data'!$A:$A,E73,'VLookup Data'!$E:$E)</f>
        <v>35572.36</v>
      </c>
      <c r="I73" s="385">
        <f>3817.92*4</f>
        <v>15271.68</v>
      </c>
      <c r="J73" s="385">
        <f t="shared" si="6"/>
        <v>50844.04</v>
      </c>
      <c r="K73" s="385">
        <v>47226.585153846157</v>
      </c>
      <c r="L73" s="708">
        <f>+M31</f>
        <v>48913.150357692306</v>
      </c>
      <c r="M73" s="608"/>
      <c r="N73" s="5"/>
      <c r="P73" s="343"/>
    </row>
    <row r="74" spans="1:21">
      <c r="A74" s="5"/>
      <c r="B74" s="5"/>
      <c r="C74" s="5"/>
      <c r="D74" s="5"/>
      <c r="E74" s="606" t="s">
        <v>838</v>
      </c>
      <c r="F74" s="448" t="s">
        <v>2507</v>
      </c>
      <c r="H74" s="385">
        <f>SUMIF('VLookup Data'!$A:$A,E74,'VLookup Data'!$E:$E)</f>
        <v>-8644.9</v>
      </c>
      <c r="I74" s="385">
        <v>0</v>
      </c>
      <c r="J74" s="385">
        <f t="shared" si="6"/>
        <v>-8644.9</v>
      </c>
      <c r="K74" s="385">
        <v>0</v>
      </c>
      <c r="L74" s="708">
        <v>0</v>
      </c>
      <c r="M74" s="608"/>
      <c r="N74" s="5"/>
    </row>
    <row r="75" spans="1:21">
      <c r="A75" s="5"/>
      <c r="B75" s="5"/>
      <c r="C75" s="5"/>
      <c r="D75" s="5"/>
      <c r="E75" s="606" t="s">
        <v>840</v>
      </c>
      <c r="F75" s="448" t="s">
        <v>841</v>
      </c>
      <c r="H75" s="385">
        <f>SUMIF('VLookup Data'!$A:$A,E75,'VLookup Data'!$E:$E)</f>
        <v>1326.2</v>
      </c>
      <c r="I75" s="385">
        <f t="shared" si="9"/>
        <v>663.1</v>
      </c>
      <c r="J75" s="385">
        <f t="shared" si="6"/>
        <v>1989.3000000000002</v>
      </c>
      <c r="K75" s="385">
        <v>4837.6192490000003</v>
      </c>
      <c r="L75" s="708">
        <f>+M29+M30</f>
        <v>4991.09668255</v>
      </c>
      <c r="M75" s="608"/>
      <c r="N75" s="5"/>
    </row>
    <row r="76" spans="1:21">
      <c r="A76" s="5"/>
      <c r="B76" s="5"/>
      <c r="C76" s="5"/>
      <c r="D76" s="5"/>
      <c r="E76" s="606" t="s">
        <v>846</v>
      </c>
      <c r="F76" s="448" t="s">
        <v>847</v>
      </c>
      <c r="H76" s="385">
        <f>SUMIF('VLookup Data'!$A:$A,E76,'VLookup Data'!$E:$E)</f>
        <v>4690.58</v>
      </c>
      <c r="I76" s="385">
        <f t="shared" si="9"/>
        <v>2345.29</v>
      </c>
      <c r="J76" s="385">
        <f t="shared" si="6"/>
        <v>7035.87</v>
      </c>
      <c r="K76" s="385">
        <v>5220.7129333333332</v>
      </c>
      <c r="L76" s="708">
        <f>+J76*1.03</f>
        <v>7246.9461000000001</v>
      </c>
      <c r="M76" s="608"/>
      <c r="N76" s="5"/>
    </row>
    <row r="77" spans="1:21" ht="17" thickBot="1">
      <c r="A77" s="5"/>
      <c r="B77" s="5"/>
      <c r="C77" s="5"/>
      <c r="D77" s="5"/>
      <c r="E77" s="612"/>
      <c r="F77" s="605"/>
      <c r="G77" s="613"/>
      <c r="H77" s="710">
        <f>SUM(H62:H76)</f>
        <v>974031.24</v>
      </c>
      <c r="I77" s="710">
        <f>SUM(I62:I76)</f>
        <v>509266.30499999999</v>
      </c>
      <c r="J77" s="710">
        <f>SUM(J62:J76)</f>
        <v>1483297.5450000002</v>
      </c>
      <c r="K77" s="710">
        <f>SUM(K62:K76)</f>
        <v>1488209.5314889485</v>
      </c>
      <c r="L77" s="711">
        <f>SUM(L62:L76)</f>
        <v>1540644.6985656805</v>
      </c>
      <c r="M77" s="607"/>
      <c r="N77" s="5"/>
    </row>
    <row r="78" spans="1:21" ht="17" thickTop="1">
      <c r="S78" s="375"/>
    </row>
    <row r="79" spans="1:21" ht="15" customHeight="1">
      <c r="S79" s="375"/>
    </row>
    <row r="80" spans="1:21">
      <c r="N80" s="343" t="s">
        <v>2510</v>
      </c>
      <c r="Q80" s="343"/>
    </row>
    <row r="81" spans="2:19" hidden="1">
      <c r="S81" s="375"/>
    </row>
    <row r="82" spans="2:19" hidden="1">
      <c r="E82" s="343" t="s">
        <v>2511</v>
      </c>
    </row>
    <row r="83" spans="2:19">
      <c r="P83" s="375"/>
    </row>
    <row r="84" spans="2:19">
      <c r="P84" s="870" t="s">
        <v>3147</v>
      </c>
      <c r="Q84" s="343"/>
    </row>
    <row r="85" spans="2:19">
      <c r="P85" s="415" t="s">
        <v>2508</v>
      </c>
      <c r="Q85" s="343"/>
    </row>
    <row r="86" spans="2:19">
      <c r="B86" s="456"/>
      <c r="P86" s="297" t="s">
        <v>2509</v>
      </c>
    </row>
    <row r="87" spans="2:19">
      <c r="Q87" s="656"/>
    </row>
    <row r="88" spans="2:19">
      <c r="Q88" s="343"/>
    </row>
    <row r="89" spans="2:19">
      <c r="Q89" s="343"/>
    </row>
    <row r="91" spans="2:19">
      <c r="E91" s="343"/>
    </row>
    <row r="93" spans="2:19">
      <c r="H93" s="5" t="s">
        <v>2512</v>
      </c>
    </row>
    <row r="95" spans="2:19">
      <c r="Q95" s="343"/>
    </row>
    <row r="96" spans="2:19">
      <c r="Q96" s="343"/>
    </row>
    <row r="97" spans="1:21">
      <c r="Q97" s="343"/>
    </row>
    <row r="99" spans="1:21">
      <c r="A99" s="467"/>
      <c r="B99" s="390"/>
    </row>
    <row r="100" spans="1:21">
      <c r="A100" s="614"/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  <c r="O100" s="615"/>
    </row>
    <row r="101" spans="1:21">
      <c r="B101" s="616"/>
      <c r="C101" s="616"/>
      <c r="D101" s="616"/>
      <c r="E101" s="616"/>
      <c r="F101" s="616"/>
      <c r="G101" s="616"/>
      <c r="H101" s="616"/>
      <c r="I101" s="616"/>
      <c r="J101" s="616"/>
      <c r="K101" s="616"/>
      <c r="L101" s="616"/>
      <c r="M101" s="616"/>
      <c r="N101" s="616"/>
      <c r="O101" s="616"/>
    </row>
    <row r="102" spans="1:21"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</row>
    <row r="103" spans="1:21">
      <c r="A103" s="618"/>
      <c r="B103" s="412"/>
      <c r="C103" s="412"/>
      <c r="D103" s="412"/>
      <c r="E103" s="412"/>
      <c r="F103" s="412"/>
      <c r="G103" s="412"/>
      <c r="H103" s="412"/>
      <c r="I103" s="412"/>
      <c r="J103" s="412"/>
      <c r="K103" s="412"/>
      <c r="L103" s="412"/>
      <c r="M103" s="412"/>
      <c r="N103" s="412"/>
      <c r="O103" s="412"/>
    </row>
    <row r="104" spans="1:21">
      <c r="A104" s="618"/>
      <c r="B104" s="412"/>
      <c r="C104" s="412"/>
      <c r="D104" s="412"/>
      <c r="E104" s="412"/>
      <c r="F104" s="412"/>
      <c r="G104" s="619"/>
      <c r="H104" s="412"/>
      <c r="I104" s="412"/>
      <c r="J104" s="412"/>
      <c r="K104" s="412"/>
      <c r="L104" s="412"/>
      <c r="M104" s="412"/>
      <c r="N104" s="412"/>
      <c r="O104" s="412"/>
    </row>
    <row r="105" spans="1:21">
      <c r="A105" s="618"/>
      <c r="B105" s="412"/>
      <c r="C105" s="412"/>
      <c r="D105" s="412"/>
      <c r="E105" s="412"/>
      <c r="F105" s="412"/>
      <c r="G105" s="412"/>
      <c r="H105" s="412"/>
      <c r="I105" s="412"/>
      <c r="J105" s="412"/>
      <c r="K105" s="412"/>
      <c r="L105" s="412"/>
      <c r="M105" s="412"/>
      <c r="N105" s="412"/>
      <c r="O105" s="412"/>
    </row>
    <row r="106" spans="1:21">
      <c r="A106" s="620"/>
      <c r="B106" s="831"/>
      <c r="C106" s="831"/>
      <c r="D106" s="831"/>
      <c r="E106" s="831"/>
      <c r="F106" s="831"/>
      <c r="G106" s="831"/>
      <c r="H106" s="831"/>
      <c r="I106" s="831"/>
      <c r="J106" s="831"/>
      <c r="K106" s="831"/>
      <c r="L106" s="831"/>
      <c r="M106" s="831"/>
      <c r="N106" s="831"/>
      <c r="O106" s="831"/>
      <c r="P106" s="615"/>
      <c r="Q106" s="615"/>
      <c r="R106" s="615"/>
      <c r="S106" s="615"/>
      <c r="T106" s="615"/>
      <c r="U106" s="615"/>
    </row>
    <row r="107" spans="1:21">
      <c r="A107" s="618"/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619"/>
      <c r="N107" s="619"/>
      <c r="O107" s="619"/>
      <c r="P107" s="616"/>
      <c r="Q107" s="616"/>
      <c r="R107" s="616"/>
    </row>
    <row r="108" spans="1:21">
      <c r="A108" s="621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  <c r="M108" s="622"/>
      <c r="N108" s="622"/>
      <c r="O108" s="622"/>
      <c r="P108" s="617"/>
      <c r="Q108" s="623"/>
      <c r="R108" s="623"/>
    </row>
    <row r="109" spans="1:21">
      <c r="A109" s="624"/>
      <c r="B109" s="625"/>
      <c r="C109" s="625"/>
      <c r="D109" s="625"/>
      <c r="E109" s="625"/>
      <c r="F109" s="625"/>
      <c r="G109" s="625"/>
      <c r="H109" s="625"/>
      <c r="I109" s="625"/>
      <c r="J109" s="625"/>
      <c r="K109" s="625"/>
      <c r="L109" s="625"/>
      <c r="M109" s="625"/>
      <c r="N109" s="625"/>
      <c r="O109" s="625"/>
      <c r="P109" s="412"/>
      <c r="Q109" s="412"/>
      <c r="R109" s="623"/>
    </row>
    <row r="110" spans="1:21">
      <c r="A110" s="626"/>
      <c r="B110" s="625"/>
      <c r="C110" s="625"/>
      <c r="D110" s="625"/>
      <c r="E110" s="625"/>
      <c r="F110" s="625"/>
      <c r="G110" s="625"/>
      <c r="H110" s="625"/>
      <c r="I110" s="625"/>
      <c r="J110" s="625"/>
      <c r="K110" s="625"/>
      <c r="L110" s="625"/>
      <c r="M110" s="625"/>
      <c r="N110" s="625"/>
      <c r="O110" s="625"/>
      <c r="P110" s="412"/>
      <c r="Q110" s="412"/>
      <c r="R110" s="623"/>
    </row>
    <row r="111" spans="1:21">
      <c r="A111" s="626"/>
      <c r="B111" s="623"/>
      <c r="C111" s="623"/>
      <c r="D111" s="623"/>
      <c r="E111" s="623"/>
      <c r="F111" s="623"/>
      <c r="G111" s="623"/>
      <c r="H111" s="623"/>
      <c r="I111" s="623"/>
      <c r="J111" s="623"/>
      <c r="K111" s="623"/>
      <c r="L111" s="623"/>
      <c r="M111" s="623"/>
      <c r="N111" s="623"/>
      <c r="O111" s="623"/>
      <c r="P111" s="412"/>
      <c r="Q111" s="412"/>
      <c r="R111" s="623"/>
    </row>
    <row r="112" spans="1:21">
      <c r="A112" s="626"/>
      <c r="B112" s="627"/>
      <c r="C112" s="625"/>
      <c r="D112" s="625"/>
      <c r="E112" s="625"/>
      <c r="F112" s="625"/>
      <c r="G112" s="625"/>
      <c r="H112" s="625"/>
      <c r="I112" s="625"/>
      <c r="J112" s="625"/>
      <c r="K112" s="625"/>
      <c r="L112" s="625"/>
      <c r="M112" s="625"/>
      <c r="N112" s="625"/>
      <c r="O112" s="625"/>
      <c r="P112" s="831"/>
      <c r="Q112" s="831"/>
      <c r="R112" s="831"/>
      <c r="S112" s="628"/>
    </row>
    <row r="113" spans="1:19" ht="17" thickBot="1">
      <c r="A113" s="629"/>
      <c r="B113" s="832"/>
      <c r="C113" s="832"/>
      <c r="D113" s="832"/>
      <c r="E113" s="832"/>
      <c r="F113" s="832"/>
      <c r="G113" s="832"/>
      <c r="H113" s="832"/>
      <c r="I113" s="832"/>
      <c r="J113" s="832"/>
      <c r="K113" s="832"/>
      <c r="L113" s="832"/>
      <c r="M113" s="832"/>
      <c r="N113" s="832"/>
      <c r="O113" s="832"/>
      <c r="P113" s="619"/>
      <c r="Q113" s="619"/>
      <c r="R113" s="619"/>
    </row>
    <row r="114" spans="1:19" ht="17" thickTop="1">
      <c r="A114" s="626"/>
      <c r="E114" s="629"/>
      <c r="P114" s="622"/>
      <c r="Q114" s="622"/>
      <c r="R114" s="412"/>
    </row>
    <row r="115" spans="1:19">
      <c r="A115" s="630"/>
      <c r="G115" s="411"/>
      <c r="P115" s="625"/>
      <c r="Q115" s="625"/>
      <c r="R115" s="623"/>
    </row>
    <row r="116" spans="1:19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2"/>
      <c r="P116" s="625"/>
      <c r="Q116" s="633"/>
      <c r="R116" s="623"/>
    </row>
    <row r="117" spans="1:19">
      <c r="A117" s="634"/>
      <c r="B117" s="632"/>
      <c r="C117" s="632"/>
      <c r="D117" s="632"/>
      <c r="E117" s="635"/>
      <c r="F117" s="635"/>
      <c r="G117" s="635"/>
      <c r="H117" s="635"/>
      <c r="I117" s="635"/>
      <c r="J117" s="635"/>
      <c r="K117" s="635"/>
      <c r="L117" s="635"/>
      <c r="M117" s="635"/>
      <c r="N117" s="635"/>
      <c r="O117" s="635"/>
      <c r="P117" s="623"/>
      <c r="Q117" s="623"/>
      <c r="R117" s="623"/>
    </row>
    <row r="118" spans="1:19">
      <c r="A118" s="634"/>
      <c r="B118" s="833"/>
      <c r="C118" s="833"/>
      <c r="D118" s="833"/>
      <c r="E118" s="833"/>
      <c r="F118" s="833"/>
      <c r="G118" s="833"/>
      <c r="H118" s="833"/>
      <c r="I118" s="833"/>
      <c r="J118" s="833"/>
      <c r="K118" s="833"/>
      <c r="L118" s="833"/>
      <c r="M118" s="833"/>
      <c r="N118" s="833"/>
      <c r="O118" s="833"/>
      <c r="P118" s="625"/>
      <c r="Q118" s="627"/>
      <c r="R118" s="623"/>
    </row>
    <row r="119" spans="1:19" ht="17" thickBot="1">
      <c r="A119" s="630"/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832"/>
      <c r="Q119" s="832"/>
      <c r="R119" s="832"/>
      <c r="S119" s="834"/>
    </row>
    <row r="120" spans="1:19" ht="17" thickTop="1">
      <c r="B120" s="632"/>
      <c r="C120" s="632"/>
      <c r="D120" s="632"/>
      <c r="E120" s="632"/>
      <c r="F120" s="632"/>
      <c r="G120" s="632"/>
      <c r="H120" s="632"/>
      <c r="I120" s="632"/>
      <c r="J120" s="632"/>
      <c r="K120" s="632"/>
      <c r="L120" s="632"/>
      <c r="M120" s="632"/>
      <c r="N120" s="632"/>
      <c r="O120" s="632"/>
    </row>
    <row r="121" spans="1:19">
      <c r="A121" s="620"/>
      <c r="B121" s="632"/>
      <c r="C121" s="632"/>
      <c r="D121" s="632"/>
      <c r="E121" s="632"/>
      <c r="F121" s="632"/>
      <c r="G121" s="632"/>
      <c r="H121" s="632"/>
      <c r="I121" s="632"/>
      <c r="J121" s="632"/>
      <c r="K121" s="632"/>
      <c r="L121" s="632"/>
      <c r="M121" s="632"/>
      <c r="N121" s="632"/>
      <c r="O121" s="632"/>
    </row>
    <row r="122" spans="1:19">
      <c r="B122" s="632"/>
      <c r="C122" s="632"/>
      <c r="D122" s="632"/>
      <c r="E122" s="632"/>
      <c r="F122" s="632"/>
      <c r="G122" s="632"/>
      <c r="H122" s="632"/>
      <c r="I122" s="632"/>
      <c r="J122" s="632"/>
      <c r="K122" s="632"/>
      <c r="L122" s="632"/>
      <c r="M122" s="632"/>
      <c r="N122" s="632"/>
      <c r="O122" s="632"/>
      <c r="P122" s="632"/>
      <c r="Q122" s="632"/>
      <c r="R122" s="623"/>
      <c r="S122" s="628"/>
    </row>
    <row r="123" spans="1:19" ht="17" thickBot="1">
      <c r="A123" s="3"/>
      <c r="B123" s="835"/>
      <c r="C123" s="835"/>
      <c r="D123" s="835"/>
      <c r="E123" s="835"/>
      <c r="F123" s="835"/>
      <c r="G123" s="835"/>
      <c r="H123" s="835"/>
      <c r="I123" s="835"/>
      <c r="J123" s="835"/>
      <c r="K123" s="835"/>
      <c r="L123" s="835"/>
      <c r="M123" s="835"/>
      <c r="N123" s="835"/>
      <c r="O123" s="835"/>
      <c r="P123" s="635"/>
      <c r="Q123" s="632"/>
      <c r="R123" s="623"/>
      <c r="S123" s="628"/>
    </row>
    <row r="124" spans="1:19" ht="17" thickTop="1"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2"/>
      <c r="P124" s="833"/>
      <c r="Q124" s="833"/>
      <c r="R124" s="833"/>
    </row>
    <row r="125" spans="1:19"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</row>
    <row r="126" spans="1:19"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</row>
    <row r="127" spans="1:19"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2"/>
      <c r="P127" s="632"/>
      <c r="Q127" s="636"/>
      <c r="R127" s="637"/>
      <c r="S127" s="628"/>
    </row>
    <row r="128" spans="1:19"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2"/>
      <c r="P128" s="632"/>
      <c r="Q128" s="632"/>
      <c r="R128" s="632"/>
    </row>
    <row r="129" spans="2:18" ht="17" thickBot="1"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835"/>
      <c r="Q129" s="835"/>
      <c r="R129" s="835"/>
    </row>
    <row r="130" spans="2:18" ht="17" thickTop="1">
      <c r="P130" s="632"/>
      <c r="Q130" s="632"/>
    </row>
    <row r="131" spans="2:18">
      <c r="P131" s="632"/>
      <c r="Q131" s="632"/>
    </row>
    <row r="132" spans="2:18">
      <c r="P132" s="632"/>
      <c r="Q132" s="632"/>
    </row>
    <row r="133" spans="2:18">
      <c r="P133" s="632"/>
      <c r="Q133" s="632"/>
    </row>
    <row r="134" spans="2:18">
      <c r="P134" s="632"/>
      <c r="Q134" s="632"/>
    </row>
    <row r="135" spans="2:18">
      <c r="P135" s="632"/>
      <c r="Q135" s="632"/>
    </row>
  </sheetData>
  <conditionalFormatting sqref="E52">
    <cfRule type="cellIs" dxfId="1" priority="1" operator="equal">
      <formula>"-"</formula>
    </cfRule>
  </conditionalFormatting>
  <conditionalFormatting sqref="E53:F76 G77 P85">
    <cfRule type="cellIs" dxfId="0" priority="2" operator="equal">
      <formula>"-"</formula>
    </cfRule>
  </conditionalFormatting>
  <printOptions horizontalCentered="1"/>
  <pageMargins left="0" right="0" top="0" bottom="0" header="0.3" footer="0.3"/>
  <pageSetup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64"/>
  <sheetViews>
    <sheetView workbookViewId="0">
      <selection activeCell="C47" sqref="C47"/>
    </sheetView>
  </sheetViews>
  <sheetFormatPr baseColWidth="10" defaultColWidth="8.7109375" defaultRowHeight="16"/>
  <cols>
    <col min="1" max="1" width="2.140625" customWidth="1"/>
    <col min="2" max="2" width="9.42578125" customWidth="1"/>
    <col min="3" max="3" width="2.42578125" customWidth="1"/>
    <col min="4" max="4" width="9.140625" customWidth="1"/>
    <col min="5" max="6" width="7.85546875" customWidth="1"/>
    <col min="7" max="7" width="5.85546875" customWidth="1"/>
    <col min="8" max="8" width="8.42578125" customWidth="1"/>
    <col min="9" max="9" width="10.85546875" customWidth="1"/>
    <col min="10" max="10" width="8" customWidth="1"/>
    <col min="11" max="11" width="6" customWidth="1"/>
    <col min="12" max="12" width="8.28515625" customWidth="1"/>
    <col min="13" max="13" width="6.7109375" customWidth="1"/>
    <col min="14" max="14" width="7.140625" customWidth="1"/>
    <col min="15" max="15" width="3.28515625" customWidth="1"/>
    <col min="16" max="16" width="9.28515625" customWidth="1"/>
    <col min="17" max="17" width="6.140625" customWidth="1"/>
  </cols>
  <sheetData>
    <row r="1" spans="1:17">
      <c r="D1" s="98"/>
      <c r="F1" s="3" t="str">
        <f>+COV!C23</f>
        <v>444 East 86th Street Owners Corp.</v>
      </c>
      <c r="G1" s="98"/>
    </row>
    <row r="2" spans="1:17">
      <c r="B2" s="98"/>
      <c r="D2" s="98"/>
      <c r="F2" s="3" t="str">
        <f>+yrlycomp!B24</f>
        <v>Electric</v>
      </c>
      <c r="G2" s="98"/>
    </row>
    <row r="3" spans="1:17">
      <c r="B3" s="100" t="s">
        <v>2513</v>
      </c>
      <c r="D3" s="98"/>
      <c r="F3" s="3" t="str">
        <f>+COV!C25</f>
        <v>For Year Ending 12/31/2026</v>
      </c>
      <c r="G3" s="98"/>
    </row>
    <row r="5" spans="1:17">
      <c r="H5" s="98"/>
      <c r="I5" s="102"/>
      <c r="J5" s="98"/>
      <c r="L5" s="115" t="s">
        <v>2514</v>
      </c>
    </row>
    <row r="6" spans="1:17" hidden="1">
      <c r="A6" s="98"/>
      <c r="B6" s="98"/>
      <c r="C6" s="98"/>
      <c r="D6" s="103"/>
      <c r="E6" s="104" t="s">
        <v>2515</v>
      </c>
      <c r="F6" s="103"/>
      <c r="H6" s="103"/>
      <c r="I6" s="104" t="s">
        <v>2516</v>
      </c>
      <c r="J6" s="103"/>
      <c r="L6" s="103"/>
      <c r="M6" s="104" t="s">
        <v>2517</v>
      </c>
      <c r="N6" s="103"/>
      <c r="O6" s="98"/>
      <c r="P6" s="105" t="s">
        <v>2272</v>
      </c>
      <c r="Q6" s="105"/>
    </row>
    <row r="7" spans="1:17" hidden="1">
      <c r="A7" s="98"/>
      <c r="B7" s="106">
        <v>2010</v>
      </c>
      <c r="C7" s="107"/>
      <c r="D7" s="108" t="s">
        <v>2436</v>
      </c>
      <c r="E7" s="109" t="s">
        <v>2518</v>
      </c>
      <c r="F7" s="110" t="s">
        <v>2519</v>
      </c>
      <c r="H7" s="108" t="s">
        <v>2436</v>
      </c>
      <c r="I7" s="109" t="s">
        <v>2520</v>
      </c>
      <c r="J7" s="110" t="s">
        <v>2521</v>
      </c>
      <c r="L7" s="108" t="s">
        <v>2436</v>
      </c>
      <c r="M7" s="109" t="s">
        <v>2520</v>
      </c>
      <c r="N7" s="110" t="s">
        <v>2521</v>
      </c>
      <c r="O7" s="110"/>
      <c r="P7" s="111" t="s">
        <v>558</v>
      </c>
      <c r="Q7" s="111"/>
    </row>
    <row r="8" spans="1:17" hidden="1">
      <c r="A8" s="98"/>
      <c r="B8" s="23" t="s">
        <v>2522</v>
      </c>
      <c r="C8" s="23"/>
      <c r="D8" s="112">
        <v>19848.57</v>
      </c>
      <c r="E8" s="113">
        <v>1819.5</v>
      </c>
      <c r="F8" s="114">
        <f>+D8/E8</f>
        <v>10.908804616652926</v>
      </c>
      <c r="G8" s="115"/>
      <c r="H8" s="112">
        <v>10491.31</v>
      </c>
      <c r="I8" s="113">
        <v>18607</v>
      </c>
      <c r="J8" s="117">
        <f t="shared" ref="J8:J20" si="0">+H8/I8</f>
        <v>0.56383672811307572</v>
      </c>
      <c r="L8" s="112">
        <v>341.32</v>
      </c>
      <c r="M8" s="113">
        <v>201</v>
      </c>
      <c r="N8" s="117">
        <f t="shared" ref="N8:N20" si="1">+L8/M8</f>
        <v>1.6981094527363183</v>
      </c>
      <c r="O8" s="117"/>
      <c r="P8">
        <f>+D8+H8+L8</f>
        <v>30681.199999999997</v>
      </c>
    </row>
    <row r="9" spans="1:17" hidden="1">
      <c r="A9" s="98"/>
      <c r="B9" s="2" t="s">
        <v>2523</v>
      </c>
      <c r="C9" s="2"/>
      <c r="D9" s="116">
        <v>12524.61</v>
      </c>
      <c r="E9" s="113">
        <v>1498.16</v>
      </c>
      <c r="F9" s="117">
        <f t="shared" ref="F9:F20" si="2">+D9/E9</f>
        <v>8.3599949271105896</v>
      </c>
      <c r="G9" s="115"/>
      <c r="H9" s="116">
        <v>8652.85</v>
      </c>
      <c r="I9" s="113">
        <v>15106</v>
      </c>
      <c r="J9" s="117">
        <f t="shared" si="0"/>
        <v>0.5728088176883358</v>
      </c>
      <c r="L9" s="116">
        <v>300.24</v>
      </c>
      <c r="M9" s="113">
        <v>186</v>
      </c>
      <c r="N9" s="117">
        <f t="shared" si="1"/>
        <v>1.6141935483870968</v>
      </c>
      <c r="O9" s="117"/>
      <c r="P9" s="25">
        <f>+D9+H9+L9</f>
        <v>21477.7</v>
      </c>
      <c r="Q9" s="25"/>
    </row>
    <row r="10" spans="1:17" hidden="1">
      <c r="A10" s="98"/>
      <c r="B10" s="2" t="s">
        <v>2524</v>
      </c>
      <c r="C10" s="2"/>
      <c r="D10" s="116">
        <v>7871.4</v>
      </c>
      <c r="E10" s="113">
        <v>1093.25</v>
      </c>
      <c r="F10" s="117">
        <f t="shared" si="2"/>
        <v>7.1999999999999993</v>
      </c>
      <c r="G10" s="115"/>
      <c r="H10" s="116">
        <v>6103.59</v>
      </c>
      <c r="I10" s="113">
        <v>7629</v>
      </c>
      <c r="J10" s="117">
        <f t="shared" si="0"/>
        <v>0.80005112072355489</v>
      </c>
      <c r="L10" s="116">
        <v>225.1</v>
      </c>
      <c r="M10" s="113">
        <v>141</v>
      </c>
      <c r="N10" s="117">
        <f t="shared" si="1"/>
        <v>1.5964539007092198</v>
      </c>
      <c r="O10" s="117"/>
      <c r="P10" s="25">
        <f t="shared" ref="P10:P19" si="3">+D10+H10+L10</f>
        <v>14200.09</v>
      </c>
      <c r="Q10" s="25"/>
    </row>
    <row r="11" spans="1:17" hidden="1">
      <c r="A11" s="98"/>
      <c r="B11" s="2" t="s">
        <v>2525</v>
      </c>
      <c r="C11" s="2"/>
      <c r="D11" s="116">
        <v>4172</v>
      </c>
      <c r="E11" s="113">
        <v>673.99</v>
      </c>
      <c r="F11" s="117">
        <f t="shared" si="2"/>
        <v>6.190002819032923</v>
      </c>
      <c r="G11" s="115"/>
      <c r="H11" s="116">
        <v>4241.8999999999996</v>
      </c>
      <c r="I11" s="113">
        <v>5721</v>
      </c>
      <c r="J11" s="117">
        <f t="shared" si="0"/>
        <v>0.74146128299248382</v>
      </c>
      <c r="L11" s="116">
        <v>215.4</v>
      </c>
      <c r="M11" s="113">
        <v>139</v>
      </c>
      <c r="N11" s="117">
        <f t="shared" si="1"/>
        <v>1.5496402877697841</v>
      </c>
      <c r="O11" s="117"/>
      <c r="P11" s="25">
        <f t="shared" si="3"/>
        <v>8629.2999999999993</v>
      </c>
      <c r="Q11" s="25"/>
    </row>
    <row r="12" spans="1:17" hidden="1">
      <c r="A12" s="98"/>
      <c r="B12" s="2" t="s">
        <v>2278</v>
      </c>
      <c r="C12" s="2"/>
      <c r="D12" s="116">
        <v>3769.82</v>
      </c>
      <c r="E12" s="113">
        <v>540.09</v>
      </c>
      <c r="F12" s="117">
        <f t="shared" si="2"/>
        <v>6.9799848173452572</v>
      </c>
      <c r="G12" s="115"/>
      <c r="H12" s="116">
        <v>2932.64</v>
      </c>
      <c r="I12" s="113">
        <v>5207</v>
      </c>
      <c r="J12" s="117">
        <f t="shared" si="0"/>
        <v>0.56321106203188009</v>
      </c>
      <c r="L12" s="116">
        <v>225.9</v>
      </c>
      <c r="M12" s="113">
        <v>140</v>
      </c>
      <c r="N12" s="117">
        <f t="shared" si="1"/>
        <v>1.6135714285714287</v>
      </c>
      <c r="O12" s="117"/>
      <c r="P12" s="25">
        <f t="shared" si="3"/>
        <v>6928.36</v>
      </c>
      <c r="Q12" s="25"/>
    </row>
    <row r="13" spans="1:17" hidden="1">
      <c r="A13" s="98"/>
      <c r="B13" s="2" t="s">
        <v>2526</v>
      </c>
      <c r="C13" s="2"/>
      <c r="D13" s="116">
        <v>3140.24</v>
      </c>
      <c r="E13" s="113">
        <v>465.22</v>
      </c>
      <c r="F13" s="117">
        <f t="shared" si="2"/>
        <v>6.7500107476032838</v>
      </c>
      <c r="G13" s="115"/>
      <c r="H13" s="116">
        <v>2727.68</v>
      </c>
      <c r="I13" s="113">
        <v>4492</v>
      </c>
      <c r="J13" s="117">
        <f t="shared" si="0"/>
        <v>0.60723063223508456</v>
      </c>
      <c r="L13" s="116">
        <v>190.34</v>
      </c>
      <c r="M13" s="113">
        <v>113</v>
      </c>
      <c r="N13" s="117">
        <f t="shared" si="1"/>
        <v>1.684424778761062</v>
      </c>
      <c r="O13" s="117"/>
      <c r="P13" s="25">
        <f t="shared" si="3"/>
        <v>6058.26</v>
      </c>
      <c r="Q13" s="25"/>
    </row>
    <row r="14" spans="1:17" hidden="1">
      <c r="A14" s="98"/>
      <c r="B14" s="2" t="s">
        <v>2527</v>
      </c>
      <c r="C14" s="2"/>
      <c r="D14" s="116">
        <v>2898.41</v>
      </c>
      <c r="E14" s="113">
        <v>385.94</v>
      </c>
      <c r="F14" s="117">
        <f t="shared" si="2"/>
        <v>7.5100015546457994</v>
      </c>
      <c r="G14" s="115"/>
      <c r="H14" s="116">
        <v>2145.86</v>
      </c>
      <c r="I14" s="113">
        <v>3297</v>
      </c>
      <c r="J14" s="117">
        <f t="shared" si="0"/>
        <v>0.65085228996057021</v>
      </c>
      <c r="L14" s="116">
        <v>171.55</v>
      </c>
      <c r="M14" s="113">
        <v>95</v>
      </c>
      <c r="N14" s="117">
        <f t="shared" si="1"/>
        <v>1.8057894736842106</v>
      </c>
      <c r="O14" s="117"/>
      <c r="P14" s="25">
        <f t="shared" si="3"/>
        <v>5215.8200000000006</v>
      </c>
      <c r="Q14" s="25"/>
    </row>
    <row r="15" spans="1:17" hidden="1">
      <c r="A15" s="98"/>
      <c r="B15" s="2" t="s">
        <v>2528</v>
      </c>
      <c r="C15" s="2"/>
      <c r="D15" s="116">
        <v>2850.82</v>
      </c>
      <c r="E15" s="113">
        <v>372.17</v>
      </c>
      <c r="F15" s="117">
        <f t="shared" si="2"/>
        <v>7.6599940887228959</v>
      </c>
      <c r="G15" s="115"/>
      <c r="H15" s="116">
        <v>2448.42</v>
      </c>
      <c r="I15" s="113">
        <v>3833</v>
      </c>
      <c r="J15" s="117">
        <f t="shared" si="0"/>
        <v>0.63877380641794945</v>
      </c>
      <c r="L15" s="116">
        <v>177.26</v>
      </c>
      <c r="M15" s="113">
        <v>96</v>
      </c>
      <c r="N15" s="117">
        <f t="shared" si="1"/>
        <v>1.8464583333333333</v>
      </c>
      <c r="O15" s="117"/>
      <c r="P15" s="25">
        <f t="shared" si="3"/>
        <v>5476.5</v>
      </c>
      <c r="Q15" s="25"/>
    </row>
    <row r="16" spans="1:17" hidden="1">
      <c r="A16" s="98"/>
      <c r="B16" s="2" t="s">
        <v>2529</v>
      </c>
      <c r="C16" s="2"/>
      <c r="D16" s="116">
        <v>2863.71</v>
      </c>
      <c r="E16" s="113">
        <v>414.43</v>
      </c>
      <c r="F16" s="117">
        <f t="shared" si="2"/>
        <v>6.9099968631614503</v>
      </c>
      <c r="G16" s="115"/>
      <c r="H16" s="116">
        <v>2565.5700000000002</v>
      </c>
      <c r="I16" s="113">
        <v>4105</v>
      </c>
      <c r="J16" s="117">
        <f t="shared" si="0"/>
        <v>0.62498660170523757</v>
      </c>
      <c r="L16" s="116">
        <v>217.26</v>
      </c>
      <c r="M16" s="113">
        <v>129</v>
      </c>
      <c r="N16" s="117">
        <f t="shared" si="1"/>
        <v>1.6841860465116278</v>
      </c>
      <c r="O16" s="117"/>
      <c r="P16" s="25">
        <f t="shared" si="3"/>
        <v>5646.5400000000009</v>
      </c>
      <c r="Q16" s="25"/>
    </row>
    <row r="17" spans="1:17" hidden="1">
      <c r="A17" s="98"/>
      <c r="B17" s="2" t="s">
        <v>2530</v>
      </c>
      <c r="C17" s="2"/>
      <c r="D17" s="116">
        <v>3881.87</v>
      </c>
      <c r="E17" s="113">
        <v>581.99</v>
      </c>
      <c r="F17" s="117">
        <f t="shared" si="2"/>
        <v>6.669994329799481</v>
      </c>
      <c r="G17" s="115"/>
      <c r="H17" s="116">
        <v>3863.77</v>
      </c>
      <c r="I17" s="113">
        <v>5676</v>
      </c>
      <c r="J17" s="117">
        <f t="shared" si="0"/>
        <v>0.68072057787174067</v>
      </c>
      <c r="L17" s="116">
        <v>237.08</v>
      </c>
      <c r="M17" s="113">
        <v>144</v>
      </c>
      <c r="N17" s="117">
        <f t="shared" si="1"/>
        <v>1.6463888888888889</v>
      </c>
      <c r="O17" s="117"/>
      <c r="P17" s="25">
        <f t="shared" si="3"/>
        <v>7982.7199999999993</v>
      </c>
      <c r="Q17" s="105"/>
    </row>
    <row r="18" spans="1:17" hidden="1">
      <c r="A18" s="98"/>
      <c r="B18" s="2" t="s">
        <v>2531</v>
      </c>
      <c r="C18" s="2"/>
      <c r="D18" s="116">
        <v>5443.06</v>
      </c>
      <c r="E18" s="113">
        <v>908.69</v>
      </c>
      <c r="F18" s="117">
        <f t="shared" si="2"/>
        <v>5.9900075933486665</v>
      </c>
      <c r="G18" s="115"/>
      <c r="H18" s="116">
        <v>5656.16</v>
      </c>
      <c r="I18" s="113">
        <v>10701</v>
      </c>
      <c r="J18" s="117">
        <f t="shared" si="0"/>
        <v>0.52856368563685641</v>
      </c>
      <c r="L18" s="116">
        <v>285.45999999999998</v>
      </c>
      <c r="M18" s="113">
        <v>192</v>
      </c>
      <c r="N18" s="117">
        <f t="shared" si="1"/>
        <v>1.4867708333333332</v>
      </c>
      <c r="O18" s="117"/>
      <c r="P18" s="25">
        <f t="shared" si="3"/>
        <v>11384.68</v>
      </c>
      <c r="Q18" s="105"/>
    </row>
    <row r="19" spans="1:17" hidden="1">
      <c r="A19" s="98"/>
      <c r="B19" s="2" t="s">
        <v>2532</v>
      </c>
      <c r="C19" s="2"/>
      <c r="D19" s="116">
        <v>10286.98</v>
      </c>
      <c r="E19" s="113">
        <v>1506</v>
      </c>
      <c r="F19" s="117">
        <f t="shared" si="2"/>
        <v>6.8306640106241696</v>
      </c>
      <c r="G19" s="115"/>
      <c r="H19" s="116">
        <v>7369.89</v>
      </c>
      <c r="I19" s="113">
        <v>16098</v>
      </c>
      <c r="J19" s="117">
        <f t="shared" si="0"/>
        <v>0.45781401416325013</v>
      </c>
      <c r="L19" s="116">
        <v>262.32</v>
      </c>
      <c r="M19" s="113">
        <v>172</v>
      </c>
      <c r="N19" s="117">
        <f t="shared" si="1"/>
        <v>1.5251162790697674</v>
      </c>
      <c r="O19" s="117"/>
      <c r="P19" s="25">
        <f t="shared" si="3"/>
        <v>17919.189999999999</v>
      </c>
      <c r="Q19" s="105"/>
    </row>
    <row r="20" spans="1:17" ht="17" hidden="1" thickBot="1">
      <c r="A20" s="98"/>
      <c r="B20" s="105" t="s">
        <v>2272</v>
      </c>
      <c r="C20" s="105"/>
      <c r="D20" s="836">
        <f>SUM(D8:D19)</f>
        <v>79551.490000000005</v>
      </c>
      <c r="E20" s="837">
        <f>SUM(E8:E19)</f>
        <v>10259.43</v>
      </c>
      <c r="F20" s="838">
        <f t="shared" si="2"/>
        <v>7.7539873072870522</v>
      </c>
      <c r="G20" s="115"/>
      <c r="H20" s="836">
        <f>SUM(H8:H19)</f>
        <v>59199.64</v>
      </c>
      <c r="I20" s="837">
        <f>SUM(I8:I19)</f>
        <v>100472</v>
      </c>
      <c r="J20" s="838">
        <f t="shared" si="0"/>
        <v>0.58921530376622344</v>
      </c>
      <c r="L20" s="836">
        <f>SUM(L8:L19)</f>
        <v>2849.23</v>
      </c>
      <c r="M20" s="837">
        <f>SUM(M8:M19)</f>
        <v>1748</v>
      </c>
      <c r="N20" s="838">
        <f t="shared" si="1"/>
        <v>1.6299942791762014</v>
      </c>
      <c r="O20" s="114"/>
      <c r="P20" s="836">
        <f>SUM(P8:P19)</f>
        <v>141600.35999999999</v>
      </c>
      <c r="Q20" s="105"/>
    </row>
    <row r="21" spans="1:17" ht="17" hidden="1" thickTop="1">
      <c r="A21" s="98"/>
      <c r="B21" s="105"/>
      <c r="C21" s="105"/>
      <c r="D21" s="112"/>
      <c r="E21" s="113"/>
      <c r="F21" s="114"/>
      <c r="G21" s="115"/>
      <c r="H21" s="112"/>
      <c r="I21" s="113"/>
      <c r="J21" s="114"/>
      <c r="L21" s="112"/>
      <c r="M21" s="113"/>
      <c r="N21" s="114"/>
      <c r="O21" s="114"/>
      <c r="Q21" s="105"/>
    </row>
    <row r="22" spans="1:17">
      <c r="A22" s="98"/>
      <c r="B22" s="98"/>
      <c r="C22" s="98"/>
      <c r="D22" s="118"/>
      <c r="E22" s="104" t="str">
        <f>E6</f>
        <v>Hess A/C # 4321095000000102948425</v>
      </c>
      <c r="F22" s="118"/>
      <c r="G22" s="26"/>
      <c r="H22" s="118"/>
      <c r="I22" s="104" t="str">
        <f>I6</f>
        <v>ConEd A/C # 432109500000010</v>
      </c>
      <c r="J22" s="118"/>
      <c r="L22" s="118"/>
      <c r="M22" s="104" t="str">
        <f>M6</f>
        <v>ConEd A/C # 4321095100000018</v>
      </c>
      <c r="N22" s="118"/>
      <c r="O22" s="100"/>
      <c r="P22" s="105" t="s">
        <v>2272</v>
      </c>
      <c r="Q22" s="105"/>
    </row>
    <row r="23" spans="1:17">
      <c r="A23" s="98"/>
      <c r="B23" s="106">
        <v>2011</v>
      </c>
      <c r="C23" s="107"/>
      <c r="D23" s="108" t="s">
        <v>2436</v>
      </c>
      <c r="E23" s="109" t="str">
        <f>+E7</f>
        <v>MMBtu</v>
      </c>
      <c r="F23" s="109" t="str">
        <f>+F7</f>
        <v>$ Per MMBtu</v>
      </c>
      <c r="H23" s="108" t="s">
        <v>2436</v>
      </c>
      <c r="I23" s="109" t="str">
        <f>+I7</f>
        <v>Therm</v>
      </c>
      <c r="J23" s="109" t="str">
        <f>+J7</f>
        <v>$ Per therm</v>
      </c>
      <c r="L23" s="108" t="s">
        <v>2436</v>
      </c>
      <c r="M23" s="109" t="str">
        <f>+M7</f>
        <v>Therm</v>
      </c>
      <c r="N23" s="109" t="str">
        <f>+N7</f>
        <v>$ Per therm</v>
      </c>
      <c r="O23" s="109"/>
      <c r="P23" s="111" t="s">
        <v>558</v>
      </c>
      <c r="Q23" s="105"/>
    </row>
    <row r="24" spans="1:17">
      <c r="A24" s="98"/>
      <c r="B24" s="23" t="s">
        <v>2522</v>
      </c>
      <c r="C24" s="23"/>
      <c r="D24" s="112">
        <v>14440.28</v>
      </c>
      <c r="E24" s="113">
        <v>1895.05</v>
      </c>
      <c r="F24" s="114">
        <f t="shared" ref="F24:F32" si="4">+D24/E24</f>
        <v>7.6199994723094386</v>
      </c>
      <c r="G24" s="115"/>
      <c r="H24" s="112">
        <v>8762.2099999999991</v>
      </c>
      <c r="I24" s="113">
        <v>19923</v>
      </c>
      <c r="J24" s="114">
        <f>+H24/I24</f>
        <v>0.43980374441600156</v>
      </c>
      <c r="L24" s="112">
        <v>308.61</v>
      </c>
      <c r="M24" s="113">
        <v>204</v>
      </c>
      <c r="N24" s="114">
        <f>+L24/M24</f>
        <v>1.512794117647059</v>
      </c>
      <c r="O24" s="114"/>
      <c r="P24">
        <f>+D24+H24+L24</f>
        <v>23511.1</v>
      </c>
      <c r="Q24" s="105"/>
    </row>
    <row r="25" spans="1:17">
      <c r="A25" s="98"/>
      <c r="B25" s="2" t="s">
        <v>2523</v>
      </c>
      <c r="C25" s="2"/>
      <c r="D25" s="116">
        <v>10708.02</v>
      </c>
      <c r="E25" s="113">
        <v>1392.46</v>
      </c>
      <c r="F25" s="117">
        <f t="shared" si="4"/>
        <v>7.690001867199058</v>
      </c>
      <c r="G25" s="115"/>
      <c r="H25" s="116">
        <v>6736.64</v>
      </c>
      <c r="I25" s="113">
        <v>13138</v>
      </c>
      <c r="J25" s="117">
        <f t="shared" ref="J25:J32" si="5">+H25/I25</f>
        <v>0.51275993301872436</v>
      </c>
      <c r="L25" s="116">
        <v>260</v>
      </c>
      <c r="M25" s="113">
        <v>167</v>
      </c>
      <c r="N25" s="117">
        <f t="shared" ref="N25:N32" si="6">+L25/M25</f>
        <v>1.5568862275449102</v>
      </c>
      <c r="O25" s="117"/>
      <c r="P25" s="25">
        <f>+D25+H25+L25</f>
        <v>17704.66</v>
      </c>
      <c r="Q25" s="105"/>
    </row>
    <row r="26" spans="1:17">
      <c r="A26" s="98"/>
      <c r="B26" s="2" t="s">
        <v>2524</v>
      </c>
      <c r="C26" s="2"/>
      <c r="D26" s="116">
        <v>7627.95</v>
      </c>
      <c r="E26" s="113">
        <v>1147.06</v>
      </c>
      <c r="F26" s="117">
        <f t="shared" si="4"/>
        <v>6.6500008717939778</v>
      </c>
      <c r="G26" s="115"/>
      <c r="H26" s="116">
        <v>4808.12</v>
      </c>
      <c r="I26" s="113">
        <v>9582</v>
      </c>
      <c r="J26" s="117">
        <f t="shared" si="5"/>
        <v>0.50178668336464205</v>
      </c>
      <c r="L26" s="116">
        <v>220.11</v>
      </c>
      <c r="M26" s="113">
        <v>143</v>
      </c>
      <c r="N26" s="117">
        <f t="shared" si="6"/>
        <v>1.5392307692307694</v>
      </c>
      <c r="O26" s="117"/>
      <c r="P26" s="25">
        <f t="shared" ref="P26:P35" si="7">+D26+H26+L26</f>
        <v>12656.18</v>
      </c>
      <c r="Q26" s="105"/>
    </row>
    <row r="27" spans="1:17">
      <c r="A27" s="98"/>
      <c r="B27" s="2" t="s">
        <v>2525</v>
      </c>
      <c r="C27" s="2"/>
      <c r="D27" s="116">
        <v>4698.6400000000003</v>
      </c>
      <c r="E27" s="113">
        <v>717.35</v>
      </c>
      <c r="F27" s="117">
        <f t="shared" si="4"/>
        <v>6.5499965149508608</v>
      </c>
      <c r="G27" s="115"/>
      <c r="H27" s="116">
        <v>3798.46</v>
      </c>
      <c r="I27" s="113">
        <v>6249</v>
      </c>
      <c r="J27" s="117">
        <f t="shared" si="5"/>
        <v>0.60785085613698198</v>
      </c>
      <c r="L27" s="116">
        <v>217.77</v>
      </c>
      <c r="M27" s="113">
        <v>140</v>
      </c>
      <c r="N27" s="117">
        <f t="shared" si="6"/>
        <v>1.5555000000000001</v>
      </c>
      <c r="O27" s="117"/>
      <c r="P27" s="25">
        <f t="shared" si="7"/>
        <v>8714.8700000000008</v>
      </c>
      <c r="Q27" s="105"/>
    </row>
    <row r="28" spans="1:17">
      <c r="A28" s="98"/>
      <c r="B28" s="2" t="s">
        <v>2278</v>
      </c>
      <c r="C28" s="2"/>
      <c r="D28" s="116">
        <v>3355.02</v>
      </c>
      <c r="E28" s="113">
        <v>506.8</v>
      </c>
      <c r="F28" s="117">
        <f t="shared" si="4"/>
        <v>6.6200078926598263</v>
      </c>
      <c r="G28" s="115"/>
      <c r="H28" s="116">
        <v>2707.61</v>
      </c>
      <c r="I28" s="113">
        <v>4345</v>
      </c>
      <c r="J28" s="117">
        <f t="shared" si="5"/>
        <v>0.62315535097813579</v>
      </c>
      <c r="L28" s="116">
        <v>204.5</v>
      </c>
      <c r="M28" s="113">
        <v>133</v>
      </c>
      <c r="N28" s="117">
        <f t="shared" si="6"/>
        <v>1.5375939849624061</v>
      </c>
      <c r="O28" s="117"/>
      <c r="P28" s="25">
        <f t="shared" si="7"/>
        <v>6267.13</v>
      </c>
      <c r="Q28" s="105"/>
    </row>
    <row r="29" spans="1:17">
      <c r="A29" s="98"/>
      <c r="B29" s="2" t="s">
        <v>2526</v>
      </c>
      <c r="C29" s="2"/>
      <c r="D29" s="116">
        <v>2760.06</v>
      </c>
      <c r="E29" s="113">
        <v>450.99</v>
      </c>
      <c r="F29" s="117">
        <f t="shared" si="4"/>
        <v>6.1200026608128777</v>
      </c>
      <c r="G29" s="115"/>
      <c r="H29" s="116">
        <v>2624</v>
      </c>
      <c r="I29" s="113">
        <v>4488</v>
      </c>
      <c r="J29" s="117">
        <f t="shared" si="5"/>
        <v>0.5846702317290553</v>
      </c>
      <c r="L29" s="116">
        <v>177.27</v>
      </c>
      <c r="M29" s="113">
        <v>113</v>
      </c>
      <c r="N29" s="117">
        <f t="shared" si="6"/>
        <v>1.5687610619469028</v>
      </c>
      <c r="O29" s="117"/>
      <c r="P29" s="25">
        <f t="shared" si="7"/>
        <v>5561.33</v>
      </c>
      <c r="Q29" s="105"/>
    </row>
    <row r="30" spans="1:17">
      <c r="A30" s="98"/>
      <c r="B30" s="2" t="s">
        <v>2527</v>
      </c>
      <c r="C30" s="2"/>
      <c r="D30" s="116">
        <v>2354.4699999999998</v>
      </c>
      <c r="E30" s="113">
        <v>374.32</v>
      </c>
      <c r="F30" s="117">
        <f t="shared" si="4"/>
        <v>6.2899925197691813</v>
      </c>
      <c r="G30" s="115"/>
      <c r="H30" s="116">
        <v>2101.61</v>
      </c>
      <c r="I30" s="113">
        <v>3365</v>
      </c>
      <c r="J30" s="117">
        <f t="shared" si="5"/>
        <v>0.62454977711738491</v>
      </c>
      <c r="L30" s="116">
        <v>158.59</v>
      </c>
      <c r="M30" s="113">
        <v>95</v>
      </c>
      <c r="N30" s="117">
        <f t="shared" si="6"/>
        <v>1.6693684210526316</v>
      </c>
      <c r="O30" s="117"/>
      <c r="P30" s="25">
        <f t="shared" si="7"/>
        <v>4614.67</v>
      </c>
      <c r="Q30" s="105"/>
    </row>
    <row r="31" spans="1:17">
      <c r="A31" s="98"/>
      <c r="B31" s="2" t="s">
        <v>2528</v>
      </c>
      <c r="C31" s="119"/>
      <c r="D31" s="116">
        <v>2331.2800000000002</v>
      </c>
      <c r="E31" s="113">
        <v>361.44</v>
      </c>
      <c r="F31" s="117">
        <f t="shared" si="4"/>
        <v>6.449977866312528</v>
      </c>
      <c r="G31" s="115"/>
      <c r="H31" s="116">
        <v>2156.9499999999998</v>
      </c>
      <c r="I31" s="113">
        <v>3519</v>
      </c>
      <c r="J31" s="117">
        <f t="shared" si="5"/>
        <v>0.61294401818698485</v>
      </c>
      <c r="L31" s="116">
        <v>155.05000000000001</v>
      </c>
      <c r="M31" s="113">
        <v>94</v>
      </c>
      <c r="N31" s="117">
        <f t="shared" si="6"/>
        <v>1.6494680851063832</v>
      </c>
      <c r="O31" s="117"/>
      <c r="P31" s="25">
        <f t="shared" si="7"/>
        <v>4643.28</v>
      </c>
      <c r="Q31" s="105"/>
    </row>
    <row r="32" spans="1:17">
      <c r="A32" s="98"/>
      <c r="B32" s="2" t="s">
        <v>2529</v>
      </c>
      <c r="C32" s="119"/>
      <c r="D32" s="116">
        <v>2523.69</v>
      </c>
      <c r="E32" s="113">
        <v>413.72</v>
      </c>
      <c r="F32" s="117">
        <f t="shared" si="4"/>
        <v>6.0999951658126266</v>
      </c>
      <c r="G32" s="115"/>
      <c r="H32" s="116">
        <v>1931.42</v>
      </c>
      <c r="I32" s="113">
        <v>3261</v>
      </c>
      <c r="J32" s="117">
        <f t="shared" si="5"/>
        <v>0.59227844219564552</v>
      </c>
      <c r="L32" s="116">
        <v>202.58</v>
      </c>
      <c r="M32" s="113">
        <v>141</v>
      </c>
      <c r="N32" s="117">
        <f t="shared" si="6"/>
        <v>1.4367375886524825</v>
      </c>
      <c r="O32" s="117"/>
      <c r="P32" s="25">
        <f t="shared" si="7"/>
        <v>4657.6900000000005</v>
      </c>
      <c r="Q32" s="105"/>
    </row>
    <row r="33" spans="1:17">
      <c r="A33" s="98"/>
      <c r="B33" s="175" t="s">
        <v>2530</v>
      </c>
      <c r="C33" s="176" t="s">
        <v>2309</v>
      </c>
      <c r="D33" s="177">
        <f>+E33*F33</f>
        <v>3897.8969109542682</v>
      </c>
      <c r="E33" s="178">
        <v>600</v>
      </c>
      <c r="F33" s="179">
        <f>+J59</f>
        <v>6.4964948515904473</v>
      </c>
      <c r="G33" s="166"/>
      <c r="H33" s="177">
        <f>+I33*J33</f>
        <v>3595.4262833486659</v>
      </c>
      <c r="I33" s="178">
        <v>5700</v>
      </c>
      <c r="J33" s="179">
        <f>+J60</f>
        <v>0.63077654093836244</v>
      </c>
      <c r="K33" s="165"/>
      <c r="L33" s="177">
        <f>+M33*N33</f>
        <v>229.51882978723407</v>
      </c>
      <c r="M33" s="178">
        <v>150</v>
      </c>
      <c r="N33" s="179">
        <f>+J61</f>
        <v>1.5301255319148939</v>
      </c>
      <c r="O33" s="179"/>
      <c r="P33" s="180">
        <f t="shared" si="7"/>
        <v>7722.8420240901678</v>
      </c>
      <c r="Q33" s="105"/>
    </row>
    <row r="34" spans="1:17">
      <c r="A34" s="98"/>
      <c r="B34" s="175" t="s">
        <v>2531</v>
      </c>
      <c r="C34" s="176" t="s">
        <v>2309</v>
      </c>
      <c r="D34" s="177">
        <f>+E34*F34</f>
        <v>6496.4948515904471</v>
      </c>
      <c r="E34" s="178">
        <v>1000</v>
      </c>
      <c r="F34" s="179">
        <f>+J59</f>
        <v>6.4964948515904473</v>
      </c>
      <c r="G34" s="166"/>
      <c r="H34" s="177">
        <f>+I34*J34</f>
        <v>6938.5419503219864</v>
      </c>
      <c r="I34" s="178">
        <v>11000</v>
      </c>
      <c r="J34" s="179">
        <f>+J60</f>
        <v>0.63077654093836244</v>
      </c>
      <c r="K34" s="165"/>
      <c r="L34" s="177">
        <f>+M34*N34</f>
        <v>306.02510638297878</v>
      </c>
      <c r="M34" s="178">
        <v>200</v>
      </c>
      <c r="N34" s="179">
        <f>+J61</f>
        <v>1.5301255319148939</v>
      </c>
      <c r="O34" s="179"/>
      <c r="P34" s="180">
        <f t="shared" si="7"/>
        <v>13741.061908295411</v>
      </c>
      <c r="Q34" s="105"/>
    </row>
    <row r="35" spans="1:17">
      <c r="A35" s="98"/>
      <c r="B35" s="175" t="s">
        <v>2532</v>
      </c>
      <c r="C35" s="176" t="s">
        <v>2309</v>
      </c>
      <c r="D35" s="177">
        <f>+E35*F35</f>
        <v>9907.1546486754323</v>
      </c>
      <c r="E35" s="178">
        <v>1525</v>
      </c>
      <c r="F35" s="179">
        <f>+F34</f>
        <v>6.4964948515904473</v>
      </c>
      <c r="G35" s="166"/>
      <c r="H35" s="177">
        <f>+I35*J35</f>
        <v>10250.118790248389</v>
      </c>
      <c r="I35" s="178">
        <v>16250</v>
      </c>
      <c r="J35" s="179">
        <f>+J34</f>
        <v>0.63077654093836244</v>
      </c>
      <c r="K35" s="165"/>
      <c r="L35" s="177">
        <f>+M35*N35</f>
        <v>267.77196808510644</v>
      </c>
      <c r="M35" s="178">
        <v>175</v>
      </c>
      <c r="N35" s="179">
        <f>+N34</f>
        <v>1.5301255319148939</v>
      </c>
      <c r="O35" s="179"/>
      <c r="P35" s="180">
        <f t="shared" si="7"/>
        <v>20425.045407008929</v>
      </c>
      <c r="Q35" s="105"/>
    </row>
    <row r="36" spans="1:17" ht="17" thickBot="1">
      <c r="A36" s="98"/>
      <c r="B36" s="105" t="s">
        <v>2272</v>
      </c>
      <c r="C36" s="105"/>
      <c r="D36" s="836">
        <f>SUM(D24:D35)</f>
        <v>71100.956411220148</v>
      </c>
      <c r="E36" s="837">
        <f>SUM(E24:E35)</f>
        <v>10384.189999999999</v>
      </c>
      <c r="F36" s="838">
        <f>+D36/E36</f>
        <v>6.8470392405397202</v>
      </c>
      <c r="H36" s="836">
        <f>SUM(H24:H35)</f>
        <v>56411.107023919038</v>
      </c>
      <c r="I36" s="837">
        <f>SUM(I24:I35)</f>
        <v>100820</v>
      </c>
      <c r="J36" s="838">
        <f>+H36/I36</f>
        <v>0.55952298178852444</v>
      </c>
      <c r="L36" s="836">
        <f>SUM(L24:L35)</f>
        <v>2707.7959042553189</v>
      </c>
      <c r="M36" s="837">
        <f>SUM(M24:M35)</f>
        <v>1755</v>
      </c>
      <c r="N36" s="838">
        <f>+L36/M36</f>
        <v>1.5429036491483299</v>
      </c>
      <c r="O36" s="114"/>
      <c r="P36" s="836">
        <f>SUM(P24:P35)</f>
        <v>130219.8593393945</v>
      </c>
      <c r="Q36" s="105"/>
    </row>
    <row r="37" spans="1:17" ht="17" thickTop="1">
      <c r="A37" s="98"/>
      <c r="B37" s="98"/>
      <c r="C37" s="98"/>
      <c r="D37" s="98"/>
      <c r="E37" s="98"/>
      <c r="F37" s="98"/>
      <c r="H37" s="98"/>
      <c r="I37" s="98"/>
      <c r="J37" s="98"/>
      <c r="L37" s="98"/>
      <c r="M37" s="98"/>
      <c r="N37" s="98"/>
      <c r="O37" s="98"/>
      <c r="Q37" s="105"/>
    </row>
    <row r="38" spans="1:17">
      <c r="A38" s="98"/>
      <c r="B38" s="98" t="s">
        <v>1496</v>
      </c>
      <c r="C38" s="98"/>
      <c r="D38" s="103"/>
      <c r="E38" s="104" t="str">
        <f>E6</f>
        <v>Hess A/C # 4321095000000102948425</v>
      </c>
      <c r="F38" s="103"/>
      <c r="H38" s="103"/>
      <c r="I38" s="104" t="str">
        <f>I6</f>
        <v>ConEd A/C # 432109500000010</v>
      </c>
      <c r="J38" s="103"/>
      <c r="L38" s="103"/>
      <c r="M38" s="104" t="str">
        <f>M6</f>
        <v>ConEd A/C # 4321095100000018</v>
      </c>
      <c r="N38" s="103"/>
      <c r="O38" s="98"/>
      <c r="P38" s="122" t="s">
        <v>2272</v>
      </c>
      <c r="Q38" s="105"/>
    </row>
    <row r="39" spans="1:17">
      <c r="A39" s="98"/>
      <c r="B39" s="106">
        <v>2012</v>
      </c>
      <c r="C39" s="107"/>
      <c r="D39" s="108" t="s">
        <v>2436</v>
      </c>
      <c r="E39" s="109" t="str">
        <f>+E23</f>
        <v>MMBtu</v>
      </c>
      <c r="F39" s="110" t="s">
        <v>2533</v>
      </c>
      <c r="H39" s="108" t="s">
        <v>2436</v>
      </c>
      <c r="I39" s="109" t="str">
        <f>+I23</f>
        <v>Therm</v>
      </c>
      <c r="J39" s="110" t="s">
        <v>2533</v>
      </c>
      <c r="L39" s="108" t="s">
        <v>2436</v>
      </c>
      <c r="M39" s="109" t="str">
        <f>+M23</f>
        <v>Therm</v>
      </c>
      <c r="N39" s="110" t="s">
        <v>2533</v>
      </c>
      <c r="O39" s="110"/>
      <c r="P39" s="132" t="s">
        <v>558</v>
      </c>
      <c r="Q39" s="105"/>
    </row>
    <row r="40" spans="1:17">
      <c r="A40" s="98"/>
      <c r="B40" s="23" t="s">
        <v>2522</v>
      </c>
      <c r="C40" s="23"/>
      <c r="D40" s="123"/>
      <c r="E40" s="124"/>
      <c r="F40" s="114"/>
      <c r="H40" s="123"/>
      <c r="I40" s="124"/>
      <c r="J40" s="114"/>
      <c r="L40" s="123">
        <f>+M40*N40</f>
        <v>331.53994962765961</v>
      </c>
      <c r="M40" s="124">
        <f t="shared" ref="M40:M51" si="8">SUM(M8+M24)/2</f>
        <v>202.5</v>
      </c>
      <c r="N40" s="114">
        <f>+L61</f>
        <v>1.6372343191489365</v>
      </c>
      <c r="O40" s="114"/>
      <c r="P40" s="26">
        <f>+D40+H40+L40</f>
        <v>331.53994962765961</v>
      </c>
      <c r="Q40" s="105"/>
    </row>
    <row r="41" spans="1:17">
      <c r="A41" s="98"/>
      <c r="B41" s="2" t="s">
        <v>2523</v>
      </c>
      <c r="C41" s="2"/>
      <c r="D41" s="113"/>
      <c r="E41" s="124"/>
      <c r="F41" s="117"/>
      <c r="H41" s="113"/>
      <c r="I41" s="124"/>
      <c r="J41" s="117"/>
      <c r="L41" s="113">
        <f>+M41*N41</f>
        <v>288.97185732978727</v>
      </c>
      <c r="M41" s="124">
        <f t="shared" si="8"/>
        <v>176.5</v>
      </c>
      <c r="N41" s="117">
        <f>+N40</f>
        <v>1.6372343191489365</v>
      </c>
      <c r="O41" s="117"/>
      <c r="P41" s="28">
        <f>+D41+H41+L41</f>
        <v>288.97185732978727</v>
      </c>
      <c r="Q41" s="105"/>
    </row>
    <row r="42" spans="1:17">
      <c r="A42" s="98"/>
      <c r="B42" s="2" t="s">
        <v>2524</v>
      </c>
      <c r="C42" s="2"/>
      <c r="D42" s="113"/>
      <c r="E42" s="124"/>
      <c r="F42" s="117"/>
      <c r="H42" s="113"/>
      <c r="I42" s="124"/>
      <c r="J42" s="117"/>
      <c r="L42" s="113">
        <f t="shared" ref="L42:L51" si="9">+M42*N42</f>
        <v>232.48727331914898</v>
      </c>
      <c r="M42" s="124">
        <f t="shared" si="8"/>
        <v>142</v>
      </c>
      <c r="N42" s="117">
        <f t="shared" ref="N42:N51" si="10">+N41</f>
        <v>1.6372343191489365</v>
      </c>
      <c r="O42" s="117"/>
      <c r="P42" s="28">
        <f t="shared" ref="P42:P51" si="11">+D42+H42+L42</f>
        <v>232.48727331914898</v>
      </c>
      <c r="Q42" s="105"/>
    </row>
    <row r="43" spans="1:17">
      <c r="A43" s="98"/>
      <c r="B43" s="2" t="s">
        <v>2525</v>
      </c>
      <c r="C43" s="2"/>
      <c r="D43" s="113"/>
      <c r="E43" s="124"/>
      <c r="F43" s="117"/>
      <c r="H43" s="113"/>
      <c r="I43" s="124"/>
      <c r="J43" s="117"/>
      <c r="L43" s="113">
        <f t="shared" si="9"/>
        <v>228.39418752127665</v>
      </c>
      <c r="M43" s="124">
        <f t="shared" si="8"/>
        <v>139.5</v>
      </c>
      <c r="N43" s="117">
        <f t="shared" si="10"/>
        <v>1.6372343191489365</v>
      </c>
      <c r="O43" s="117"/>
      <c r="P43" s="28">
        <f t="shared" si="11"/>
        <v>228.39418752127665</v>
      </c>
      <c r="Q43" s="105"/>
    </row>
    <row r="44" spans="1:17">
      <c r="A44" s="98"/>
      <c r="B44" s="2" t="s">
        <v>2278</v>
      </c>
      <c r="C44" s="2"/>
      <c r="D44" s="113"/>
      <c r="E44" s="124"/>
      <c r="F44" s="117"/>
      <c r="H44" s="113"/>
      <c r="I44" s="124"/>
      <c r="J44" s="117"/>
      <c r="L44" s="113">
        <f t="shared" si="9"/>
        <v>223.48248456382981</v>
      </c>
      <c r="M44" s="124">
        <f t="shared" si="8"/>
        <v>136.5</v>
      </c>
      <c r="N44" s="117">
        <f t="shared" si="10"/>
        <v>1.6372343191489365</v>
      </c>
      <c r="O44" s="117"/>
      <c r="P44" s="28">
        <f t="shared" si="11"/>
        <v>223.48248456382981</v>
      </c>
      <c r="Q44" s="105"/>
    </row>
    <row r="45" spans="1:17">
      <c r="A45" s="98"/>
      <c r="B45" s="2" t="s">
        <v>2526</v>
      </c>
      <c r="C45" s="2"/>
      <c r="D45" s="113"/>
      <c r="E45" s="124"/>
      <c r="F45" s="117"/>
      <c r="H45" s="113"/>
      <c r="I45" s="124"/>
      <c r="J45" s="117"/>
      <c r="L45" s="113">
        <f t="shared" si="9"/>
        <v>185.00747806382981</v>
      </c>
      <c r="M45" s="124">
        <f t="shared" si="8"/>
        <v>113</v>
      </c>
      <c r="N45" s="117">
        <f t="shared" si="10"/>
        <v>1.6372343191489365</v>
      </c>
      <c r="O45" s="117"/>
      <c r="P45" s="28">
        <f t="shared" si="11"/>
        <v>185.00747806382981</v>
      </c>
      <c r="Q45" s="105"/>
    </row>
    <row r="46" spans="1:17">
      <c r="A46" s="98"/>
      <c r="B46" s="2" t="s">
        <v>2527</v>
      </c>
      <c r="C46" s="2"/>
      <c r="D46" s="113"/>
      <c r="E46" s="124"/>
      <c r="F46" s="117"/>
      <c r="H46" s="113"/>
      <c r="I46" s="124"/>
      <c r="J46" s="117"/>
      <c r="L46" s="113">
        <f t="shared" si="9"/>
        <v>155.53726031914897</v>
      </c>
      <c r="M46" s="124">
        <f t="shared" si="8"/>
        <v>95</v>
      </c>
      <c r="N46" s="117">
        <f t="shared" si="10"/>
        <v>1.6372343191489365</v>
      </c>
      <c r="O46" s="117"/>
      <c r="P46" s="28">
        <f t="shared" si="11"/>
        <v>155.53726031914897</v>
      </c>
      <c r="Q46" s="105"/>
    </row>
    <row r="47" spans="1:17">
      <c r="A47" s="98"/>
      <c r="B47" s="2" t="s">
        <v>2528</v>
      </c>
      <c r="C47" s="2"/>
      <c r="D47" s="113"/>
      <c r="E47" s="124"/>
      <c r="F47" s="117"/>
      <c r="H47" s="113"/>
      <c r="I47" s="124"/>
      <c r="J47" s="117"/>
      <c r="L47" s="113">
        <f t="shared" si="9"/>
        <v>155.53726031914897</v>
      </c>
      <c r="M47" s="124">
        <f t="shared" si="8"/>
        <v>95</v>
      </c>
      <c r="N47" s="117">
        <f t="shared" si="10"/>
        <v>1.6372343191489365</v>
      </c>
      <c r="O47" s="117"/>
      <c r="P47" s="28">
        <f t="shared" si="11"/>
        <v>155.53726031914897</v>
      </c>
      <c r="Q47" s="105"/>
    </row>
    <row r="48" spans="1:17">
      <c r="A48" s="98"/>
      <c r="B48" s="2" t="s">
        <v>2529</v>
      </c>
      <c r="C48" s="2"/>
      <c r="D48" s="113"/>
      <c r="E48" s="124"/>
      <c r="F48" s="117"/>
      <c r="H48" s="113"/>
      <c r="I48" s="124"/>
      <c r="J48" s="117"/>
      <c r="L48" s="113">
        <f t="shared" si="9"/>
        <v>221.02663308510643</v>
      </c>
      <c r="M48" s="124">
        <f t="shared" si="8"/>
        <v>135</v>
      </c>
      <c r="N48" s="117">
        <f t="shared" si="10"/>
        <v>1.6372343191489365</v>
      </c>
      <c r="O48" s="117"/>
      <c r="P48" s="28">
        <f t="shared" si="11"/>
        <v>221.02663308510643</v>
      </c>
      <c r="Q48" s="105"/>
    </row>
    <row r="49" spans="1:17">
      <c r="A49" s="98"/>
      <c r="B49" s="2" t="s">
        <v>2530</v>
      </c>
      <c r="C49" s="2"/>
      <c r="D49" s="113"/>
      <c r="E49" s="124"/>
      <c r="F49" s="117"/>
      <c r="H49" s="113"/>
      <c r="I49" s="124"/>
      <c r="J49" s="117"/>
      <c r="L49" s="113">
        <f t="shared" si="9"/>
        <v>240.67344491489365</v>
      </c>
      <c r="M49" s="124">
        <f t="shared" si="8"/>
        <v>147</v>
      </c>
      <c r="N49" s="117">
        <f t="shared" si="10"/>
        <v>1.6372343191489365</v>
      </c>
      <c r="O49" s="117"/>
      <c r="P49" s="28">
        <f t="shared" si="11"/>
        <v>240.67344491489365</v>
      </c>
      <c r="Q49" s="105"/>
    </row>
    <row r="50" spans="1:17">
      <c r="A50" s="98"/>
      <c r="B50" s="2" t="s">
        <v>2531</v>
      </c>
      <c r="C50" s="2"/>
      <c r="D50" s="113"/>
      <c r="E50" s="124"/>
      <c r="F50" s="117"/>
      <c r="H50" s="113"/>
      <c r="I50" s="124"/>
      <c r="J50" s="117"/>
      <c r="L50" s="113">
        <f t="shared" si="9"/>
        <v>320.89792655319155</v>
      </c>
      <c r="M50" s="124">
        <f t="shared" si="8"/>
        <v>196</v>
      </c>
      <c r="N50" s="117">
        <f t="shared" si="10"/>
        <v>1.6372343191489365</v>
      </c>
      <c r="O50" s="117"/>
      <c r="P50" s="28">
        <f t="shared" si="11"/>
        <v>320.89792655319155</v>
      </c>
      <c r="Q50" s="105"/>
    </row>
    <row r="51" spans="1:17">
      <c r="A51" s="98"/>
      <c r="B51" s="2" t="s">
        <v>2532</v>
      </c>
      <c r="C51" s="2"/>
      <c r="D51" s="113"/>
      <c r="E51" s="124"/>
      <c r="F51" s="117"/>
      <c r="H51" s="113"/>
      <c r="I51" s="124"/>
      <c r="J51" s="117"/>
      <c r="L51" s="113">
        <f t="shared" si="9"/>
        <v>284.06015437234049</v>
      </c>
      <c r="M51" s="124">
        <f t="shared" si="8"/>
        <v>173.5</v>
      </c>
      <c r="N51" s="117">
        <f t="shared" si="10"/>
        <v>1.6372343191489365</v>
      </c>
      <c r="O51" s="117"/>
      <c r="P51" s="28">
        <f t="shared" si="11"/>
        <v>284.06015437234049</v>
      </c>
      <c r="Q51" s="105"/>
    </row>
    <row r="52" spans="1:17" ht="17" thickBot="1">
      <c r="A52" s="98"/>
      <c r="B52" s="105" t="s">
        <v>2272</v>
      </c>
      <c r="C52" s="105"/>
      <c r="D52" s="836">
        <f>SUM(D40:D51)</f>
        <v>0</v>
      </c>
      <c r="E52" s="837">
        <f>SUM(E40:E51)</f>
        <v>0</v>
      </c>
      <c r="F52" s="838" t="e">
        <f>+D52/E52</f>
        <v>#DIV/0!</v>
      </c>
      <c r="H52" s="836">
        <f>SUM(H40:H51)</f>
        <v>0</v>
      </c>
      <c r="I52" s="837">
        <f>SUM(I40:I51)</f>
        <v>0</v>
      </c>
      <c r="J52" s="838" t="e">
        <f>+H52/I52</f>
        <v>#DIV/0!</v>
      </c>
      <c r="L52" s="836">
        <f>SUM(L40:L51)</f>
        <v>2867.6159099893621</v>
      </c>
      <c r="M52" s="837">
        <f>SUM(M40:M51)</f>
        <v>1751.5</v>
      </c>
      <c r="N52" s="838">
        <f>+L52/M52</f>
        <v>1.6372343191489365</v>
      </c>
      <c r="O52" s="114"/>
      <c r="P52" s="839">
        <f>SUM(P40:P51)</f>
        <v>2867.6159099893621</v>
      </c>
      <c r="Q52" s="105"/>
    </row>
    <row r="53" spans="1:17" ht="17" thickTop="1">
      <c r="A53" s="98"/>
      <c r="B53" s="105"/>
      <c r="C53" s="105"/>
      <c r="D53" s="112"/>
      <c r="E53" s="113"/>
      <c r="F53" s="114"/>
      <c r="H53" s="112"/>
      <c r="I53" s="113"/>
      <c r="J53" s="114"/>
      <c r="L53" s="105"/>
      <c r="N53" s="25"/>
      <c r="O53" s="25"/>
      <c r="P53" s="125"/>
    </row>
    <row r="54" spans="1:17">
      <c r="A54" s="98"/>
      <c r="B54" s="105"/>
      <c r="C54" s="105"/>
      <c r="D54" s="126" t="s">
        <v>2534</v>
      </c>
      <c r="E54" s="98"/>
      <c r="F54" s="98"/>
      <c r="G54" s="116"/>
      <c r="H54" s="116"/>
      <c r="I54" s="116"/>
      <c r="L54" s="112"/>
      <c r="M54" s="105"/>
      <c r="O54" s="25"/>
      <c r="P54" s="125"/>
    </row>
    <row r="55" spans="1:17">
      <c r="A55" s="98"/>
      <c r="B55" s="105"/>
      <c r="C55" s="105"/>
      <c r="D55" s="98" t="s">
        <v>2535</v>
      </c>
      <c r="E55" s="98"/>
      <c r="F55" s="127"/>
      <c r="G55" s="98"/>
      <c r="H55" s="98"/>
      <c r="I55" s="98"/>
      <c r="L55" s="112"/>
      <c r="M55" s="112"/>
      <c r="O55" s="25"/>
      <c r="P55" s="125"/>
    </row>
    <row r="56" spans="1:17">
      <c r="A56" s="98"/>
      <c r="B56" s="105"/>
      <c r="C56" s="105"/>
      <c r="D56" s="116" t="s">
        <v>2536</v>
      </c>
      <c r="E56" s="98"/>
      <c r="F56" s="98"/>
      <c r="G56" s="98"/>
      <c r="H56" s="98"/>
      <c r="J56" s="164">
        <v>7.0000000000000007E-2</v>
      </c>
      <c r="O56" s="25"/>
      <c r="P56" s="125"/>
    </row>
    <row r="57" spans="1:17">
      <c r="D57" s="98" t="s">
        <v>2537</v>
      </c>
      <c r="E57" s="98"/>
      <c r="F57" s="127"/>
      <c r="G57" s="98"/>
      <c r="H57" s="98"/>
      <c r="I57" s="98"/>
      <c r="J57" s="164">
        <v>6.5000000000000002E-2</v>
      </c>
      <c r="L57" s="112"/>
      <c r="M57" s="114"/>
    </row>
    <row r="58" spans="1:17">
      <c r="D58" s="98"/>
      <c r="E58" s="98"/>
      <c r="F58" s="127"/>
      <c r="G58" s="98"/>
      <c r="J58" s="154" t="s">
        <v>2538</v>
      </c>
      <c r="L58" s="154" t="s">
        <v>2539</v>
      </c>
    </row>
    <row r="59" spans="1:17">
      <c r="D59" s="98"/>
      <c r="E59" s="98" t="str">
        <f>+E38</f>
        <v>Hess A/C # 4321095000000102948425</v>
      </c>
      <c r="F59" s="98"/>
      <c r="I59" s="112"/>
      <c r="J59" s="114">
        <f>+F32*J57+F32</f>
        <v>6.4964948515904473</v>
      </c>
      <c r="L59" s="155">
        <f>+J59*J56+J59</f>
        <v>6.9512494912017786</v>
      </c>
    </row>
    <row r="60" spans="1:17">
      <c r="D60" s="98"/>
      <c r="E60" s="98" t="str">
        <f>+I38</f>
        <v>ConEd A/C # 432109500000010</v>
      </c>
      <c r="F60" s="98"/>
      <c r="I60" s="112"/>
      <c r="J60" s="114">
        <f>+J32*J57+J32</f>
        <v>0.63077654093836244</v>
      </c>
      <c r="L60" s="114">
        <f>+J60*J56+J60</f>
        <v>0.67493089880404777</v>
      </c>
      <c r="M60" s="114"/>
    </row>
    <row r="61" spans="1:17">
      <c r="D61" s="98"/>
      <c r="E61" s="98" t="str">
        <f>+M38</f>
        <v>ConEd A/C # 4321095100000018</v>
      </c>
      <c r="F61" s="98"/>
      <c r="I61" s="112"/>
      <c r="J61" s="114">
        <f>+N32*J57+N32</f>
        <v>1.5301255319148939</v>
      </c>
      <c r="L61" s="114">
        <f>+J61*J56+J61</f>
        <v>1.6372343191489365</v>
      </c>
      <c r="M61" s="114"/>
    </row>
    <row r="62" spans="1:17">
      <c r="D62" s="116"/>
      <c r="E62" s="98"/>
      <c r="F62" s="98"/>
      <c r="G62" s="98"/>
      <c r="H62" s="98"/>
      <c r="L62" s="129"/>
      <c r="M62" s="129"/>
    </row>
    <row r="63" spans="1:17">
      <c r="B63" s="1007" t="s">
        <v>2540</v>
      </c>
      <c r="C63" s="1007"/>
      <c r="D63" s="1007"/>
      <c r="E63" s="1007"/>
      <c r="F63" s="1007"/>
      <c r="G63" s="1007"/>
      <c r="H63" s="1007"/>
      <c r="I63" s="1007"/>
      <c r="J63" s="1007"/>
      <c r="K63" s="1007"/>
      <c r="L63" s="1007"/>
      <c r="M63" s="1007"/>
      <c r="N63" s="1007"/>
      <c r="O63" s="1007"/>
      <c r="P63" s="1007"/>
    </row>
    <row r="64" spans="1:17">
      <c r="D64" s="130"/>
      <c r="N64" s="131"/>
      <c r="O64" s="131"/>
    </row>
  </sheetData>
  <mergeCells count="1">
    <mergeCell ref="B63:P63"/>
  </mergeCells>
  <phoneticPr fontId="44" type="noConversion"/>
  <pageMargins left="0.24" right="0.26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U84"/>
  <sheetViews>
    <sheetView view="pageBreakPreview" topLeftCell="A28" zoomScale="85" zoomScaleNormal="100" zoomScaleSheetLayoutView="85" workbookViewId="0">
      <selection activeCell="N28" sqref="N28"/>
    </sheetView>
  </sheetViews>
  <sheetFormatPr baseColWidth="10" defaultColWidth="8.85546875" defaultRowHeight="16"/>
  <cols>
    <col min="1" max="1" width="6.140625" style="297" customWidth="1"/>
    <col min="2" max="2" width="9.42578125" style="297" customWidth="1"/>
    <col min="3" max="3" width="6.28515625" style="297" customWidth="1"/>
    <col min="4" max="4" width="10.42578125" style="297" customWidth="1"/>
    <col min="5" max="5" width="10.140625" style="297" customWidth="1"/>
    <col min="6" max="6" width="10.28515625" style="297" customWidth="1"/>
    <col min="7" max="7" width="10.140625" style="297" customWidth="1"/>
    <col min="8" max="8" width="10.5703125" style="297" customWidth="1"/>
    <col min="9" max="9" width="10.140625" style="297" customWidth="1"/>
    <col min="10" max="10" width="1.85546875" style="297" customWidth="1"/>
    <col min="11" max="11" width="10.7109375" style="297" customWidth="1"/>
    <col min="12" max="12" width="9.42578125" style="297" customWidth="1"/>
    <col min="13" max="13" width="2.85546875" style="297" customWidth="1"/>
    <col min="14" max="14" width="13.7109375" style="297" customWidth="1"/>
    <col min="15" max="17" width="2.85546875" style="297" customWidth="1"/>
    <col min="18" max="18" width="9.42578125" style="297" customWidth="1"/>
    <col min="19" max="16384" width="8.85546875" style="297"/>
  </cols>
  <sheetData>
    <row r="1" spans="1:21">
      <c r="C1" s="98"/>
      <c r="D1" s="98"/>
      <c r="E1" s="99" t="str">
        <f>+yrlycomp!H1</f>
        <v>444 East 86th Street Owners Corp.</v>
      </c>
      <c r="H1" s="99"/>
      <c r="I1" s="99"/>
    </row>
    <row r="2" spans="1:21">
      <c r="B2" s="98"/>
      <c r="C2" s="98"/>
      <c r="D2" s="98"/>
      <c r="E2" s="100" t="s">
        <v>2541</v>
      </c>
      <c r="H2" s="100"/>
      <c r="I2" s="99"/>
      <c r="J2" s="99"/>
    </row>
    <row r="3" spans="1:21">
      <c r="B3" s="100" t="s">
        <v>2513</v>
      </c>
      <c r="C3" s="98"/>
      <c r="D3" s="98"/>
      <c r="E3" s="101" t="str">
        <f>+yrlycomp!H3</f>
        <v>For Year Ending 12/31/2026</v>
      </c>
      <c r="H3" s="101"/>
      <c r="I3" s="101"/>
    </row>
    <row r="4" spans="1:21">
      <c r="B4" s="100"/>
      <c r="C4" s="98"/>
      <c r="D4" s="98"/>
      <c r="E4" s="101"/>
      <c r="H4" s="101"/>
      <c r="I4" s="98"/>
    </row>
    <row r="5" spans="1:21">
      <c r="B5" s="467" t="s">
        <v>2184</v>
      </c>
      <c r="N5" s="343" t="s">
        <v>2542</v>
      </c>
    </row>
    <row r="6" spans="1:21">
      <c r="B6" s="468" t="s">
        <v>859</v>
      </c>
      <c r="N6" s="531">
        <v>50834100005</v>
      </c>
    </row>
    <row r="7" spans="1:21">
      <c r="A7" s="98"/>
      <c r="C7" s="98"/>
      <c r="D7" s="118" t="s">
        <v>3169</v>
      </c>
      <c r="E7" s="470"/>
      <c r="F7" s="470"/>
      <c r="G7" s="470"/>
      <c r="H7" s="469"/>
      <c r="U7" s="343" t="s">
        <v>2543</v>
      </c>
    </row>
    <row r="8" spans="1:21" ht="28.5" customHeight="1">
      <c r="A8" s="98"/>
      <c r="B8" s="669">
        <v>2024</v>
      </c>
      <c r="C8" s="107"/>
      <c r="D8" s="471" t="s">
        <v>2544</v>
      </c>
      <c r="E8" s="472" t="s">
        <v>2545</v>
      </c>
      <c r="F8" s="499" t="s">
        <v>2272</v>
      </c>
      <c r="G8" s="499" t="s">
        <v>2546</v>
      </c>
      <c r="H8" s="472" t="s">
        <v>2547</v>
      </c>
      <c r="I8" s="840" t="s">
        <v>2548</v>
      </c>
      <c r="J8" s="840"/>
      <c r="K8" s="840" t="s">
        <v>2549</v>
      </c>
    </row>
    <row r="9" spans="1:21">
      <c r="A9" s="98"/>
      <c r="B9" s="23" t="s">
        <v>2522</v>
      </c>
      <c r="C9" s="23"/>
      <c r="D9" s="426">
        <v>7382.01</v>
      </c>
      <c r="E9" s="426">
        <v>7286.49</v>
      </c>
      <c r="F9" s="375">
        <f>+D9+E9</f>
        <v>14668.5</v>
      </c>
      <c r="G9" s="501">
        <v>73939</v>
      </c>
      <c r="H9" s="474">
        <f>+D9/G9</f>
        <v>9.9839191766185637E-2</v>
      </c>
      <c r="I9" s="474">
        <f>+E9/G9</f>
        <v>9.8547316030782123E-2</v>
      </c>
      <c r="K9" s="474">
        <f>+H9+I9</f>
        <v>0.19838650779696776</v>
      </c>
      <c r="U9" s="343" t="s">
        <v>2550</v>
      </c>
    </row>
    <row r="10" spans="1:21">
      <c r="A10" s="98"/>
      <c r="B10" s="475" t="s">
        <v>2523</v>
      </c>
      <c r="C10" s="2"/>
      <c r="D10" s="424">
        <v>6811.74</v>
      </c>
      <c r="E10" s="424">
        <v>7046.63</v>
      </c>
      <c r="F10" s="373">
        <f t="shared" ref="F10:F20" si="0">+D10+E10</f>
        <v>13858.369999999999</v>
      </c>
      <c r="G10" s="501">
        <v>73452</v>
      </c>
      <c r="H10" s="476">
        <f t="shared" ref="H10:H20" si="1">+D10/G10</f>
        <v>9.2737297827152426E-2</v>
      </c>
      <c r="I10" s="476">
        <f t="shared" ref="I10:I20" si="2">+E10/G10</f>
        <v>9.5935168545444649E-2</v>
      </c>
      <c r="K10" s="476">
        <f t="shared" ref="K10:K20" si="3">+H10+I10</f>
        <v>0.18867246637259708</v>
      </c>
      <c r="R10" s="768">
        <f>339200/4</f>
        <v>84800</v>
      </c>
    </row>
    <row r="11" spans="1:21">
      <c r="A11" s="98"/>
      <c r="B11" s="475" t="s">
        <v>2524</v>
      </c>
      <c r="C11" s="2"/>
      <c r="D11" s="424">
        <v>6901.65</v>
      </c>
      <c r="E11" s="424">
        <v>6065.4</v>
      </c>
      <c r="F11" s="373">
        <f t="shared" si="0"/>
        <v>12967.05</v>
      </c>
      <c r="G11" s="501">
        <v>66666</v>
      </c>
      <c r="H11" s="476">
        <f t="shared" si="1"/>
        <v>0.10352578525785257</v>
      </c>
      <c r="I11" s="476">
        <f t="shared" si="2"/>
        <v>9.0981909819098192E-2</v>
      </c>
      <c r="K11" s="476">
        <f t="shared" si="3"/>
        <v>0.19450769507695076</v>
      </c>
    </row>
    <row r="12" spans="1:21">
      <c r="A12" s="98"/>
      <c r="B12" s="475" t="s">
        <v>2525</v>
      </c>
      <c r="C12" s="2"/>
      <c r="D12" s="424">
        <v>5500.34</v>
      </c>
      <c r="E12" s="424">
        <v>5159.7</v>
      </c>
      <c r="F12" s="373">
        <f t="shared" si="0"/>
        <v>10660.04</v>
      </c>
      <c r="G12" s="501">
        <v>56446</v>
      </c>
      <c r="H12" s="476">
        <f t="shared" si="1"/>
        <v>9.7444283031570003E-2</v>
      </c>
      <c r="I12" s="476">
        <f t="shared" si="2"/>
        <v>9.1409488714877932E-2</v>
      </c>
      <c r="K12" s="476">
        <f t="shared" si="3"/>
        <v>0.18885377174644793</v>
      </c>
    </row>
    <row r="13" spans="1:21">
      <c r="A13" s="98"/>
      <c r="B13" s="475" t="s">
        <v>2278</v>
      </c>
      <c r="C13" s="2"/>
      <c r="D13" s="424">
        <v>7805.2</v>
      </c>
      <c r="E13" s="424">
        <v>4041.69</v>
      </c>
      <c r="F13" s="373">
        <f t="shared" si="0"/>
        <v>11846.89</v>
      </c>
      <c r="G13" s="501">
        <v>44188</v>
      </c>
      <c r="H13" s="476">
        <f t="shared" si="1"/>
        <v>0.17663619082103738</v>
      </c>
      <c r="I13" s="476">
        <f t="shared" si="2"/>
        <v>9.1465782565402373E-2</v>
      </c>
      <c r="K13" s="476">
        <f t="shared" si="3"/>
        <v>0.26810197338643976</v>
      </c>
      <c r="N13" s="456"/>
    </row>
    <row r="14" spans="1:21">
      <c r="A14" s="98"/>
      <c r="B14" s="475" t="s">
        <v>2526</v>
      </c>
      <c r="C14" s="2"/>
      <c r="D14" s="424">
        <v>10849.36</v>
      </c>
      <c r="E14" s="424">
        <v>7758.64</v>
      </c>
      <c r="F14" s="373">
        <f t="shared" si="0"/>
        <v>18608</v>
      </c>
      <c r="G14" s="501">
        <v>74572</v>
      </c>
      <c r="H14" s="476">
        <f t="shared" si="1"/>
        <v>0.1454883870621681</v>
      </c>
      <c r="I14" s="476">
        <f t="shared" si="2"/>
        <v>0.10404226787534196</v>
      </c>
      <c r="K14" s="476">
        <f t="shared" si="3"/>
        <v>0.24953065493751006</v>
      </c>
    </row>
    <row r="15" spans="1:21">
      <c r="A15" s="98"/>
      <c r="B15" s="475" t="s">
        <v>2527</v>
      </c>
      <c r="C15" s="2"/>
      <c r="D15" s="424">
        <v>11785.74</v>
      </c>
      <c r="E15" s="424">
        <v>12199.59</v>
      </c>
      <c r="F15" s="373">
        <f t="shared" si="0"/>
        <v>23985.33</v>
      </c>
      <c r="G15" s="501">
        <v>111481</v>
      </c>
      <c r="H15" s="476">
        <f t="shared" si="1"/>
        <v>0.10571971905526502</v>
      </c>
      <c r="I15" s="476">
        <f t="shared" si="2"/>
        <v>0.1094320108359272</v>
      </c>
      <c r="K15" s="476">
        <f t="shared" si="3"/>
        <v>0.21515172989119222</v>
      </c>
    </row>
    <row r="16" spans="1:21">
      <c r="A16" s="98"/>
      <c r="B16" s="475" t="s">
        <v>2528</v>
      </c>
      <c r="C16" s="2"/>
      <c r="D16" s="424">
        <v>10654.93</v>
      </c>
      <c r="E16" s="424">
        <v>11003.19</v>
      </c>
      <c r="F16" s="373">
        <f t="shared" si="0"/>
        <v>21658.120000000003</v>
      </c>
      <c r="G16" s="501">
        <v>108129</v>
      </c>
      <c r="H16" s="476">
        <f t="shared" si="1"/>
        <v>9.8539059826688494E-2</v>
      </c>
      <c r="I16" s="476">
        <f t="shared" si="2"/>
        <v>0.10175984241045419</v>
      </c>
      <c r="K16" s="476">
        <f t="shared" si="3"/>
        <v>0.2002989022371427</v>
      </c>
    </row>
    <row r="17" spans="1:11">
      <c r="A17" s="98"/>
      <c r="B17" s="475" t="s">
        <v>2529</v>
      </c>
      <c r="C17" s="2"/>
      <c r="D17" s="424">
        <v>11838.1</v>
      </c>
      <c r="E17" s="424">
        <v>10736.45</v>
      </c>
      <c r="F17" s="373">
        <f t="shared" si="0"/>
        <v>22574.550000000003</v>
      </c>
      <c r="G17" s="501">
        <v>109438</v>
      </c>
      <c r="H17" s="476">
        <f t="shared" si="1"/>
        <v>0.10817175021473346</v>
      </c>
      <c r="I17" s="476">
        <f t="shared" si="2"/>
        <v>9.810531990716205E-2</v>
      </c>
      <c r="K17" s="476">
        <f t="shared" si="3"/>
        <v>0.2062770701218955</v>
      </c>
    </row>
    <row r="18" spans="1:11">
      <c r="A18" s="98"/>
      <c r="B18" s="475" t="s">
        <v>2551</v>
      </c>
      <c r="C18" s="2"/>
      <c r="D18" s="424">
        <v>9245.5</v>
      </c>
      <c r="E18" s="424">
        <v>7797.58</v>
      </c>
      <c r="F18" s="373">
        <f t="shared" si="0"/>
        <v>17043.080000000002</v>
      </c>
      <c r="G18" s="501">
        <v>78130</v>
      </c>
      <c r="H18" s="476">
        <f t="shared" si="1"/>
        <v>0.11833482657109945</v>
      </c>
      <c r="I18" s="476">
        <f t="shared" si="2"/>
        <v>9.9802636631255603E-2</v>
      </c>
      <c r="K18" s="476">
        <f t="shared" si="3"/>
        <v>0.21813746320235505</v>
      </c>
    </row>
    <row r="19" spans="1:11">
      <c r="A19" s="98"/>
      <c r="B19" s="475" t="s">
        <v>2552</v>
      </c>
      <c r="C19" s="2"/>
      <c r="D19" s="424">
        <v>5738.9</v>
      </c>
      <c r="E19" s="424">
        <v>5871.58</v>
      </c>
      <c r="F19" s="373">
        <f t="shared" si="0"/>
        <v>11610.48</v>
      </c>
      <c r="G19" s="501">
        <v>59991</v>
      </c>
      <c r="H19" s="476">
        <f t="shared" si="1"/>
        <v>9.5662682735743687E-2</v>
      </c>
      <c r="I19" s="476">
        <f t="shared" si="2"/>
        <v>9.7874347818839497E-2</v>
      </c>
      <c r="K19" s="476">
        <f t="shared" si="3"/>
        <v>0.19353703055458318</v>
      </c>
    </row>
    <row r="20" spans="1:11">
      <c r="A20" s="98"/>
      <c r="B20" s="475" t="s">
        <v>2553</v>
      </c>
      <c r="C20" s="2"/>
      <c r="D20" s="424">
        <v>7449.74</v>
      </c>
      <c r="E20" s="424">
        <v>9610.08</v>
      </c>
      <c r="F20" s="373">
        <f t="shared" si="0"/>
        <v>17059.82</v>
      </c>
      <c r="G20" s="501">
        <v>69126</v>
      </c>
      <c r="H20" s="476">
        <f t="shared" si="1"/>
        <v>0.10777044816711512</v>
      </c>
      <c r="I20" s="476">
        <f t="shared" si="2"/>
        <v>0.13902265428348234</v>
      </c>
      <c r="K20" s="476">
        <f t="shared" si="3"/>
        <v>0.24679310245059746</v>
      </c>
    </row>
    <row r="21" spans="1:11" ht="17" thickBot="1">
      <c r="A21" s="98"/>
      <c r="B21" s="477" t="s">
        <v>2272</v>
      </c>
      <c r="C21" s="105"/>
      <c r="D21" s="841">
        <f>SUM(D9:D20)</f>
        <v>101963.21</v>
      </c>
      <c r="E21" s="841">
        <f>SUM(E9:E20)</f>
        <v>94577.02</v>
      </c>
      <c r="F21" s="841">
        <f>SUM(F9:F20)</f>
        <v>196540.23000000007</v>
      </c>
      <c r="G21" s="842">
        <f>SUM(G9:G20)</f>
        <v>925558</v>
      </c>
      <c r="H21" s="843">
        <f t="shared" ref="H21" si="4">+D21/G21</f>
        <v>0.11016404158356365</v>
      </c>
      <c r="I21" s="843">
        <f>+E21/G21</f>
        <v>0.10218378534894626</v>
      </c>
      <c r="J21" s="843"/>
      <c r="K21" s="843">
        <f>F21/G21</f>
        <v>0.21234782693250998</v>
      </c>
    </row>
    <row r="22" spans="1:11" ht="17" thickTop="1">
      <c r="A22" s="98"/>
      <c r="B22" s="478"/>
      <c r="C22" s="105"/>
      <c r="D22" s="112"/>
      <c r="E22" s="113"/>
      <c r="F22" s="113"/>
      <c r="G22" s="113"/>
      <c r="H22" s="114"/>
    </row>
    <row r="23" spans="1:11">
      <c r="A23" s="98"/>
      <c r="B23" s="478"/>
      <c r="C23" s="98"/>
      <c r="D23" s="469" t="str">
        <f>D7</f>
        <v xml:space="preserve">                       Con Ed #49-4182-7002-0000-8 new account #50834100005</v>
      </c>
      <c r="E23" s="470"/>
      <c r="F23" s="470"/>
      <c r="G23" s="470"/>
      <c r="H23" s="479"/>
      <c r="I23" s="479"/>
      <c r="J23" s="479"/>
      <c r="K23" s="479"/>
    </row>
    <row r="24" spans="1:11" ht="25.5" customHeight="1">
      <c r="A24" s="98"/>
      <c r="B24" s="669">
        <f>B8+1</f>
        <v>2025</v>
      </c>
      <c r="C24" s="107"/>
      <c r="D24" s="471" t="str">
        <f>+D8</f>
        <v>Con Ed</v>
      </c>
      <c r="E24" s="472" t="s">
        <v>2555</v>
      </c>
      <c r="F24" s="499" t="s">
        <v>2272</v>
      </c>
      <c r="G24" s="500" t="s">
        <v>2546</v>
      </c>
      <c r="H24" s="472" t="s">
        <v>2556</v>
      </c>
      <c r="I24" s="472" t="s">
        <v>2548</v>
      </c>
      <c r="J24" s="472"/>
      <c r="K24" s="472" t="s">
        <v>2549</v>
      </c>
    </row>
    <row r="25" spans="1:11">
      <c r="A25" s="98"/>
      <c r="B25" s="23" t="s">
        <v>2522</v>
      </c>
      <c r="C25" s="23"/>
      <c r="D25" s="426">
        <v>6848.26</v>
      </c>
      <c r="E25" s="426">
        <v>13612.08</v>
      </c>
      <c r="F25" s="426">
        <f>D25+E25</f>
        <v>20460.34</v>
      </c>
      <c r="G25" s="501">
        <v>67982</v>
      </c>
      <c r="H25" s="474">
        <f>+D25/G25</f>
        <v>0.10073637139242742</v>
      </c>
      <c r="I25" s="474">
        <f>E25/G25</f>
        <v>0.20023064928951781</v>
      </c>
      <c r="J25" s="491"/>
      <c r="K25" s="474">
        <f>+H25+I25</f>
        <v>0.30096702068194525</v>
      </c>
    </row>
    <row r="26" spans="1:11">
      <c r="A26" s="98"/>
      <c r="B26" s="475" t="s">
        <v>2523</v>
      </c>
      <c r="C26" s="2"/>
      <c r="D26" s="424">
        <v>5385.08</v>
      </c>
      <c r="E26" s="424">
        <v>10461.16</v>
      </c>
      <c r="F26" s="424">
        <f t="shared" ref="F26:F36" si="5">D26+E26</f>
        <v>15846.24</v>
      </c>
      <c r="G26" s="501">
        <v>56840</v>
      </c>
      <c r="H26" s="476">
        <f>D26/G26</f>
        <v>9.4741027445460937E-2</v>
      </c>
      <c r="I26" s="476">
        <f>E26/G26</f>
        <v>0.18404574243490499</v>
      </c>
      <c r="J26" s="491"/>
      <c r="K26" s="476">
        <f>SUM(H26:I26)</f>
        <v>0.27878676988036594</v>
      </c>
    </row>
    <row r="27" spans="1:11">
      <c r="A27" s="98"/>
      <c r="B27" s="475" t="s">
        <v>2524</v>
      </c>
      <c r="C27" s="2"/>
      <c r="D27" s="424">
        <v>5090.12</v>
      </c>
      <c r="E27" s="424">
        <v>6650.44</v>
      </c>
      <c r="F27" s="424">
        <f t="shared" si="5"/>
        <v>11740.56</v>
      </c>
      <c r="G27" s="501">
        <v>53836</v>
      </c>
      <c r="H27" s="476">
        <f t="shared" ref="H27:H31" si="6">D27/G27</f>
        <v>9.4548629170072063E-2</v>
      </c>
      <c r="I27" s="476">
        <f t="shared" ref="I27:I29" si="7">E27/G27</f>
        <v>0.12353146593357604</v>
      </c>
      <c r="J27" s="491"/>
      <c r="K27" s="476">
        <f>SUM(H27:I27)</f>
        <v>0.21808009510364812</v>
      </c>
    </row>
    <row r="28" spans="1:11">
      <c r="A28" s="98"/>
      <c r="B28" s="475" t="s">
        <v>2525</v>
      </c>
      <c r="C28" s="2"/>
      <c r="D28" s="424">
        <v>5271.22</v>
      </c>
      <c r="E28" s="424">
        <v>6337.48</v>
      </c>
      <c r="F28" s="424">
        <f t="shared" si="5"/>
        <v>11608.7</v>
      </c>
      <c r="G28" s="501">
        <v>54952</v>
      </c>
      <c r="H28" s="476">
        <f t="shared" si="6"/>
        <v>9.5924079196389581E-2</v>
      </c>
      <c r="I28" s="476">
        <f t="shared" si="7"/>
        <v>0.11532755859659338</v>
      </c>
      <c r="J28" s="491"/>
      <c r="K28" s="476">
        <f t="shared" ref="K28" si="8">SUM(H28:I28)</f>
        <v>0.21125163779298295</v>
      </c>
    </row>
    <row r="29" spans="1:11">
      <c r="A29" s="98"/>
      <c r="B29" s="475" t="s">
        <v>2278</v>
      </c>
      <c r="C29" s="2"/>
      <c r="D29" s="424">
        <v>8083.76</v>
      </c>
      <c r="E29" s="424">
        <v>7250.93</v>
      </c>
      <c r="F29" s="424">
        <f t="shared" si="5"/>
        <v>15334.69</v>
      </c>
      <c r="G29" s="501">
        <v>71005</v>
      </c>
      <c r="H29" s="476">
        <f t="shared" si="6"/>
        <v>0.11384775720019717</v>
      </c>
      <c r="I29" s="476">
        <f t="shared" si="7"/>
        <v>0.10211858319836632</v>
      </c>
      <c r="J29" s="491"/>
      <c r="K29" s="476">
        <f>SUM(H29:I29)</f>
        <v>0.21596634039856349</v>
      </c>
    </row>
    <row r="30" spans="1:11">
      <c r="A30" s="98"/>
      <c r="B30" s="475" t="s">
        <v>2526</v>
      </c>
      <c r="C30" s="2"/>
      <c r="D30" s="424">
        <v>10959.29</v>
      </c>
      <c r="E30" s="424">
        <v>10950.23</v>
      </c>
      <c r="F30" s="424">
        <f t="shared" si="5"/>
        <v>21909.52</v>
      </c>
      <c r="G30" s="501">
        <v>94615</v>
      </c>
      <c r="H30" s="476">
        <f t="shared" si="6"/>
        <v>0.11583036516408604</v>
      </c>
      <c r="I30" s="476">
        <f>E30/G30</f>
        <v>0.11573460867727105</v>
      </c>
      <c r="J30" s="491"/>
      <c r="K30" s="476">
        <f t="shared" ref="K30:K31" si="9">SUM(H30:I30)</f>
        <v>0.2315649738413571</v>
      </c>
    </row>
    <row r="31" spans="1:11">
      <c r="A31" s="98"/>
      <c r="B31" s="475" t="s">
        <v>2527</v>
      </c>
      <c r="C31" s="2"/>
      <c r="D31" s="424">
        <v>14114.42</v>
      </c>
      <c r="E31" s="424">
        <v>15720.57</v>
      </c>
      <c r="F31" s="424">
        <f t="shared" ref="F31" si="10">D31+E31</f>
        <v>29834.989999999998</v>
      </c>
      <c r="G31" s="501">
        <v>114667</v>
      </c>
      <c r="H31" s="476">
        <f t="shared" si="6"/>
        <v>0.12309051427176083</v>
      </c>
      <c r="I31" s="476">
        <f>E31/G31</f>
        <v>0.13709759564652427</v>
      </c>
      <c r="J31" s="491"/>
      <c r="K31" s="476">
        <f t="shared" si="9"/>
        <v>0.26018810991828512</v>
      </c>
    </row>
    <row r="32" spans="1:11">
      <c r="A32" s="98"/>
      <c r="B32" s="475" t="s">
        <v>2528</v>
      </c>
      <c r="C32" s="481" t="s">
        <v>2309</v>
      </c>
      <c r="D32" s="424">
        <f t="shared" ref="D32:D34" si="11">G32*H32</f>
        <v>15287.731638152394</v>
      </c>
      <c r="E32" s="424">
        <f t="shared" ref="E32:E34" si="12">+G32*I32</f>
        <v>18484.710199999998</v>
      </c>
      <c r="F32" s="424">
        <f t="shared" ref="F32:F34" si="13">D32+E32</f>
        <v>33772.441838152394</v>
      </c>
      <c r="G32" s="501">
        <f t="shared" ref="G32:G34" si="14">+(G16+G78)/2</f>
        <v>144864.5</v>
      </c>
      <c r="H32" s="476">
        <f>SUM(H25:H31)/7</f>
        <v>0.10553124912005629</v>
      </c>
      <c r="I32" s="476">
        <v>0.12759999999999999</v>
      </c>
      <c r="J32" s="491"/>
      <c r="K32" s="476">
        <f t="shared" ref="K32:K34" si="15">K31</f>
        <v>0.26018810991828512</v>
      </c>
    </row>
    <row r="33" spans="1:11">
      <c r="A33" s="98"/>
      <c r="B33" s="475" t="s">
        <v>2529</v>
      </c>
      <c r="C33" s="481" t="s">
        <v>2309</v>
      </c>
      <c r="D33" s="424">
        <f t="shared" si="11"/>
        <v>15483.43933964554</v>
      </c>
      <c r="E33" s="424">
        <f t="shared" si="12"/>
        <v>18721.344399999998</v>
      </c>
      <c r="F33" s="424">
        <f t="shared" si="13"/>
        <v>34204.783739645536</v>
      </c>
      <c r="G33" s="501">
        <f t="shared" si="14"/>
        <v>146719</v>
      </c>
      <c r="H33" s="476">
        <f>H32</f>
        <v>0.10553124912005629</v>
      </c>
      <c r="I33" s="476">
        <f>I32</f>
        <v>0.12759999999999999</v>
      </c>
      <c r="J33" s="491"/>
      <c r="K33" s="476">
        <f t="shared" si="15"/>
        <v>0.26018810991828512</v>
      </c>
    </row>
    <row r="34" spans="1:11">
      <c r="A34" s="98"/>
      <c r="B34" s="475" t="s">
        <v>2530</v>
      </c>
      <c r="C34" s="481" t="s">
        <v>2309</v>
      </c>
      <c r="D34" s="424">
        <f t="shared" si="11"/>
        <v>9544.0878735442111</v>
      </c>
      <c r="E34" s="424">
        <f t="shared" si="12"/>
        <v>11539.952599999999</v>
      </c>
      <c r="F34" s="424">
        <f t="shared" si="13"/>
        <v>21084.04047354421</v>
      </c>
      <c r="G34" s="501">
        <f t="shared" si="14"/>
        <v>90438.5</v>
      </c>
      <c r="H34" s="476">
        <f>H32</f>
        <v>0.10553124912005629</v>
      </c>
      <c r="I34" s="476">
        <f>I32</f>
        <v>0.12759999999999999</v>
      </c>
      <c r="J34" s="491"/>
      <c r="K34" s="476">
        <f t="shared" si="15"/>
        <v>0.26018810991828512</v>
      </c>
    </row>
    <row r="35" spans="1:11">
      <c r="A35" s="98"/>
      <c r="B35" s="475" t="s">
        <v>2531</v>
      </c>
      <c r="C35" s="481" t="s">
        <v>2309</v>
      </c>
      <c r="D35" s="424">
        <f>G35*H35</f>
        <v>7423.4374224766798</v>
      </c>
      <c r="E35" s="424">
        <f t="shared" ref="E35:E36" si="16">+G35*I35</f>
        <v>8975.8305999999993</v>
      </c>
      <c r="F35" s="424">
        <f t="shared" si="5"/>
        <v>16399.268022476681</v>
      </c>
      <c r="G35" s="501">
        <f t="shared" ref="G35:G36" si="17">+(G19+G81)/2</f>
        <v>70343.5</v>
      </c>
      <c r="H35" s="476">
        <f>H32</f>
        <v>0.10553124912005629</v>
      </c>
      <c r="I35" s="476">
        <f>I32</f>
        <v>0.12759999999999999</v>
      </c>
      <c r="J35" s="491"/>
      <c r="K35" s="476">
        <f>K34</f>
        <v>0.26018810991828512</v>
      </c>
    </row>
    <row r="36" spans="1:11">
      <c r="A36" s="98"/>
      <c r="B36" s="475" t="s">
        <v>2532</v>
      </c>
      <c r="C36" s="481" t="s">
        <v>2309</v>
      </c>
      <c r="D36" s="424">
        <f>G36*H36</f>
        <v>8290.8515246189818</v>
      </c>
      <c r="E36" s="424">
        <f t="shared" si="16"/>
        <v>10024.638799999999</v>
      </c>
      <c r="F36" s="424">
        <f t="shared" si="5"/>
        <v>18315.490324618979</v>
      </c>
      <c r="G36" s="501">
        <f t="shared" si="17"/>
        <v>78563</v>
      </c>
      <c r="H36" s="476">
        <f>H32</f>
        <v>0.10553124912005629</v>
      </c>
      <c r="I36" s="476">
        <f>I32</f>
        <v>0.12759999999999999</v>
      </c>
      <c r="J36" s="491"/>
      <c r="K36" s="476">
        <f>+K35</f>
        <v>0.26018810991828512</v>
      </c>
    </row>
    <row r="37" spans="1:11" ht="17" thickBot="1">
      <c r="A37" s="98"/>
      <c r="B37" s="477" t="s">
        <v>2272</v>
      </c>
      <c r="C37" s="105"/>
      <c r="D37" s="841">
        <f>SUM(D25:D36)</f>
        <v>111781.6977984378</v>
      </c>
      <c r="E37" s="841">
        <f t="shared" ref="E37:F37" si="18">SUM(E25:E36)</f>
        <v>138729.36659999998</v>
      </c>
      <c r="F37" s="841">
        <f t="shared" si="18"/>
        <v>250511.0643984378</v>
      </c>
      <c r="G37" s="844">
        <f>SUM(G25:G36)</f>
        <v>1044825.5</v>
      </c>
      <c r="H37" s="843">
        <f>D37/G37</f>
        <v>0.106985996990347</v>
      </c>
      <c r="I37" s="843">
        <f>E37/G37</f>
        <v>0.13277754668124006</v>
      </c>
      <c r="J37" s="845"/>
      <c r="K37" s="843">
        <f>+F37/G37</f>
        <v>0.23976354367158706</v>
      </c>
    </row>
    <row r="38" spans="1:11" ht="17" thickTop="1">
      <c r="A38" s="98"/>
      <c r="B38" s="478"/>
      <c r="C38" s="105"/>
      <c r="D38" s="112"/>
      <c r="E38" s="113"/>
      <c r="F38" s="113"/>
      <c r="G38" s="113"/>
      <c r="H38" s="114"/>
    </row>
    <row r="39" spans="1:11">
      <c r="A39" s="98"/>
      <c r="B39" s="482" t="s">
        <v>2421</v>
      </c>
      <c r="C39" s="98"/>
      <c r="D39" s="469" t="str">
        <f>D23</f>
        <v xml:space="preserve">                       Con Ed #49-4182-7002-0000-8 new account #50834100005</v>
      </c>
      <c r="E39" s="470"/>
      <c r="F39" s="470"/>
      <c r="G39" s="470"/>
      <c r="H39" s="479"/>
      <c r="I39" s="479"/>
      <c r="J39" s="479"/>
      <c r="K39" s="479"/>
    </row>
    <row r="40" spans="1:11" ht="25.5" customHeight="1">
      <c r="A40" s="98"/>
      <c r="B40" s="669">
        <f>B24+1</f>
        <v>2026</v>
      </c>
      <c r="C40" s="107"/>
      <c r="D40" s="471" t="str">
        <f>+D24</f>
        <v>Con Ed</v>
      </c>
      <c r="E40" s="472" t="str">
        <f>E24</f>
        <v>ESCO</v>
      </c>
      <c r="F40" s="499" t="s">
        <v>2272</v>
      </c>
      <c r="G40" s="500" t="str">
        <f>G24</f>
        <v>KWH</v>
      </c>
      <c r="H40" s="472" t="str">
        <f>H24</f>
        <v>Con Ed $/KWH</v>
      </c>
      <c r="I40" s="472" t="s">
        <v>2557</v>
      </c>
      <c r="J40" s="472"/>
      <c r="K40" s="471" t="str">
        <f>K24</f>
        <v>$/Per KWH</v>
      </c>
    </row>
    <row r="41" spans="1:11">
      <c r="A41" s="98"/>
      <c r="B41" s="23" t="s">
        <v>2522</v>
      </c>
      <c r="C41" s="23"/>
      <c r="D41" s="426">
        <f>G41*H41</f>
        <v>7720.1675447677335</v>
      </c>
      <c r="E41" s="426">
        <f>G41*I41</f>
        <v>9657.7240500000007</v>
      </c>
      <c r="F41" s="426">
        <f>D41+E41</f>
        <v>17377.891594767734</v>
      </c>
      <c r="G41" s="501">
        <f>+(G9+G25)/2</f>
        <v>70960.5</v>
      </c>
      <c r="H41" s="474">
        <f>$H$25*$I$57+H25</f>
        <v>0.10879528110382161</v>
      </c>
      <c r="I41" s="474">
        <f>I64</f>
        <v>0.1361</v>
      </c>
      <c r="J41" s="491"/>
      <c r="K41" s="474">
        <f>+H41+I41</f>
        <v>0.24489528110382161</v>
      </c>
    </row>
    <row r="42" spans="1:11">
      <c r="A42" s="98"/>
      <c r="B42" s="475" t="s">
        <v>2523</v>
      </c>
      <c r="C42" s="2"/>
      <c r="D42" s="424">
        <f>G42*H42</f>
        <v>6665.7588918789579</v>
      </c>
      <c r="E42" s="424">
        <f>G42*I42</f>
        <v>8866.3706000000002</v>
      </c>
      <c r="F42" s="424">
        <f t="shared" ref="F42:F52" si="19">D42+E42</f>
        <v>15532.129491878957</v>
      </c>
      <c r="G42" s="501">
        <f t="shared" ref="G42:G52" si="20">+(G10+G26)/2</f>
        <v>65146</v>
      </c>
      <c r="H42" s="476">
        <f>$H$26*$I$57+H26</f>
        <v>0.10232030964109781</v>
      </c>
      <c r="I42" s="476">
        <f>I64</f>
        <v>0.1361</v>
      </c>
      <c r="J42" s="491"/>
      <c r="K42" s="476">
        <f>SUM(H42:I42)</f>
        <v>0.23842030964109781</v>
      </c>
    </row>
    <row r="43" spans="1:11">
      <c r="A43" s="98"/>
      <c r="B43" s="475" t="s">
        <v>2524</v>
      </c>
      <c r="C43" s="2"/>
      <c r="D43" s="424">
        <f t="shared" ref="D43:D52" si="21">G43*H43</f>
        <v>6152.3814126160933</v>
      </c>
      <c r="E43" s="424">
        <f t="shared" ref="E43:E52" si="22">G43*I43</f>
        <v>8200.1610999999994</v>
      </c>
      <c r="F43" s="424">
        <f t="shared" si="19"/>
        <v>14352.542512616092</v>
      </c>
      <c r="G43" s="501">
        <f t="shared" si="20"/>
        <v>60251</v>
      </c>
      <c r="H43" s="476">
        <f>H27*I57+H27</f>
        <v>0.10211251950367783</v>
      </c>
      <c r="I43" s="476">
        <f>I64</f>
        <v>0.1361</v>
      </c>
      <c r="J43" s="491"/>
      <c r="K43" s="476">
        <f>SUM(H43:I43)</f>
        <v>0.23821251950367783</v>
      </c>
    </row>
    <row r="44" spans="1:11">
      <c r="A44" s="98"/>
      <c r="B44" s="475" t="s">
        <v>2525</v>
      </c>
      <c r="C44" s="2"/>
      <c r="D44" s="424">
        <f t="shared" si="21"/>
        <v>5770.3053101324795</v>
      </c>
      <c r="E44" s="424">
        <f t="shared" si="22"/>
        <v>7580.6338999999998</v>
      </c>
      <c r="F44" s="424">
        <f t="shared" si="19"/>
        <v>13350.939210132479</v>
      </c>
      <c r="G44" s="501">
        <f t="shared" si="20"/>
        <v>55699</v>
      </c>
      <c r="H44" s="476">
        <f>H28*I57+H28</f>
        <v>0.10359800553210075</v>
      </c>
      <c r="I44" s="476">
        <f>I64</f>
        <v>0.1361</v>
      </c>
      <c r="J44" s="491"/>
      <c r="K44" s="476">
        <f t="shared" ref="K44:K48" si="23">SUM(H44:I44)</f>
        <v>0.23969800553210074</v>
      </c>
    </row>
    <row r="45" spans="1:11">
      <c r="A45" s="98"/>
      <c r="B45" s="475" t="s">
        <v>2278</v>
      </c>
      <c r="C45" s="2"/>
      <c r="D45" s="424">
        <f t="shared" si="21"/>
        <v>7081.8109353876489</v>
      </c>
      <c r="E45" s="424">
        <f t="shared" si="22"/>
        <v>7838.8836499999998</v>
      </c>
      <c r="F45" s="424">
        <f t="shared" si="19"/>
        <v>14920.69458538765</v>
      </c>
      <c r="G45" s="501">
        <f t="shared" si="20"/>
        <v>57596.5</v>
      </c>
      <c r="H45" s="476">
        <f>H29*I57+H29</f>
        <v>0.12295557777621295</v>
      </c>
      <c r="I45" s="476">
        <f>I64</f>
        <v>0.1361</v>
      </c>
      <c r="J45" s="491"/>
      <c r="K45" s="476">
        <f t="shared" si="23"/>
        <v>0.25905557777621296</v>
      </c>
    </row>
    <row r="46" spans="1:11">
      <c r="A46" s="98"/>
      <c r="B46" s="475" t="s">
        <v>2526</v>
      </c>
      <c r="C46" s="2"/>
      <c r="D46" s="424">
        <f t="shared" si="21"/>
        <v>10582.375675148764</v>
      </c>
      <c r="E46" s="424">
        <f t="shared" si="22"/>
        <v>11513.17535</v>
      </c>
      <c r="F46" s="424">
        <f t="shared" si="19"/>
        <v>22095.551025148765</v>
      </c>
      <c r="G46" s="501">
        <f t="shared" si="20"/>
        <v>84593.5</v>
      </c>
      <c r="H46" s="476">
        <f>H30*I57+H30</f>
        <v>0.12509679437721294</v>
      </c>
      <c r="I46" s="476">
        <f>I64</f>
        <v>0.1361</v>
      </c>
      <c r="J46" s="491"/>
      <c r="K46" s="476">
        <f t="shared" si="23"/>
        <v>0.26119679437721294</v>
      </c>
    </row>
    <row r="47" spans="1:11">
      <c r="A47" s="98"/>
      <c r="B47" s="475" t="s">
        <v>2527</v>
      </c>
      <c r="C47" s="2"/>
      <c r="D47" s="424">
        <f t="shared" si="21"/>
        <v>15031.803755626292</v>
      </c>
      <c r="E47" s="424">
        <f t="shared" si="22"/>
        <v>15389.3714</v>
      </c>
      <c r="F47" s="424">
        <f t="shared" si="19"/>
        <v>30421.17515562629</v>
      </c>
      <c r="G47" s="501">
        <f t="shared" si="20"/>
        <v>113074</v>
      </c>
      <c r="H47" s="476">
        <f>H31*I57+H31</f>
        <v>0.1329377554135017</v>
      </c>
      <c r="I47" s="476">
        <f>I64</f>
        <v>0.1361</v>
      </c>
      <c r="J47" s="491"/>
      <c r="K47" s="476">
        <f t="shared" si="23"/>
        <v>0.26903775541350172</v>
      </c>
    </row>
    <row r="48" spans="1:11">
      <c r="A48" s="98"/>
      <c r="B48" s="475" t="s">
        <v>2528</v>
      </c>
      <c r="C48" s="2"/>
      <c r="D48" s="424">
        <f t="shared" si="21"/>
        <v>14417.308840097678</v>
      </c>
      <c r="E48" s="424">
        <f t="shared" si="22"/>
        <v>17216.207675000001</v>
      </c>
      <c r="F48" s="424">
        <f t="shared" si="19"/>
        <v>31633.516515097679</v>
      </c>
      <c r="G48" s="501">
        <f t="shared" si="20"/>
        <v>126496.75</v>
      </c>
      <c r="H48" s="476">
        <f>H32*I57+H32</f>
        <v>0.11397374904966079</v>
      </c>
      <c r="I48" s="476">
        <f>I64</f>
        <v>0.1361</v>
      </c>
      <c r="J48" s="491"/>
      <c r="K48" s="476">
        <f t="shared" si="23"/>
        <v>0.25007374904966079</v>
      </c>
    </row>
    <row r="49" spans="1:18">
      <c r="A49" s="98"/>
      <c r="B49" s="475" t="s">
        <v>2529</v>
      </c>
      <c r="C49" s="2"/>
      <c r="D49" s="424">
        <f t="shared" si="21"/>
        <v>14597.58681765698</v>
      </c>
      <c r="E49" s="424">
        <f t="shared" si="22"/>
        <v>17431.483850000001</v>
      </c>
      <c r="F49" s="424">
        <f t="shared" si="19"/>
        <v>32029.070667656983</v>
      </c>
      <c r="G49" s="501">
        <f t="shared" si="20"/>
        <v>128078.5</v>
      </c>
      <c r="H49" s="476">
        <f>H33*I57+H33</f>
        <v>0.11397374904966079</v>
      </c>
      <c r="I49" s="476">
        <f>I64</f>
        <v>0.1361</v>
      </c>
      <c r="J49" s="491"/>
      <c r="K49" s="476">
        <f>SUM(H49:I49)</f>
        <v>0.25007374904966079</v>
      </c>
    </row>
    <row r="50" spans="1:18">
      <c r="A50" s="98"/>
      <c r="B50" s="475" t="s">
        <v>2530</v>
      </c>
      <c r="C50" s="481"/>
      <c r="D50" s="424">
        <f t="shared" si="21"/>
        <v>9606.1919583388717</v>
      </c>
      <c r="E50" s="424">
        <f t="shared" si="22"/>
        <v>11471.086425</v>
      </c>
      <c r="F50" s="424">
        <f t="shared" si="19"/>
        <v>21077.278383338871</v>
      </c>
      <c r="G50" s="501">
        <f t="shared" si="20"/>
        <v>84284.25</v>
      </c>
      <c r="H50" s="476">
        <f>H34*I57+H34</f>
        <v>0.11397374904966079</v>
      </c>
      <c r="I50" s="476">
        <f>I64</f>
        <v>0.1361</v>
      </c>
      <c r="J50" s="491"/>
      <c r="K50" s="476">
        <f>SUM(K41:K49)/9</f>
        <v>0.25007374904966079</v>
      </c>
    </row>
    <row r="51" spans="1:18">
      <c r="A51" s="98"/>
      <c r="B51" s="475" t="s">
        <v>2531</v>
      </c>
      <c r="C51" s="481"/>
      <c r="D51" s="424">
        <f t="shared" si="21"/>
        <v>7427.3557977565069</v>
      </c>
      <c r="E51" s="424">
        <f t="shared" si="22"/>
        <v>8869.2627250000005</v>
      </c>
      <c r="F51" s="424">
        <f t="shared" si="19"/>
        <v>16296.618522756507</v>
      </c>
      <c r="G51" s="501">
        <f t="shared" si="20"/>
        <v>65167.25</v>
      </c>
      <c r="H51" s="476">
        <f>H35*I57+H35</f>
        <v>0.11397374904966079</v>
      </c>
      <c r="I51" s="476">
        <f>I64</f>
        <v>0.1361</v>
      </c>
      <c r="J51" s="491"/>
      <c r="K51" s="476">
        <f>K50</f>
        <v>0.25007374904966079</v>
      </c>
    </row>
    <row r="52" spans="1:18">
      <c r="A52" s="98"/>
      <c r="B52" s="475" t="s">
        <v>2532</v>
      </c>
      <c r="C52" s="481"/>
      <c r="D52" s="424">
        <f t="shared" si="21"/>
        <v>8416.3345116976761</v>
      </c>
      <c r="E52" s="424">
        <f t="shared" si="22"/>
        <v>10050.23645</v>
      </c>
      <c r="F52" s="424">
        <f t="shared" si="19"/>
        <v>18466.570961697675</v>
      </c>
      <c r="G52" s="501">
        <f t="shared" si="20"/>
        <v>73844.5</v>
      </c>
      <c r="H52" s="476">
        <f>H36*I57+H36</f>
        <v>0.11397374904966079</v>
      </c>
      <c r="I52" s="476">
        <f>I64</f>
        <v>0.1361</v>
      </c>
      <c r="J52" s="491"/>
      <c r="K52" s="476">
        <f>+K51</f>
        <v>0.25007374904966079</v>
      </c>
    </row>
    <row r="53" spans="1:18" ht="17" thickBot="1">
      <c r="A53" s="98"/>
      <c r="B53" s="477" t="s">
        <v>2272</v>
      </c>
      <c r="C53" s="105"/>
      <c r="D53" s="841">
        <f>SUM(D41:D52)</f>
        <v>113469.38145110567</v>
      </c>
      <c r="E53" s="841">
        <f t="shared" ref="E53:F53" si="24">SUM(E41:E52)</f>
        <v>134084.597175</v>
      </c>
      <c r="F53" s="841">
        <f t="shared" si="24"/>
        <v>247553.97862610567</v>
      </c>
      <c r="G53" s="844">
        <f>SUM(G41:G52)</f>
        <v>985191.75</v>
      </c>
      <c r="H53" s="843">
        <f>D53/G53</f>
        <v>0.11517492046711279</v>
      </c>
      <c r="I53" s="843">
        <f>E53/G53</f>
        <v>0.1361</v>
      </c>
      <c r="J53" s="845"/>
      <c r="K53" s="843">
        <f>+F53/G53</f>
        <v>0.25127492046711281</v>
      </c>
    </row>
    <row r="54" spans="1:18" ht="17" thickTop="1">
      <c r="A54" s="98"/>
      <c r="B54" s="105"/>
      <c r="C54" s="105"/>
      <c r="D54" s="112"/>
      <c r="E54" s="113"/>
      <c r="F54" s="113"/>
      <c r="G54" s="113"/>
      <c r="H54" s="114"/>
      <c r="J54" s="105"/>
      <c r="K54" s="105"/>
      <c r="L54" s="112"/>
      <c r="M54" s="113"/>
      <c r="N54" s="113"/>
      <c r="O54" s="113"/>
      <c r="P54" s="114"/>
      <c r="Q54" s="114"/>
      <c r="R54" s="114"/>
    </row>
    <row r="55" spans="1:18">
      <c r="A55" s="98"/>
      <c r="B55" s="126" t="s">
        <v>2558</v>
      </c>
      <c r="E55" s="98"/>
      <c r="F55" s="98"/>
      <c r="G55" s="98"/>
      <c r="H55" s="98"/>
      <c r="I55" s="116"/>
      <c r="J55" s="105"/>
      <c r="K55" s="126"/>
      <c r="M55" s="98"/>
      <c r="N55" s="98"/>
      <c r="O55" s="98"/>
      <c r="P55" s="98"/>
      <c r="Q55" s="98"/>
      <c r="R55" s="98"/>
    </row>
    <row r="56" spans="1:18">
      <c r="A56" s="98"/>
      <c r="B56" s="107" t="s">
        <v>2559</v>
      </c>
      <c r="D56" s="98"/>
      <c r="E56" s="98"/>
      <c r="F56" s="98"/>
      <c r="G56" s="127"/>
      <c r="I56" s="98"/>
      <c r="J56" s="105"/>
      <c r="K56" s="107"/>
      <c r="L56" s="98"/>
      <c r="M56" s="98"/>
      <c r="N56" s="98"/>
      <c r="O56" s="127"/>
      <c r="Q56" s="127"/>
    </row>
    <row r="57" spans="1:18">
      <c r="A57" s="98"/>
      <c r="B57" s="107" t="s">
        <v>2560</v>
      </c>
      <c r="D57" s="98"/>
      <c r="E57" s="98"/>
      <c r="F57" s="98"/>
      <c r="G57" s="98"/>
      <c r="I57" s="483">
        <v>0.08</v>
      </c>
      <c r="K57" s="107"/>
      <c r="M57" s="98"/>
      <c r="N57" s="98"/>
      <c r="O57" s="98"/>
      <c r="R57" s="483"/>
    </row>
    <row r="58" spans="1:18" hidden="1">
      <c r="B58" s="107"/>
      <c r="D58" s="116"/>
      <c r="E58" s="112"/>
      <c r="H58" s="484"/>
      <c r="I58" s="484"/>
      <c r="K58" s="484"/>
      <c r="L58" s="116"/>
      <c r="M58" s="112"/>
      <c r="Q58" s="484"/>
      <c r="R58" s="484"/>
    </row>
    <row r="59" spans="1:18">
      <c r="D59" s="484"/>
      <c r="E59" s="484"/>
      <c r="F59" s="484"/>
      <c r="G59" s="484"/>
      <c r="H59" s="484"/>
      <c r="I59" s="484"/>
      <c r="K59" s="107"/>
      <c r="L59" s="484"/>
      <c r="M59" s="484"/>
      <c r="N59" s="343" t="s">
        <v>2561</v>
      </c>
      <c r="O59" s="484"/>
      <c r="P59" s="484"/>
      <c r="Q59" s="484"/>
      <c r="R59" s="484"/>
    </row>
    <row r="60" spans="1:18" hidden="1">
      <c r="B60" s="466" t="s">
        <v>2562</v>
      </c>
      <c r="C60" s="484"/>
      <c r="D60" s="484"/>
      <c r="E60" s="484"/>
      <c r="F60" s="484"/>
      <c r="G60" s="484"/>
      <c r="H60" s="484"/>
      <c r="I60" s="484"/>
      <c r="K60" s="484"/>
      <c r="L60" s="484"/>
      <c r="M60" s="484"/>
      <c r="N60" s="484"/>
      <c r="O60" s="484"/>
      <c r="P60" s="484"/>
      <c r="Q60" s="484"/>
      <c r="R60" s="484"/>
    </row>
    <row r="61" spans="1:18">
      <c r="B61" s="107" t="s">
        <v>3172</v>
      </c>
      <c r="C61" s="484"/>
      <c r="D61" s="484"/>
      <c r="E61" s="484"/>
      <c r="F61" s="484"/>
      <c r="G61" s="484"/>
      <c r="H61" s="484"/>
      <c r="I61" s="484"/>
      <c r="K61" s="484"/>
      <c r="L61" s="484"/>
      <c r="M61" s="484"/>
      <c r="N61" s="466"/>
      <c r="O61" s="484"/>
      <c r="P61" s="484"/>
      <c r="Q61" s="484"/>
      <c r="R61" s="484"/>
    </row>
    <row r="62" spans="1:18">
      <c r="B62" s="107" t="s">
        <v>3173</v>
      </c>
      <c r="K62" s="484"/>
      <c r="L62" s="484"/>
      <c r="M62" s="484"/>
      <c r="N62" s="484"/>
      <c r="O62" s="484"/>
      <c r="P62" s="484"/>
      <c r="Q62" s="484"/>
      <c r="R62" s="484"/>
    </row>
    <row r="63" spans="1:18">
      <c r="B63" s="107"/>
      <c r="C63" s="484"/>
      <c r="D63" s="484"/>
      <c r="G63" s="484"/>
      <c r="H63" s="484"/>
      <c r="I63" s="484"/>
      <c r="K63" s="484"/>
      <c r="L63" s="484"/>
      <c r="M63" s="1008"/>
      <c r="N63" s="1008"/>
      <c r="O63" s="484"/>
      <c r="P63" s="484"/>
      <c r="Q63" s="484"/>
      <c r="R63" s="484"/>
    </row>
    <row r="64" spans="1:18">
      <c r="B64" s="466" t="s">
        <v>2563</v>
      </c>
      <c r="C64" s="484"/>
      <c r="D64" s="484"/>
      <c r="E64" s="484"/>
      <c r="F64" s="484"/>
      <c r="G64" s="484"/>
      <c r="H64" s="484"/>
      <c r="I64" s="767">
        <v>0.1361</v>
      </c>
      <c r="K64" s="484"/>
      <c r="L64" s="484"/>
      <c r="M64" s="484"/>
      <c r="N64" s="484"/>
      <c r="O64" s="484"/>
      <c r="P64" s="484"/>
      <c r="Q64" s="484"/>
      <c r="R64" s="484"/>
    </row>
    <row r="65" spans="2:18">
      <c r="C65" s="484"/>
      <c r="D65" s="484"/>
      <c r="G65" s="484"/>
      <c r="H65" s="484"/>
      <c r="I65" s="484"/>
      <c r="K65" s="484"/>
      <c r="L65" s="484"/>
      <c r="O65" s="484"/>
      <c r="P65" s="484"/>
      <c r="Q65" s="484"/>
      <c r="R65" s="484"/>
    </row>
    <row r="66" spans="2:18">
      <c r="C66" s="484"/>
      <c r="D66" s="484"/>
      <c r="E66" s="484"/>
      <c r="F66" s="484"/>
      <c r="G66" s="484"/>
      <c r="H66" s="484"/>
      <c r="I66" s="484"/>
      <c r="K66" s="484"/>
      <c r="L66" s="484"/>
      <c r="M66" s="484"/>
      <c r="N66" s="484"/>
      <c r="O66" s="484"/>
      <c r="P66" s="484"/>
      <c r="Q66" s="484"/>
      <c r="R66" s="484"/>
    </row>
    <row r="67" spans="2:18">
      <c r="C67" s="484"/>
      <c r="D67" s="484"/>
      <c r="E67" s="485"/>
      <c r="F67" s="485" t="s">
        <v>2564</v>
      </c>
      <c r="G67" s="484"/>
      <c r="H67" s="484"/>
      <c r="I67" s="484"/>
      <c r="K67" s="484"/>
      <c r="L67" s="484"/>
      <c r="M67" s="484"/>
      <c r="N67" s="484"/>
      <c r="O67" s="484"/>
      <c r="P67" s="484"/>
      <c r="Q67" s="484"/>
      <c r="R67" s="484"/>
    </row>
    <row r="68" spans="2:18">
      <c r="D68" s="486"/>
      <c r="F68" s="484"/>
      <c r="G68" s="484"/>
      <c r="L68" s="486"/>
      <c r="N68" s="484"/>
      <c r="O68" s="484"/>
      <c r="P68" s="484"/>
    </row>
    <row r="69" spans="2:18">
      <c r="D69" s="469" t="s">
        <v>2554</v>
      </c>
      <c r="E69" s="470"/>
      <c r="F69" s="470"/>
      <c r="G69" s="470"/>
      <c r="H69" s="469"/>
    </row>
    <row r="70" spans="2:18">
      <c r="B70" s="669">
        <f>B8-1</f>
        <v>2023</v>
      </c>
      <c r="C70" s="107"/>
      <c r="D70" s="471" t="s">
        <v>2544</v>
      </c>
      <c r="E70" s="472"/>
      <c r="F70" s="471" t="s">
        <v>2546</v>
      </c>
      <c r="G70" s="471"/>
      <c r="H70" s="471" t="s">
        <v>2549</v>
      </c>
    </row>
    <row r="71" spans="2:18">
      <c r="B71" s="23" t="s">
        <v>2522</v>
      </c>
      <c r="C71" s="23"/>
      <c r="D71" s="426">
        <v>23080.924999999999</v>
      </c>
      <c r="E71" s="473">
        <v>0</v>
      </c>
      <c r="F71" s="124">
        <v>23080.924999999999</v>
      </c>
      <c r="G71" s="124">
        <v>84800</v>
      </c>
      <c r="H71" s="474">
        <v>0.27218071933962262</v>
      </c>
      <c r="I71" s="297">
        <v>0</v>
      </c>
      <c r="K71" s="297">
        <v>0.27218071933962262</v>
      </c>
    </row>
    <row r="72" spans="2:18">
      <c r="B72" s="475" t="s">
        <v>2523</v>
      </c>
      <c r="C72" s="2"/>
      <c r="D72" s="424">
        <v>28734.39</v>
      </c>
      <c r="E72" s="124">
        <v>0</v>
      </c>
      <c r="F72" s="124">
        <v>28734.39</v>
      </c>
      <c r="G72" s="124">
        <v>126400</v>
      </c>
      <c r="H72" s="476">
        <v>0.22732903481012659</v>
      </c>
      <c r="I72" s="297">
        <v>0</v>
      </c>
      <c r="K72" s="297">
        <v>0.22732903481012659</v>
      </c>
    </row>
    <row r="73" spans="2:18">
      <c r="B73" s="475" t="s">
        <v>2524</v>
      </c>
      <c r="C73" s="2"/>
      <c r="D73" s="424">
        <v>17097.02</v>
      </c>
      <c r="E73" s="124">
        <v>0</v>
      </c>
      <c r="F73" s="124">
        <v>17097.02</v>
      </c>
      <c r="G73" s="124">
        <v>87200</v>
      </c>
      <c r="H73" s="476">
        <v>0.19606674311926606</v>
      </c>
      <c r="I73" s="297">
        <v>0</v>
      </c>
      <c r="K73" s="297">
        <v>0.19606674311926606</v>
      </c>
    </row>
    <row r="74" spans="2:18">
      <c r="B74" s="475" t="s">
        <v>2525</v>
      </c>
      <c r="C74" s="2"/>
      <c r="D74" s="424">
        <v>12474.28</v>
      </c>
      <c r="E74" s="124">
        <v>0</v>
      </c>
      <c r="F74" s="124">
        <v>12474.28</v>
      </c>
      <c r="G74" s="124">
        <v>64800</v>
      </c>
      <c r="H74" s="476">
        <v>0.19250432098765433</v>
      </c>
      <c r="I74" s="297">
        <v>0</v>
      </c>
      <c r="K74" s="297">
        <v>0.19250432098765433</v>
      </c>
    </row>
    <row r="75" spans="2:18">
      <c r="B75" s="475" t="s">
        <v>2278</v>
      </c>
      <c r="C75" s="2"/>
      <c r="D75" s="424">
        <v>22232.82</v>
      </c>
      <c r="E75" s="124">
        <v>0</v>
      </c>
      <c r="F75" s="124">
        <v>22232.82</v>
      </c>
      <c r="G75" s="124">
        <v>125600</v>
      </c>
      <c r="H75" s="476">
        <v>0.17701289808917198</v>
      </c>
      <c r="I75" s="297">
        <v>0</v>
      </c>
      <c r="K75" s="297">
        <v>0.17701289808917198</v>
      </c>
    </row>
    <row r="76" spans="2:18">
      <c r="B76" s="475" t="s">
        <v>2526</v>
      </c>
      <c r="C76" s="2"/>
      <c r="D76" s="424">
        <v>34074.83</v>
      </c>
      <c r="E76" s="124">
        <v>0</v>
      </c>
      <c r="F76" s="124">
        <v>34074.83</v>
      </c>
      <c r="G76" s="124">
        <v>173600</v>
      </c>
      <c r="H76" s="476">
        <v>0.19628358294930875</v>
      </c>
      <c r="I76" s="297">
        <v>0</v>
      </c>
      <c r="K76" s="297">
        <v>0.19628358294930875</v>
      </c>
    </row>
    <row r="77" spans="2:18">
      <c r="B77" s="475" t="s">
        <v>2527</v>
      </c>
      <c r="C77" s="2"/>
      <c r="D77" s="424">
        <v>37282.949999999997</v>
      </c>
      <c r="E77" s="124">
        <v>0</v>
      </c>
      <c r="F77" s="124">
        <v>37282.949999999997</v>
      </c>
      <c r="G77" s="124">
        <v>188000</v>
      </c>
      <c r="H77" s="476">
        <v>0.19831356382978721</v>
      </c>
      <c r="I77" s="297">
        <v>0</v>
      </c>
      <c r="K77" s="297">
        <v>0.19831356382978721</v>
      </c>
    </row>
    <row r="78" spans="2:18">
      <c r="B78" s="475" t="s">
        <v>2528</v>
      </c>
      <c r="C78" s="2"/>
      <c r="D78" s="424">
        <v>17456.04</v>
      </c>
      <c r="E78" s="124">
        <v>18038.75</v>
      </c>
      <c r="F78" s="124">
        <v>35494.79</v>
      </c>
      <c r="G78" s="124">
        <v>181600</v>
      </c>
      <c r="H78" s="476">
        <v>9.6123568281938326E-2</v>
      </c>
      <c r="I78" s="297">
        <v>9.9332323788546256E-2</v>
      </c>
      <c r="K78" s="297">
        <v>0.19545589207048458</v>
      </c>
    </row>
    <row r="79" spans="2:18">
      <c r="B79" s="475" t="s">
        <v>2529</v>
      </c>
      <c r="C79" s="2"/>
      <c r="D79" s="424">
        <v>19817.25</v>
      </c>
      <c r="E79" s="124">
        <v>17490.27</v>
      </c>
      <c r="F79" s="124">
        <v>37307.520000000004</v>
      </c>
      <c r="G79" s="124">
        <v>184000</v>
      </c>
      <c r="H79" s="476">
        <v>0.10770244565217392</v>
      </c>
      <c r="I79" s="297">
        <v>9.5055815217391301E-2</v>
      </c>
      <c r="K79" s="297">
        <v>0.20275826086956522</v>
      </c>
    </row>
    <row r="80" spans="2:18">
      <c r="B80" s="475" t="s">
        <v>2551</v>
      </c>
      <c r="C80" s="2"/>
      <c r="D80" s="424">
        <v>11790.45</v>
      </c>
      <c r="E80" s="124">
        <v>9746.0499999999993</v>
      </c>
      <c r="F80" s="124">
        <v>27148.45</v>
      </c>
      <c r="G80" s="124">
        <v>102747</v>
      </c>
      <c r="H80" s="476">
        <v>0.11475225554030775</v>
      </c>
      <c r="I80" s="297">
        <v>0.14947395057763244</v>
      </c>
      <c r="K80" s="297">
        <v>0.26422620611794018</v>
      </c>
    </row>
    <row r="81" spans="2:11">
      <c r="B81" s="475" t="s">
        <v>2552</v>
      </c>
      <c r="C81" s="2"/>
      <c r="D81" s="424">
        <v>8058.28</v>
      </c>
      <c r="E81" s="124">
        <v>9876.33</v>
      </c>
      <c r="F81" s="124">
        <v>24978.809999999998</v>
      </c>
      <c r="G81" s="124">
        <v>80696</v>
      </c>
      <c r="H81" s="476">
        <v>9.9859720432239507E-2</v>
      </c>
      <c r="I81" s="297">
        <v>0.20968238822246454</v>
      </c>
      <c r="K81" s="297">
        <v>0.30954210865470405</v>
      </c>
    </row>
    <row r="82" spans="2:11">
      <c r="B82" s="475" t="s">
        <v>2553</v>
      </c>
      <c r="C82" s="2"/>
      <c r="D82" s="424">
        <v>9567.7900000000009</v>
      </c>
      <c r="E82" s="124">
        <v>10580.37</v>
      </c>
      <c r="F82" s="124">
        <v>18951.849999999999</v>
      </c>
      <c r="G82" s="124">
        <v>88000</v>
      </c>
      <c r="H82" s="476">
        <v>0.10872488636363638</v>
      </c>
      <c r="I82" s="297">
        <v>0.10663704545454544</v>
      </c>
      <c r="K82" s="297">
        <v>0.21536193181818181</v>
      </c>
    </row>
    <row r="83" spans="2:11" ht="17" thickBot="1">
      <c r="B83" s="297" t="s">
        <v>2272</v>
      </c>
      <c r="D83" s="841">
        <f>SUM(D71:D82)</f>
        <v>241667.02500000005</v>
      </c>
      <c r="E83" s="842"/>
      <c r="F83" s="842">
        <f>SUM(F71:F82)</f>
        <v>318858.63500000001</v>
      </c>
      <c r="G83" s="842"/>
      <c r="H83" s="843">
        <f>+D83/F83</f>
        <v>0.7579127502694103</v>
      </c>
    </row>
    <row r="84" spans="2:11" ht="17" thickTop="1"/>
  </sheetData>
  <mergeCells count="1">
    <mergeCell ref="M63:N63"/>
  </mergeCells>
  <printOptions horizontalCentered="1"/>
  <pageMargins left="0" right="0" top="0" bottom="0" header="0.3" footer="0.3"/>
  <pageSetup scale="74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R85"/>
  <sheetViews>
    <sheetView view="pageBreakPreview" topLeftCell="A37" zoomScale="85" zoomScaleNormal="100" zoomScaleSheetLayoutView="85" workbookViewId="0">
      <selection activeCell="Q46" sqref="Q46"/>
    </sheetView>
  </sheetViews>
  <sheetFormatPr baseColWidth="10" defaultColWidth="8.85546875" defaultRowHeight="16"/>
  <cols>
    <col min="1" max="1" width="1.7109375" style="297" customWidth="1"/>
    <col min="2" max="2" width="9.42578125" style="297" customWidth="1"/>
    <col min="3" max="3" width="7.28515625" style="297" customWidth="1"/>
    <col min="4" max="4" width="9.42578125" style="297" customWidth="1"/>
    <col min="5" max="5" width="8.5703125" style="297" customWidth="1"/>
    <col min="6" max="6" width="9.42578125" style="297" customWidth="1"/>
    <col min="7" max="7" width="15.140625" style="297" customWidth="1"/>
    <col min="8" max="8" width="13.7109375" style="297" customWidth="1"/>
    <col min="9" max="9" width="3.85546875" style="297" customWidth="1"/>
    <col min="10" max="10" width="9.28515625" style="297" customWidth="1"/>
    <col min="11" max="11" width="15.5703125" style="297" customWidth="1"/>
    <col min="12" max="12" width="9.42578125" style="297" customWidth="1"/>
    <col min="13" max="13" width="2.85546875" style="297" customWidth="1"/>
    <col min="14" max="14" width="9.42578125" style="297" customWidth="1"/>
    <col min="15" max="17" width="2.85546875" style="297" customWidth="1"/>
    <col min="18" max="18" width="9.42578125" style="297" customWidth="1"/>
    <col min="19" max="16384" width="8.85546875" style="297"/>
  </cols>
  <sheetData>
    <row r="1" spans="1:18">
      <c r="D1" s="98"/>
      <c r="E1" s="99" t="str">
        <f>+yrlycomp!H1</f>
        <v>444 East 86th Street Owners Corp.</v>
      </c>
      <c r="H1" s="99"/>
      <c r="I1" s="99"/>
    </row>
    <row r="2" spans="1:18">
      <c r="B2" s="98"/>
      <c r="C2" s="98"/>
      <c r="D2" s="98"/>
      <c r="E2" s="100" t="s">
        <v>2541</v>
      </c>
      <c r="H2" s="100"/>
      <c r="I2" s="99"/>
      <c r="J2" s="99"/>
    </row>
    <row r="3" spans="1:18">
      <c r="B3" s="100" t="s">
        <v>2513</v>
      </c>
      <c r="C3" s="98"/>
      <c r="D3" s="98"/>
      <c r="E3" s="101" t="str">
        <f>+yrlycomp!H3</f>
        <v>For Year Ending 12/31/2026</v>
      </c>
      <c r="H3" s="101"/>
      <c r="I3" s="101"/>
    </row>
    <row r="4" spans="1:18">
      <c r="B4" s="100"/>
      <c r="C4" s="98"/>
      <c r="D4" s="98"/>
      <c r="E4" s="101"/>
      <c r="H4" s="101"/>
      <c r="I4" s="98"/>
    </row>
    <row r="5" spans="1:18">
      <c r="B5" s="467" t="s">
        <v>2184</v>
      </c>
      <c r="J5" s="467"/>
    </row>
    <row r="6" spans="1:18">
      <c r="B6" s="468" t="s">
        <v>859</v>
      </c>
      <c r="J6" s="468"/>
    </row>
    <row r="7" spans="1:18">
      <c r="A7" s="98"/>
      <c r="C7" s="98"/>
      <c r="D7" s="469" t="s">
        <v>3168</v>
      </c>
      <c r="E7" s="470"/>
      <c r="F7" s="470"/>
      <c r="G7" s="470"/>
      <c r="H7" s="469"/>
      <c r="K7" s="98"/>
      <c r="L7" s="487"/>
      <c r="M7" s="488"/>
      <c r="N7" s="488"/>
      <c r="O7" s="488"/>
      <c r="P7" s="487"/>
      <c r="Q7" s="487"/>
      <c r="R7" s="487"/>
    </row>
    <row r="8" spans="1:18">
      <c r="A8" s="98"/>
      <c r="B8" s="669">
        <f>Electric!B8</f>
        <v>2024</v>
      </c>
      <c r="C8" s="107"/>
      <c r="D8" s="471" t="s">
        <v>2544</v>
      </c>
      <c r="E8" s="472"/>
      <c r="F8" s="471" t="s">
        <v>2546</v>
      </c>
      <c r="G8" s="471"/>
      <c r="H8" s="471" t="s">
        <v>2549</v>
      </c>
      <c r="J8" s="482"/>
      <c r="K8" s="107"/>
      <c r="L8" s="489" t="s">
        <v>2565</v>
      </c>
      <c r="M8" s="490"/>
      <c r="N8" s="489"/>
      <c r="O8" s="489"/>
      <c r="P8" s="490"/>
      <c r="Q8" s="490"/>
      <c r="R8" s="489"/>
    </row>
    <row r="9" spans="1:18">
      <c r="A9" s="98"/>
      <c r="B9" s="23" t="s">
        <v>2522</v>
      </c>
      <c r="C9" s="23"/>
      <c r="D9" s="426">
        <v>204.22</v>
      </c>
      <c r="E9" s="473"/>
      <c r="F9" s="501">
        <v>491</v>
      </c>
      <c r="G9" s="124"/>
      <c r="H9" s="474">
        <f>+D9/F9</f>
        <v>0.41592668024439916</v>
      </c>
      <c r="J9" s="23"/>
      <c r="K9" s="23"/>
      <c r="L9" s="426"/>
      <c r="M9" s="473"/>
      <c r="N9" s="124"/>
      <c r="O9" s="124"/>
      <c r="P9" s="491"/>
      <c r="Q9" s="491"/>
      <c r="R9" s="474"/>
    </row>
    <row r="10" spans="1:18">
      <c r="A10" s="98"/>
      <c r="B10" s="475" t="s">
        <v>2523</v>
      </c>
      <c r="C10" s="2"/>
      <c r="D10" s="424">
        <v>151.33000000000001</v>
      </c>
      <c r="E10" s="124"/>
      <c r="F10" s="501">
        <v>374</v>
      </c>
      <c r="G10" s="124"/>
      <c r="H10" s="476">
        <f t="shared" ref="H10:H20" si="0">+D10/F10</f>
        <v>0.40462566844919789</v>
      </c>
      <c r="J10" s="475"/>
      <c r="K10" s="2"/>
      <c r="L10" s="424"/>
      <c r="M10" s="124"/>
      <c r="N10" s="124"/>
      <c r="O10" s="124"/>
      <c r="P10" s="491"/>
      <c r="Q10" s="491"/>
      <c r="R10" s="476"/>
    </row>
    <row r="11" spans="1:18">
      <c r="A11" s="98"/>
      <c r="B11" s="475" t="s">
        <v>2524</v>
      </c>
      <c r="C11" s="2"/>
      <c r="D11" s="424">
        <v>142.13999999999999</v>
      </c>
      <c r="E11" s="124"/>
      <c r="F11" s="501">
        <v>322</v>
      </c>
      <c r="G11" s="124"/>
      <c r="H11" s="476">
        <f t="shared" si="0"/>
        <v>0.44142857142857139</v>
      </c>
      <c r="J11" s="475"/>
      <c r="K11" s="2">
        <v>70788120007</v>
      </c>
      <c r="L11" s="424"/>
      <c r="M11" s="124"/>
      <c r="N11" s="124"/>
      <c r="O11" s="124"/>
      <c r="P11" s="491"/>
      <c r="Q11" s="491"/>
      <c r="R11" s="476"/>
    </row>
    <row r="12" spans="1:18">
      <c r="A12" s="98"/>
      <c r="B12" s="475" t="s">
        <v>2525</v>
      </c>
      <c r="C12" s="2"/>
      <c r="D12" s="424">
        <v>124.25</v>
      </c>
      <c r="E12" s="124"/>
      <c r="F12" s="501">
        <v>309</v>
      </c>
      <c r="G12" s="124"/>
      <c r="H12" s="476">
        <f t="shared" si="0"/>
        <v>0.40210355987055019</v>
      </c>
      <c r="J12" s="475"/>
      <c r="K12" s="2"/>
      <c r="L12" s="424"/>
      <c r="M12" s="124"/>
      <c r="N12" s="124"/>
      <c r="O12" s="124"/>
      <c r="P12" s="491"/>
      <c r="Q12" s="491"/>
      <c r="R12" s="476"/>
    </row>
    <row r="13" spans="1:18">
      <c r="A13" s="98"/>
      <c r="B13" s="475" t="s">
        <v>2278</v>
      </c>
      <c r="C13" s="2"/>
      <c r="D13" s="424">
        <v>189.94</v>
      </c>
      <c r="E13" s="124"/>
      <c r="F13" s="501">
        <v>523</v>
      </c>
      <c r="G13" s="124"/>
      <c r="H13" s="476">
        <f t="shared" si="0"/>
        <v>0.36317399617590823</v>
      </c>
      <c r="J13" s="475"/>
      <c r="K13" s="2"/>
      <c r="L13" s="424"/>
      <c r="M13" s="124"/>
      <c r="N13" s="124"/>
      <c r="O13" s="124"/>
      <c r="P13" s="491"/>
      <c r="Q13" s="491"/>
      <c r="R13" s="476"/>
    </row>
    <row r="14" spans="1:18">
      <c r="A14" s="98"/>
      <c r="B14" s="475" t="s">
        <v>2526</v>
      </c>
      <c r="C14" s="2"/>
      <c r="D14" s="424">
        <v>599.82000000000005</v>
      </c>
      <c r="E14" s="124"/>
      <c r="F14" s="501">
        <v>1649</v>
      </c>
      <c r="G14" s="124"/>
      <c r="H14" s="476">
        <f t="shared" si="0"/>
        <v>0.36374772589448151</v>
      </c>
      <c r="J14" s="475"/>
      <c r="K14" s="2"/>
      <c r="L14" s="424"/>
      <c r="M14" s="124"/>
      <c r="N14" s="124"/>
      <c r="O14" s="124"/>
      <c r="P14" s="491"/>
      <c r="Q14" s="491"/>
      <c r="R14" s="476"/>
    </row>
    <row r="15" spans="1:18">
      <c r="A15" s="98"/>
      <c r="B15" s="475" t="s">
        <v>2527</v>
      </c>
      <c r="C15" s="2"/>
      <c r="D15" s="424">
        <v>507.66</v>
      </c>
      <c r="E15" s="124"/>
      <c r="F15" s="501">
        <v>1355</v>
      </c>
      <c r="G15" s="124"/>
      <c r="H15" s="476">
        <f t="shared" si="0"/>
        <v>0.37465682656826571</v>
      </c>
      <c r="J15" s="475"/>
      <c r="K15" s="2"/>
      <c r="L15" s="424"/>
      <c r="M15" s="124"/>
      <c r="N15" s="124"/>
      <c r="O15" s="124"/>
      <c r="P15" s="491"/>
      <c r="Q15" s="491"/>
      <c r="R15" s="476"/>
    </row>
    <row r="16" spans="1:18">
      <c r="A16" s="98"/>
      <c r="B16" s="475" t="s">
        <v>2528</v>
      </c>
      <c r="C16" s="2"/>
      <c r="D16" s="424">
        <v>436.46</v>
      </c>
      <c r="E16" s="124"/>
      <c r="F16" s="501">
        <v>1152</v>
      </c>
      <c r="G16" s="124"/>
      <c r="H16" s="476">
        <f t="shared" si="0"/>
        <v>0.37887152777777777</v>
      </c>
      <c r="J16" s="475"/>
      <c r="K16" s="2"/>
      <c r="L16" s="424"/>
      <c r="M16" s="124"/>
      <c r="N16" s="124"/>
      <c r="O16" s="124"/>
      <c r="P16" s="491"/>
      <c r="Q16" s="491"/>
      <c r="R16" s="476"/>
    </row>
    <row r="17" spans="1:18">
      <c r="A17" s="98"/>
      <c r="B17" s="475" t="s">
        <v>2529</v>
      </c>
      <c r="C17" s="2"/>
      <c r="D17" s="424">
        <v>313.62</v>
      </c>
      <c r="E17" s="124"/>
      <c r="F17" s="501">
        <v>778</v>
      </c>
      <c r="G17" s="124"/>
      <c r="H17" s="476">
        <f t="shared" si="0"/>
        <v>0.40311053984575834</v>
      </c>
      <c r="J17" s="475"/>
      <c r="K17" s="2"/>
      <c r="L17" s="424"/>
      <c r="M17" s="124"/>
      <c r="N17" s="124"/>
      <c r="O17" s="124"/>
      <c r="P17" s="491"/>
      <c r="Q17" s="491"/>
      <c r="R17" s="476"/>
    </row>
    <row r="18" spans="1:18">
      <c r="A18" s="98"/>
      <c r="B18" s="475" t="s">
        <v>2551</v>
      </c>
      <c r="C18" s="2"/>
      <c r="D18" s="424">
        <v>186.68</v>
      </c>
      <c r="E18" s="124"/>
      <c r="F18" s="501">
        <v>418</v>
      </c>
      <c r="G18" s="124"/>
      <c r="H18" s="476">
        <f t="shared" si="0"/>
        <v>0.44660287081339717</v>
      </c>
      <c r="J18" s="475"/>
      <c r="K18" s="2"/>
      <c r="L18" s="424"/>
      <c r="M18" s="124"/>
      <c r="N18" s="124"/>
      <c r="O18" s="124"/>
      <c r="P18" s="491"/>
      <c r="Q18" s="491"/>
      <c r="R18" s="476"/>
    </row>
    <row r="19" spans="1:18">
      <c r="A19" s="98"/>
      <c r="B19" s="475" t="s">
        <v>2552</v>
      </c>
      <c r="C19" s="2"/>
      <c r="D19" s="424">
        <v>178.62</v>
      </c>
      <c r="E19" s="124"/>
      <c r="F19" s="501">
        <v>415</v>
      </c>
      <c r="G19" s="124"/>
      <c r="H19" s="476">
        <f t="shared" si="0"/>
        <v>0.43040963855421688</v>
      </c>
      <c r="J19" s="475"/>
      <c r="K19" s="2"/>
      <c r="L19" s="424"/>
      <c r="M19" s="124"/>
      <c r="N19" s="124"/>
      <c r="O19" s="124"/>
      <c r="P19" s="491"/>
      <c r="Q19" s="491"/>
      <c r="R19" s="476"/>
    </row>
    <row r="20" spans="1:18">
      <c r="A20" s="98"/>
      <c r="B20" s="475" t="s">
        <v>2553</v>
      </c>
      <c r="C20" s="2"/>
      <c r="D20" s="424">
        <v>246.85</v>
      </c>
      <c r="E20" s="124"/>
      <c r="F20" s="501">
        <v>578</v>
      </c>
      <c r="G20" s="124"/>
      <c r="H20" s="476">
        <f t="shared" si="0"/>
        <v>0.42707612456747401</v>
      </c>
      <c r="J20" s="475"/>
      <c r="K20" s="2"/>
      <c r="L20" s="424"/>
      <c r="M20" s="124"/>
      <c r="N20" s="124"/>
      <c r="O20" s="124"/>
      <c r="P20" s="491"/>
      <c r="Q20" s="491"/>
      <c r="R20" s="476"/>
    </row>
    <row r="21" spans="1:18" ht="17" thickBot="1">
      <c r="A21" s="98"/>
      <c r="B21" s="477" t="s">
        <v>2272</v>
      </c>
      <c r="C21" s="105"/>
      <c r="D21" s="841">
        <f>SUM(D9:D20)</f>
        <v>3281.5899999999997</v>
      </c>
      <c r="E21" s="842"/>
      <c r="F21" s="844">
        <f>SUM(F9:F20)</f>
        <v>8364</v>
      </c>
      <c r="G21" s="842"/>
      <c r="H21" s="843">
        <f t="shared" ref="H21" si="1">+D21/F21</f>
        <v>0.3923469631755141</v>
      </c>
      <c r="I21" s="3"/>
      <c r="J21" s="477"/>
      <c r="K21" s="105"/>
      <c r="L21" s="432"/>
      <c r="M21" s="492"/>
      <c r="N21" s="492"/>
      <c r="O21" s="492"/>
      <c r="P21" s="493"/>
      <c r="Q21" s="493"/>
      <c r="R21" s="494"/>
    </row>
    <row r="22" spans="1:18" ht="17" thickTop="1">
      <c r="A22" s="98"/>
      <c r="B22" s="478"/>
      <c r="C22" s="105"/>
      <c r="D22" s="112"/>
      <c r="E22" s="113"/>
      <c r="F22" s="113"/>
      <c r="G22" s="113"/>
      <c r="H22" s="114"/>
      <c r="J22" s="478"/>
      <c r="K22" s="105"/>
      <c r="L22" s="112"/>
      <c r="M22" s="113"/>
      <c r="N22" s="113"/>
      <c r="O22" s="113"/>
      <c r="P22" s="114"/>
      <c r="Q22" s="114"/>
      <c r="R22" s="114"/>
    </row>
    <row r="23" spans="1:18">
      <c r="A23" s="98"/>
      <c r="B23" s="478"/>
      <c r="C23" s="98"/>
      <c r="D23" s="469" t="str">
        <f>D7</f>
        <v>Con Ed #42-2039-0422-3500-0 new account #70788-12000-7</v>
      </c>
      <c r="E23" s="470"/>
      <c r="F23" s="470"/>
      <c r="G23" s="470"/>
      <c r="H23" s="479"/>
      <c r="J23" s="478"/>
      <c r="K23" s="98"/>
      <c r="L23" s="487"/>
      <c r="M23" s="488"/>
      <c r="N23" s="488"/>
      <c r="O23" s="488"/>
      <c r="P23" s="495"/>
      <c r="Q23" s="495"/>
      <c r="R23" s="495"/>
    </row>
    <row r="24" spans="1:18">
      <c r="A24" s="98"/>
      <c r="B24" s="669">
        <f>B8+1</f>
        <v>2025</v>
      </c>
      <c r="C24" s="107"/>
      <c r="D24" s="471" t="str">
        <f>+D8</f>
        <v>Con Ed</v>
      </c>
      <c r="E24" s="472"/>
      <c r="F24" s="471" t="s">
        <v>2546</v>
      </c>
      <c r="G24" s="471"/>
      <c r="H24" s="471" t="s">
        <v>2549</v>
      </c>
      <c r="J24" s="482"/>
      <c r="K24" s="107"/>
      <c r="L24" s="489"/>
      <c r="M24" s="490"/>
      <c r="N24" s="489"/>
      <c r="O24" s="489"/>
      <c r="P24" s="490"/>
      <c r="Q24" s="490"/>
      <c r="R24" s="489"/>
    </row>
    <row r="25" spans="1:18">
      <c r="A25" s="98"/>
      <c r="B25" s="23" t="s">
        <v>2522</v>
      </c>
      <c r="C25" s="23"/>
      <c r="D25" s="426">
        <v>259.51</v>
      </c>
      <c r="E25" s="473"/>
      <c r="F25" s="501">
        <v>591</v>
      </c>
      <c r="G25" s="124"/>
      <c r="H25" s="474">
        <f t="shared" ref="H25:H31" si="2">+D25/F25</f>
        <v>0.43910321489001691</v>
      </c>
      <c r="J25" s="23"/>
      <c r="K25" s="23"/>
      <c r="L25" s="426"/>
      <c r="M25" s="473"/>
      <c r="N25" s="124"/>
      <c r="O25" s="124"/>
      <c r="P25" s="491"/>
      <c r="Q25" s="491"/>
      <c r="R25" s="474"/>
    </row>
    <row r="26" spans="1:18">
      <c r="A26" s="98"/>
      <c r="B26" s="475" t="s">
        <v>2523</v>
      </c>
      <c r="C26" s="2"/>
      <c r="D26" s="424">
        <v>192.08</v>
      </c>
      <c r="E26" s="124"/>
      <c r="F26" s="501">
        <v>404</v>
      </c>
      <c r="G26" s="124"/>
      <c r="H26" s="476">
        <f t="shared" si="2"/>
        <v>0.47544554455445548</v>
      </c>
      <c r="J26" s="475"/>
      <c r="K26" s="2"/>
      <c r="L26" s="424"/>
      <c r="M26" s="124"/>
      <c r="N26" s="124"/>
      <c r="O26" s="124"/>
      <c r="P26" s="491"/>
      <c r="Q26" s="491"/>
      <c r="R26" s="476"/>
    </row>
    <row r="27" spans="1:18">
      <c r="A27" s="98"/>
      <c r="B27" s="475" t="s">
        <v>2524</v>
      </c>
      <c r="C27" s="2"/>
      <c r="D27" s="424">
        <v>157.38999999999999</v>
      </c>
      <c r="E27" s="124"/>
      <c r="F27" s="501">
        <v>341</v>
      </c>
      <c r="G27" s="124"/>
      <c r="H27" s="476">
        <f t="shared" si="2"/>
        <v>0.46155425219941343</v>
      </c>
      <c r="J27" s="475"/>
      <c r="K27" s="2"/>
      <c r="L27" s="424"/>
      <c r="M27" s="124"/>
      <c r="N27" s="124"/>
      <c r="O27" s="124"/>
      <c r="P27" s="491"/>
      <c r="Q27" s="491"/>
      <c r="R27" s="476"/>
    </row>
    <row r="28" spans="1:18">
      <c r="A28" s="98"/>
      <c r="B28" s="475" t="s">
        <v>2525</v>
      </c>
      <c r="C28" s="2"/>
      <c r="D28" s="424">
        <v>151.62</v>
      </c>
      <c r="E28" s="124"/>
      <c r="F28" s="501">
        <v>315</v>
      </c>
      <c r="G28" s="124"/>
      <c r="H28" s="476">
        <f t="shared" si="2"/>
        <v>0.48133333333333334</v>
      </c>
      <c r="J28" s="475"/>
      <c r="K28" s="2"/>
      <c r="L28" s="424"/>
      <c r="M28" s="124"/>
      <c r="N28" s="124"/>
      <c r="O28" s="124"/>
      <c r="P28" s="491"/>
      <c r="Q28" s="491"/>
      <c r="R28" s="476"/>
    </row>
    <row r="29" spans="1:18">
      <c r="A29" s="98"/>
      <c r="B29" s="475" t="s">
        <v>2278</v>
      </c>
      <c r="C29" s="2"/>
      <c r="D29" s="424">
        <v>158.22</v>
      </c>
      <c r="E29" s="124"/>
      <c r="F29" s="501">
        <v>325</v>
      </c>
      <c r="G29" s="124"/>
      <c r="H29" s="476">
        <f t="shared" si="2"/>
        <v>0.48683076923076923</v>
      </c>
      <c r="J29" s="475"/>
      <c r="K29" s="2"/>
      <c r="L29" s="424"/>
      <c r="M29" s="124"/>
      <c r="N29" s="124"/>
      <c r="O29" s="124"/>
      <c r="P29" s="491"/>
      <c r="Q29" s="491"/>
      <c r="R29" s="476"/>
    </row>
    <row r="30" spans="1:18">
      <c r="A30" s="98"/>
      <c r="B30" s="475" t="s">
        <v>2526</v>
      </c>
      <c r="C30" s="2"/>
      <c r="D30" s="424">
        <v>200.59</v>
      </c>
      <c r="E30" s="124"/>
      <c r="F30" s="501">
        <v>415</v>
      </c>
      <c r="G30" s="124"/>
      <c r="H30" s="476">
        <f t="shared" si="2"/>
        <v>0.48334939759036144</v>
      </c>
      <c r="J30" s="475"/>
      <c r="K30" s="2"/>
      <c r="L30" s="424"/>
      <c r="M30" s="124"/>
      <c r="N30" s="124"/>
      <c r="O30" s="124"/>
      <c r="P30" s="491"/>
      <c r="Q30" s="491"/>
      <c r="R30" s="476"/>
    </row>
    <row r="31" spans="1:18">
      <c r="A31" s="98"/>
      <c r="B31" s="475" t="s">
        <v>2527</v>
      </c>
      <c r="C31" s="481"/>
      <c r="D31" s="424">
        <v>242.31</v>
      </c>
      <c r="E31" s="124"/>
      <c r="F31" s="501">
        <v>506</v>
      </c>
      <c r="G31" s="124"/>
      <c r="H31" s="476">
        <f t="shared" si="2"/>
        <v>0.47887351778656129</v>
      </c>
      <c r="J31" s="475"/>
      <c r="K31" s="2"/>
      <c r="L31" s="424"/>
      <c r="M31" s="124"/>
      <c r="N31" s="124"/>
      <c r="O31" s="124"/>
      <c r="P31" s="491"/>
      <c r="Q31" s="491"/>
      <c r="R31" s="476"/>
    </row>
    <row r="32" spans="1:18">
      <c r="A32" s="98"/>
      <c r="B32" s="475" t="s">
        <v>2528</v>
      </c>
      <c r="C32" s="481" t="s">
        <v>2309</v>
      </c>
      <c r="D32" s="424">
        <f t="shared" ref="D32:D36" si="3">+F32*H32</f>
        <v>379.77399768375267</v>
      </c>
      <c r="E32" s="124"/>
      <c r="F32" s="501">
        <f t="shared" ref="F32:F36" si="4">+(F16+F79)/2</f>
        <v>804</v>
      </c>
      <c r="G32" s="124"/>
      <c r="H32" s="476">
        <f>SUM(H25:H31)/7</f>
        <v>0.47235571851213015</v>
      </c>
      <c r="J32" s="475"/>
      <c r="K32" s="2"/>
      <c r="L32" s="424"/>
      <c r="M32" s="124"/>
      <c r="N32" s="124"/>
      <c r="O32" s="124"/>
      <c r="P32" s="491"/>
      <c r="Q32" s="491"/>
      <c r="R32" s="476"/>
    </row>
    <row r="33" spans="1:18">
      <c r="A33" s="98"/>
      <c r="B33" s="475" t="s">
        <v>2529</v>
      </c>
      <c r="C33" s="481" t="s">
        <v>2309</v>
      </c>
      <c r="D33" s="424">
        <f t="shared" si="3"/>
        <v>305.61414987734821</v>
      </c>
      <c r="E33" s="124"/>
      <c r="F33" s="501">
        <f t="shared" si="4"/>
        <v>647</v>
      </c>
      <c r="G33" s="124"/>
      <c r="H33" s="476">
        <f>H32</f>
        <v>0.47235571851213015</v>
      </c>
      <c r="I33" s="480"/>
      <c r="J33" s="475"/>
      <c r="K33" s="2"/>
      <c r="L33" s="424"/>
      <c r="M33" s="124"/>
      <c r="N33" s="124"/>
      <c r="O33" s="124"/>
      <c r="P33" s="491"/>
      <c r="Q33" s="491"/>
      <c r="R33" s="476"/>
    </row>
    <row r="34" spans="1:18">
      <c r="A34" s="98"/>
      <c r="B34" s="475" t="s">
        <v>2530</v>
      </c>
      <c r="C34" s="481" t="s">
        <v>2309</v>
      </c>
      <c r="D34" s="424">
        <f t="shared" si="3"/>
        <v>194.37437816774155</v>
      </c>
      <c r="E34" s="124"/>
      <c r="F34" s="501">
        <f t="shared" si="4"/>
        <v>411.5</v>
      </c>
      <c r="G34" s="124"/>
      <c r="H34" s="476">
        <f>H32</f>
        <v>0.47235571851213015</v>
      </c>
      <c r="J34" s="475"/>
      <c r="K34" s="2"/>
      <c r="L34" s="424"/>
      <c r="M34" s="124"/>
      <c r="N34" s="124"/>
      <c r="O34" s="124"/>
      <c r="P34" s="491"/>
      <c r="Q34" s="491"/>
      <c r="R34" s="476"/>
    </row>
    <row r="35" spans="1:18">
      <c r="A35" s="98"/>
      <c r="B35" s="475" t="s">
        <v>2531</v>
      </c>
      <c r="C35" s="481" t="s">
        <v>2309</v>
      </c>
      <c r="D35" s="424">
        <f t="shared" si="3"/>
        <v>177.841928019817</v>
      </c>
      <c r="E35" s="124"/>
      <c r="F35" s="501">
        <f t="shared" si="4"/>
        <v>376.5</v>
      </c>
      <c r="G35" s="124"/>
      <c r="H35" s="476">
        <f>H32</f>
        <v>0.47235571851213015</v>
      </c>
      <c r="J35" s="475"/>
      <c r="K35" s="2"/>
      <c r="L35" s="424"/>
      <c r="M35" s="124"/>
      <c r="N35" s="124"/>
      <c r="O35" s="124"/>
      <c r="P35" s="491"/>
      <c r="Q35" s="491"/>
      <c r="R35" s="476"/>
    </row>
    <row r="36" spans="1:18">
      <c r="A36" s="98"/>
      <c r="B36" s="475" t="s">
        <v>2532</v>
      </c>
      <c r="C36" s="481" t="s">
        <v>2309</v>
      </c>
      <c r="D36" s="424">
        <f t="shared" si="3"/>
        <v>253.41884298175782</v>
      </c>
      <c r="E36" s="124"/>
      <c r="F36" s="501">
        <f t="shared" si="4"/>
        <v>536.5</v>
      </c>
      <c r="G36" s="124"/>
      <c r="H36" s="476">
        <f>H32</f>
        <v>0.47235571851213015</v>
      </c>
      <c r="J36" s="475"/>
      <c r="K36" s="2"/>
      <c r="L36" s="424"/>
      <c r="M36" s="124"/>
      <c r="N36" s="124"/>
      <c r="O36" s="124"/>
      <c r="P36" s="491"/>
      <c r="Q36" s="491"/>
      <c r="R36" s="476"/>
    </row>
    <row r="37" spans="1:18" ht="17" thickBot="1">
      <c r="A37" s="98"/>
      <c r="B37" s="477" t="s">
        <v>2272</v>
      </c>
      <c r="C37" s="105"/>
      <c r="D37" s="841">
        <f>SUM(D25:D36)</f>
        <v>2672.7432967304171</v>
      </c>
      <c r="E37" s="842"/>
      <c r="F37" s="844">
        <f>SUM(F25:F36)</f>
        <v>5672.5</v>
      </c>
      <c r="G37" s="842"/>
      <c r="H37" s="843">
        <f>+D37/F37</f>
        <v>0.4711755481234759</v>
      </c>
      <c r="I37" s="3"/>
      <c r="J37" s="477"/>
      <c r="K37" s="105"/>
      <c r="L37" s="432"/>
      <c r="M37" s="492"/>
      <c r="N37" s="492"/>
      <c r="O37" s="492"/>
      <c r="P37" s="493"/>
      <c r="Q37" s="493"/>
      <c r="R37" s="494"/>
    </row>
    <row r="38" spans="1:18" ht="17" thickTop="1">
      <c r="A38" s="98"/>
      <c r="B38" s="478"/>
      <c r="C38" s="105"/>
      <c r="D38" s="112"/>
      <c r="E38" s="113"/>
      <c r="F38" s="113"/>
      <c r="G38" s="113"/>
      <c r="H38" s="114"/>
      <c r="J38" s="478"/>
      <c r="K38" s="105"/>
      <c r="L38" s="112"/>
      <c r="M38" s="113"/>
      <c r="N38" s="113"/>
      <c r="O38" s="113"/>
      <c r="P38" s="114"/>
      <c r="Q38" s="114"/>
      <c r="R38" s="114"/>
    </row>
    <row r="39" spans="1:18">
      <c r="A39" s="98"/>
      <c r="B39" s="482" t="s">
        <v>2421</v>
      </c>
      <c r="C39" s="98"/>
      <c r="D39" s="469" t="str">
        <f>D7</f>
        <v>Con Ed #42-2039-0422-3500-0 new account #70788-12000-7</v>
      </c>
      <c r="E39" s="470"/>
      <c r="F39" s="470"/>
      <c r="G39" s="470"/>
      <c r="H39" s="479"/>
      <c r="J39" s="482"/>
      <c r="K39" s="98"/>
      <c r="L39" s="487"/>
      <c r="M39" s="488"/>
      <c r="N39" s="488"/>
      <c r="O39" s="488"/>
      <c r="P39" s="495"/>
      <c r="Q39" s="495"/>
      <c r="R39" s="495"/>
    </row>
    <row r="40" spans="1:18">
      <c r="A40" s="98"/>
      <c r="B40" s="669">
        <f>B24+1</f>
        <v>2026</v>
      </c>
      <c r="C40" s="107"/>
      <c r="D40" s="471" t="str">
        <f>D8</f>
        <v>Con Ed</v>
      </c>
      <c r="E40" s="472"/>
      <c r="F40" s="471" t="s">
        <v>2546</v>
      </c>
      <c r="G40" s="471"/>
      <c r="H40" s="471" t="s">
        <v>2549</v>
      </c>
      <c r="J40" s="482"/>
      <c r="K40" s="107" t="s">
        <v>2566</v>
      </c>
      <c r="L40" s="489"/>
      <c r="M40" s="490"/>
      <c r="N40" s="489"/>
      <c r="O40" s="489"/>
      <c r="P40" s="490"/>
      <c r="Q40" s="490"/>
      <c r="R40" s="489"/>
    </row>
    <row r="41" spans="1:18">
      <c r="A41" s="98"/>
      <c r="B41" s="23" t="s">
        <v>2522</v>
      </c>
      <c r="C41" s="23"/>
      <c r="D41" s="426">
        <f>+F41*H41</f>
        <v>256.55922639593911</v>
      </c>
      <c r="E41" s="473"/>
      <c r="F41" s="501">
        <f>(F9+F25)/2</f>
        <v>541</v>
      </c>
      <c r="G41" s="124"/>
      <c r="H41" s="474">
        <f t="shared" ref="H41:H49" si="5">+H25*$H$57+H25</f>
        <v>0.4742314720812183</v>
      </c>
      <c r="J41" s="23"/>
      <c r="K41" s="496">
        <f>Electric!F41+'Electric 2'!D41</f>
        <v>17634.450821163675</v>
      </c>
      <c r="L41" s="426"/>
      <c r="M41" s="473"/>
      <c r="N41" s="124"/>
      <c r="O41" s="124"/>
      <c r="P41" s="491"/>
      <c r="Q41" s="491"/>
      <c r="R41" s="474"/>
    </row>
    <row r="42" spans="1:18">
      <c r="A42" s="98"/>
      <c r="B42" s="475" t="s">
        <v>2523</v>
      </c>
      <c r="C42" s="2"/>
      <c r="D42" s="424">
        <f t="shared" ref="D42:D52" si="6">+F42*H42</f>
        <v>199.74418217821784</v>
      </c>
      <c r="E42" s="124"/>
      <c r="F42" s="501">
        <f t="shared" ref="F42:F52" si="7">(F10+F26)/2</f>
        <v>389</v>
      </c>
      <c r="G42" s="124"/>
      <c r="H42" s="476">
        <f t="shared" si="5"/>
        <v>0.51348118811881194</v>
      </c>
      <c r="J42" s="475"/>
      <c r="K42" s="496">
        <f>Electric!F42+'Electric 2'!D42</f>
        <v>15731.873674057175</v>
      </c>
      <c r="L42" s="424"/>
      <c r="M42" s="124"/>
      <c r="N42" s="124"/>
      <c r="O42" s="124"/>
      <c r="P42" s="491"/>
      <c r="Q42" s="491"/>
      <c r="R42" s="476"/>
    </row>
    <row r="43" spans="1:18">
      <c r="A43" s="98"/>
      <c r="B43" s="475" t="s">
        <v>2524</v>
      </c>
      <c r="C43" s="2"/>
      <c r="D43" s="424">
        <f t="shared" si="6"/>
        <v>165.24565337243399</v>
      </c>
      <c r="E43" s="124"/>
      <c r="F43" s="501">
        <f t="shared" si="7"/>
        <v>331.5</v>
      </c>
      <c r="G43" s="124"/>
      <c r="H43" s="476">
        <f t="shared" si="5"/>
        <v>0.49847859237536651</v>
      </c>
      <c r="J43" s="475"/>
      <c r="K43" s="496">
        <f>Electric!F43+'Electric 2'!D43</f>
        <v>14517.788165988526</v>
      </c>
      <c r="L43" s="424"/>
      <c r="M43" s="124"/>
      <c r="N43" s="124"/>
      <c r="O43" s="124"/>
      <c r="P43" s="491"/>
      <c r="Q43" s="491"/>
      <c r="R43" s="476"/>
    </row>
    <row r="44" spans="1:18">
      <c r="A44" s="98"/>
      <c r="B44" s="475" t="s">
        <v>2525</v>
      </c>
      <c r="C44" s="2"/>
      <c r="D44" s="424">
        <f t="shared" si="6"/>
        <v>162.19007999999999</v>
      </c>
      <c r="E44" s="124"/>
      <c r="F44" s="501">
        <f>(F12+F28)/2</f>
        <v>312</v>
      </c>
      <c r="G44" s="124"/>
      <c r="H44" s="476">
        <f t="shared" si="5"/>
        <v>0.51983999999999997</v>
      </c>
      <c r="J44" s="475"/>
      <c r="K44" s="496">
        <f>Electric!F44+'Electric 2'!D44</f>
        <v>13513.12929013248</v>
      </c>
      <c r="L44" s="424"/>
      <c r="M44" s="124"/>
      <c r="N44" s="124"/>
      <c r="O44" s="124"/>
      <c r="P44" s="491"/>
      <c r="Q44" s="491"/>
      <c r="R44" s="476"/>
    </row>
    <row r="45" spans="1:18">
      <c r="A45" s="98"/>
      <c r="B45" s="475" t="s">
        <v>2278</v>
      </c>
      <c r="C45" s="2"/>
      <c r="D45" s="424">
        <f t="shared" si="6"/>
        <v>222.92954584615384</v>
      </c>
      <c r="E45" s="124"/>
      <c r="F45" s="501">
        <f t="shared" si="7"/>
        <v>424</v>
      </c>
      <c r="G45" s="124"/>
      <c r="H45" s="476">
        <f t="shared" si="5"/>
        <v>0.52577723076923077</v>
      </c>
      <c r="J45" s="475"/>
      <c r="K45" s="496">
        <f>Electric!F45+'Electric 2'!D45</f>
        <v>15143.624131233804</v>
      </c>
      <c r="L45" s="424"/>
      <c r="M45" s="124"/>
      <c r="N45" s="124"/>
      <c r="O45" s="124"/>
      <c r="P45" s="491"/>
      <c r="Q45" s="491"/>
      <c r="R45" s="476"/>
    </row>
    <row r="46" spans="1:18">
      <c r="A46" s="98"/>
      <c r="B46" s="475" t="s">
        <v>2526</v>
      </c>
      <c r="C46" s="2"/>
      <c r="D46" s="424">
        <f t="shared" si="6"/>
        <v>538.72190457831323</v>
      </c>
      <c r="E46" s="124"/>
      <c r="F46" s="501">
        <f>(F14+F30)/2</f>
        <v>1032</v>
      </c>
      <c r="G46" s="124"/>
      <c r="H46" s="476">
        <f t="shared" si="5"/>
        <v>0.52201734939759037</v>
      </c>
      <c r="J46" s="475"/>
      <c r="K46" s="496">
        <f>Electric!F46+'Electric 2'!D46</f>
        <v>22634.272929727078</v>
      </c>
      <c r="L46" s="424"/>
      <c r="M46" s="124"/>
      <c r="N46" s="124"/>
      <c r="O46" s="124"/>
      <c r="P46" s="491"/>
      <c r="Q46" s="491"/>
      <c r="R46" s="476"/>
    </row>
    <row r="47" spans="1:18">
      <c r="A47" s="98"/>
      <c r="B47" s="475" t="s">
        <v>2527</v>
      </c>
      <c r="C47" s="2"/>
      <c r="D47" s="424">
        <f t="shared" si="6"/>
        <v>481.23915296442692</v>
      </c>
      <c r="E47" s="124"/>
      <c r="F47" s="501">
        <f t="shared" si="7"/>
        <v>930.5</v>
      </c>
      <c r="G47" s="124"/>
      <c r="H47" s="476">
        <f t="shared" si="5"/>
        <v>0.51718339920948619</v>
      </c>
      <c r="J47" s="475"/>
      <c r="K47" s="496">
        <f>Electric!F47+'Electric 2'!D47</f>
        <v>30902.414308590716</v>
      </c>
      <c r="L47" s="424"/>
      <c r="M47" s="124"/>
      <c r="N47" s="124"/>
      <c r="O47" s="124"/>
      <c r="P47" s="491"/>
      <c r="Q47" s="491"/>
      <c r="R47" s="476"/>
    </row>
    <row r="48" spans="1:18">
      <c r="A48" s="98"/>
      <c r="B48" s="475" t="s">
        <v>2528</v>
      </c>
      <c r="C48" s="2"/>
      <c r="D48" s="424">
        <f t="shared" si="6"/>
        <v>498.92100412125239</v>
      </c>
      <c r="E48" s="124"/>
      <c r="F48" s="501">
        <f t="shared" si="7"/>
        <v>978</v>
      </c>
      <c r="G48" s="124"/>
      <c r="H48" s="476">
        <f t="shared" si="5"/>
        <v>0.51014417599310058</v>
      </c>
      <c r="J48" s="475"/>
      <c r="K48" s="496">
        <f>Electric!F48+'Electric 2'!D48</f>
        <v>32132.437519218933</v>
      </c>
      <c r="L48" s="424"/>
      <c r="M48" s="124"/>
      <c r="N48" s="124"/>
      <c r="O48" s="124"/>
      <c r="P48" s="491"/>
      <c r="Q48" s="491"/>
      <c r="R48" s="476"/>
    </row>
    <row r="49" spans="1:18">
      <c r="A49" s="98"/>
      <c r="B49" s="475" t="s">
        <v>2529</v>
      </c>
      <c r="C49" s="2"/>
      <c r="D49" s="424">
        <f t="shared" si="6"/>
        <v>363.47772539508418</v>
      </c>
      <c r="E49" s="124"/>
      <c r="F49" s="501">
        <f t="shared" si="7"/>
        <v>712.5</v>
      </c>
      <c r="G49" s="124"/>
      <c r="H49" s="476">
        <f t="shared" si="5"/>
        <v>0.51014417599310058</v>
      </c>
      <c r="J49" s="475"/>
      <c r="K49" s="496">
        <f>Electric!F49+'Electric 2'!D49</f>
        <v>32392.548393052068</v>
      </c>
      <c r="L49" s="424"/>
      <c r="M49" s="124"/>
      <c r="N49" s="124"/>
      <c r="O49" s="124"/>
      <c r="P49" s="491"/>
      <c r="Q49" s="491"/>
      <c r="R49" s="476"/>
    </row>
    <row r="50" spans="1:18">
      <c r="A50" s="98"/>
      <c r="B50" s="475" t="s">
        <v>2530</v>
      </c>
      <c r="C50" s="2"/>
      <c r="D50" s="424">
        <f t="shared" si="6"/>
        <v>211.58229699313847</v>
      </c>
      <c r="E50" s="124"/>
      <c r="F50" s="501">
        <f t="shared" si="7"/>
        <v>414.75</v>
      </c>
      <c r="G50" s="124"/>
      <c r="H50" s="476">
        <f t="shared" ref="H50:H52" si="8">+H34*$H$57+H34</f>
        <v>0.51014417599310058</v>
      </c>
      <c r="J50" s="475"/>
      <c r="K50" s="496">
        <f>Electric!F50+'Electric 2'!D50</f>
        <v>21288.860680332011</v>
      </c>
      <c r="L50" s="424"/>
      <c r="M50" s="124"/>
      <c r="N50" s="124"/>
      <c r="O50" s="124"/>
      <c r="P50" s="491"/>
      <c r="Q50" s="491"/>
      <c r="R50" s="476"/>
    </row>
    <row r="51" spans="1:18">
      <c r="A51" s="98"/>
      <c r="B51" s="475" t="s">
        <v>2531</v>
      </c>
      <c r="C51" s="2"/>
      <c r="D51" s="424">
        <f t="shared" si="6"/>
        <v>201.88955764926956</v>
      </c>
      <c r="E51" s="124"/>
      <c r="F51" s="501">
        <f t="shared" si="7"/>
        <v>395.75</v>
      </c>
      <c r="G51" s="124"/>
      <c r="H51" s="476">
        <f t="shared" si="8"/>
        <v>0.51014417599310058</v>
      </c>
      <c r="J51" s="475"/>
      <c r="K51" s="496">
        <f>Electric!F51+'Electric 2'!D51</f>
        <v>16498.508080405776</v>
      </c>
      <c r="L51" s="424"/>
      <c r="M51" s="124"/>
      <c r="N51" s="124"/>
      <c r="O51" s="124"/>
      <c r="P51" s="491"/>
      <c r="Q51" s="491"/>
      <c r="R51" s="476"/>
    </row>
    <row r="52" spans="1:18">
      <c r="A52" s="98"/>
      <c r="B52" s="475" t="s">
        <v>2532</v>
      </c>
      <c r="C52" s="2"/>
      <c r="D52" s="424">
        <f t="shared" si="6"/>
        <v>284.27784207215529</v>
      </c>
      <c r="E52" s="124"/>
      <c r="F52" s="501">
        <f t="shared" si="7"/>
        <v>557.25</v>
      </c>
      <c r="G52" s="124"/>
      <c r="H52" s="476">
        <f t="shared" si="8"/>
        <v>0.51014417599310058</v>
      </c>
      <c r="J52" s="475"/>
      <c r="K52" s="496">
        <f>Electric!F52+'Electric 2'!D52</f>
        <v>18750.84880376983</v>
      </c>
      <c r="L52" s="424"/>
      <c r="M52" s="124"/>
      <c r="N52" s="124"/>
      <c r="O52" s="124"/>
      <c r="P52" s="491"/>
      <c r="Q52" s="491"/>
      <c r="R52" s="476"/>
    </row>
    <row r="53" spans="1:18" ht="17" thickBot="1">
      <c r="A53" s="98"/>
      <c r="B53" s="477" t="s">
        <v>2272</v>
      </c>
      <c r="C53" s="105"/>
      <c r="D53" s="841">
        <f>SUM(D41:D52)</f>
        <v>3586.778171566385</v>
      </c>
      <c r="E53" s="842"/>
      <c r="F53" s="844">
        <f>SUM(F41:F52)</f>
        <v>7018.25</v>
      </c>
      <c r="G53" s="842"/>
      <c r="H53" s="843">
        <f>+D53/F53</f>
        <v>0.51106446358656143</v>
      </c>
      <c r="J53" s="477"/>
      <c r="K53" s="497">
        <f>SUM(K41:K52)</f>
        <v>251140.75679767205</v>
      </c>
      <c r="L53" s="432"/>
      <c r="M53" s="492"/>
      <c r="N53" s="492"/>
      <c r="O53" s="492"/>
      <c r="P53" s="493"/>
      <c r="Q53" s="493"/>
      <c r="R53" s="494"/>
    </row>
    <row r="54" spans="1:18" ht="17" thickTop="1">
      <c r="A54" s="98"/>
      <c r="B54" s="105"/>
      <c r="C54" s="105"/>
      <c r="D54" s="112"/>
      <c r="E54" s="113"/>
      <c r="F54" s="113"/>
      <c r="G54" s="113"/>
      <c r="H54" s="114"/>
      <c r="J54" s="105"/>
      <c r="K54" s="105"/>
      <c r="L54" s="112"/>
      <c r="M54" s="113"/>
      <c r="N54" s="113"/>
      <c r="O54" s="113"/>
      <c r="P54" s="114"/>
      <c r="Q54" s="114"/>
      <c r="R54" s="114"/>
    </row>
    <row r="55" spans="1:18">
      <c r="A55" s="98"/>
      <c r="B55" s="126" t="str">
        <f>Electric!B55</f>
        <v>2026 Budget Assumptions:</v>
      </c>
      <c r="E55" s="98"/>
      <c r="F55" s="98"/>
      <c r="G55" s="98"/>
      <c r="H55" s="98"/>
      <c r="I55" s="116"/>
      <c r="J55" s="105"/>
      <c r="K55" s="126"/>
      <c r="M55" s="98"/>
      <c r="N55" s="98"/>
      <c r="O55" s="98"/>
      <c r="P55" s="98"/>
      <c r="Q55" s="98"/>
      <c r="R55" s="98"/>
    </row>
    <row r="56" spans="1:18">
      <c r="A56" s="98"/>
      <c r="B56" s="107" t="s">
        <v>2567</v>
      </c>
      <c r="D56" s="98"/>
      <c r="E56" s="98"/>
      <c r="F56" s="98"/>
      <c r="G56" s="127"/>
      <c r="I56" s="98"/>
      <c r="J56" s="105"/>
      <c r="K56" s="107"/>
      <c r="L56" s="98"/>
      <c r="M56" s="98"/>
      <c r="N56" s="98"/>
      <c r="O56" s="127"/>
      <c r="Q56" s="127"/>
    </row>
    <row r="57" spans="1:18">
      <c r="A57" s="98"/>
      <c r="B57" s="107" t="s">
        <v>2560</v>
      </c>
      <c r="D57" s="98"/>
      <c r="E57" s="98"/>
      <c r="F57" s="98"/>
      <c r="G57" s="98"/>
      <c r="H57" s="894">
        <v>0.08</v>
      </c>
      <c r="J57" s="105"/>
      <c r="K57" s="107"/>
      <c r="L57" s="98"/>
      <c r="M57" s="98"/>
      <c r="N57" s="98"/>
      <c r="O57" s="98"/>
      <c r="R57" s="483"/>
    </row>
    <row r="58" spans="1:18">
      <c r="B58" s="484"/>
      <c r="D58" s="116"/>
      <c r="E58" s="112"/>
      <c r="H58" s="484"/>
      <c r="I58" s="484"/>
      <c r="K58" s="484"/>
      <c r="L58" s="116"/>
      <c r="M58" s="112"/>
      <c r="Q58" s="484"/>
      <c r="R58" s="484"/>
    </row>
    <row r="59" spans="1:18">
      <c r="B59" s="107" t="s">
        <v>3170</v>
      </c>
      <c r="D59" s="484"/>
      <c r="E59" s="484"/>
      <c r="F59" s="484"/>
      <c r="G59" s="484"/>
      <c r="H59" s="484"/>
      <c r="I59" s="484"/>
      <c r="K59" s="107"/>
      <c r="L59" s="484"/>
      <c r="M59" s="484"/>
      <c r="N59" s="484"/>
      <c r="O59" s="484"/>
      <c r="P59" s="484"/>
      <c r="Q59" s="484"/>
      <c r="R59" s="484"/>
    </row>
    <row r="60" spans="1:18">
      <c r="B60" s="107" t="s">
        <v>3171</v>
      </c>
      <c r="D60" s="484"/>
      <c r="E60" s="484"/>
      <c r="F60" s="484"/>
      <c r="G60" s="484"/>
      <c r="H60" s="484"/>
      <c r="I60" s="484"/>
      <c r="K60" s="107"/>
      <c r="L60" s="484"/>
      <c r="M60" s="484"/>
      <c r="N60" s="484"/>
      <c r="O60" s="484"/>
      <c r="P60" s="484"/>
      <c r="Q60" s="484"/>
      <c r="R60" s="484"/>
    </row>
    <row r="61" spans="1:18">
      <c r="C61" s="484"/>
      <c r="D61" s="484"/>
      <c r="E61" s="484"/>
      <c r="F61" s="484"/>
      <c r="G61" s="484"/>
      <c r="H61" s="484"/>
      <c r="I61" s="484"/>
      <c r="K61" s="484"/>
      <c r="L61" s="484"/>
      <c r="M61" s="484"/>
      <c r="N61" s="484"/>
      <c r="O61" s="484"/>
      <c r="P61" s="484"/>
      <c r="Q61" s="484"/>
      <c r="R61" s="484"/>
    </row>
    <row r="62" spans="1:18">
      <c r="C62" s="484"/>
      <c r="D62" s="484"/>
      <c r="E62" s="484"/>
      <c r="F62" s="484"/>
      <c r="G62" s="484"/>
      <c r="H62" s="484"/>
      <c r="I62" s="484"/>
      <c r="K62" s="484"/>
      <c r="L62" s="484"/>
      <c r="M62" s="484"/>
      <c r="N62" s="484"/>
      <c r="O62" s="484"/>
      <c r="P62" s="484"/>
      <c r="Q62" s="484"/>
      <c r="R62" s="484"/>
    </row>
    <row r="63" spans="1:18">
      <c r="C63" s="484"/>
      <c r="D63" s="484"/>
      <c r="E63" s="484"/>
      <c r="F63" s="484"/>
      <c r="G63" s="484"/>
      <c r="H63" s="484"/>
      <c r="I63" s="484"/>
      <c r="K63" s="484"/>
      <c r="L63" s="484"/>
      <c r="M63" s="484"/>
      <c r="N63" s="484"/>
      <c r="O63" s="484"/>
      <c r="P63" s="484"/>
      <c r="Q63" s="484"/>
      <c r="R63" s="484"/>
    </row>
    <row r="64" spans="1:18">
      <c r="C64" s="484"/>
      <c r="D64" s="484"/>
      <c r="E64" s="1008" t="s">
        <v>2568</v>
      </c>
      <c r="F64" s="1008"/>
      <c r="G64" s="484"/>
      <c r="I64" s="484"/>
      <c r="K64" s="484"/>
      <c r="L64" s="484"/>
      <c r="M64" s="1008"/>
      <c r="N64" s="1008"/>
      <c r="O64" s="484"/>
      <c r="P64" s="484"/>
      <c r="Q64" s="484"/>
      <c r="R64" s="484"/>
    </row>
    <row r="65" spans="2:18">
      <c r="C65" s="484"/>
      <c r="D65" s="484"/>
      <c r="E65" s="484"/>
      <c r="F65" s="484"/>
      <c r="G65" s="484"/>
      <c r="H65" s="484"/>
      <c r="I65" s="484"/>
      <c r="K65" s="484"/>
      <c r="L65" s="484"/>
      <c r="M65" s="484"/>
      <c r="N65" s="484"/>
      <c r="O65" s="484"/>
      <c r="P65" s="484"/>
      <c r="Q65" s="484"/>
      <c r="R65" s="484"/>
    </row>
    <row r="66" spans="2:18">
      <c r="C66" s="484"/>
      <c r="D66" s="484"/>
      <c r="G66" s="484"/>
      <c r="H66" s="484"/>
      <c r="I66" s="484"/>
      <c r="K66" s="484"/>
      <c r="L66" s="484"/>
      <c r="O66" s="484"/>
      <c r="P66" s="484"/>
      <c r="Q66" s="484"/>
      <c r="R66" s="484"/>
    </row>
    <row r="67" spans="2:18">
      <c r="C67" s="484"/>
      <c r="D67" s="484"/>
      <c r="E67" s="484"/>
      <c r="F67" s="484"/>
      <c r="G67" s="484"/>
      <c r="H67" s="484"/>
      <c r="I67" s="484"/>
      <c r="K67" s="484"/>
      <c r="L67" s="484"/>
      <c r="M67" s="484"/>
      <c r="N67" s="484"/>
      <c r="O67" s="484"/>
      <c r="P67" s="484"/>
      <c r="Q67" s="484"/>
      <c r="R67" s="484"/>
    </row>
    <row r="68" spans="2:18">
      <c r="C68" s="484"/>
      <c r="D68" s="484"/>
      <c r="E68" s="484"/>
      <c r="F68" s="484"/>
      <c r="G68" s="484"/>
      <c r="H68" s="484"/>
      <c r="I68" s="484"/>
      <c r="K68" s="484"/>
      <c r="L68" s="484"/>
      <c r="M68" s="484"/>
      <c r="N68" s="484"/>
      <c r="O68" s="484"/>
      <c r="P68" s="484"/>
      <c r="Q68" s="484"/>
      <c r="R68" s="484"/>
    </row>
    <row r="69" spans="2:18">
      <c r="D69" s="486"/>
      <c r="F69" s="484"/>
      <c r="G69" s="484"/>
      <c r="L69" s="486"/>
      <c r="N69" s="484"/>
      <c r="O69" s="484"/>
      <c r="P69" s="484"/>
    </row>
    <row r="70" spans="2:18">
      <c r="D70" s="469" t="str">
        <f>D7</f>
        <v>Con Ed #42-2039-0422-3500-0 new account #70788-12000-7</v>
      </c>
      <c r="E70" s="470"/>
      <c r="F70" s="470"/>
      <c r="G70" s="470"/>
      <c r="H70" s="469"/>
      <c r="L70" s="487"/>
      <c r="M70" s="488"/>
      <c r="N70" s="488"/>
      <c r="O70" s="488"/>
      <c r="P70" s="487"/>
      <c r="Q70" s="487"/>
      <c r="R70" s="487"/>
    </row>
    <row r="71" spans="2:18">
      <c r="B71" s="669">
        <f>Electric!B70</f>
        <v>2023</v>
      </c>
      <c r="C71" s="107"/>
      <c r="D71" s="471" t="s">
        <v>2544</v>
      </c>
      <c r="E71" s="472"/>
      <c r="F71" s="471" t="s">
        <v>2546</v>
      </c>
      <c r="G71" s="471"/>
      <c r="H71" s="471" t="s">
        <v>2549</v>
      </c>
      <c r="J71" s="477"/>
      <c r="L71" s="489"/>
      <c r="M71" s="490"/>
      <c r="N71" s="489"/>
      <c r="O71" s="489"/>
      <c r="P71" s="490"/>
      <c r="Q71" s="490"/>
      <c r="R71" s="489"/>
    </row>
    <row r="72" spans="2:18">
      <c r="B72" s="23" t="s">
        <v>2522</v>
      </c>
      <c r="C72" s="23"/>
      <c r="D72" s="426">
        <v>275.56</v>
      </c>
      <c r="E72" s="473"/>
      <c r="F72" s="124">
        <v>708</v>
      </c>
      <c r="G72" s="124"/>
      <c r="H72" s="474">
        <v>0.38920903954802261</v>
      </c>
      <c r="L72" s="123"/>
      <c r="M72" s="473"/>
      <c r="N72" s="124"/>
      <c r="O72" s="124"/>
      <c r="P72" s="491"/>
      <c r="Q72" s="491"/>
      <c r="R72" s="491"/>
    </row>
    <row r="73" spans="2:18">
      <c r="B73" s="475" t="s">
        <v>2523</v>
      </c>
      <c r="C73" s="2"/>
      <c r="D73" s="424">
        <v>236.56</v>
      </c>
      <c r="E73" s="124"/>
      <c r="F73" s="124">
        <v>624</v>
      </c>
      <c r="G73" s="124"/>
      <c r="H73" s="476">
        <v>0.3791025641025641</v>
      </c>
      <c r="L73" s="113"/>
      <c r="M73" s="124"/>
      <c r="N73" s="124"/>
      <c r="O73" s="124"/>
      <c r="P73" s="491"/>
      <c r="Q73" s="491"/>
      <c r="R73" s="491"/>
    </row>
    <row r="74" spans="2:18">
      <c r="B74" s="475" t="s">
        <v>2524</v>
      </c>
      <c r="C74" s="2"/>
      <c r="D74" s="424">
        <v>175.59</v>
      </c>
      <c r="E74" s="124"/>
      <c r="F74" s="124">
        <v>516</v>
      </c>
      <c r="G74" s="124"/>
      <c r="H74" s="476">
        <v>0.34029069767441861</v>
      </c>
      <c r="L74" s="113"/>
      <c r="M74" s="124"/>
      <c r="N74" s="124"/>
      <c r="O74" s="124"/>
      <c r="P74" s="491"/>
      <c r="Q74" s="491"/>
      <c r="R74" s="491"/>
    </row>
    <row r="75" spans="2:18">
      <c r="B75" s="475" t="s">
        <v>2525</v>
      </c>
      <c r="C75" s="2"/>
      <c r="D75" s="424">
        <v>130.65</v>
      </c>
      <c r="E75" s="124"/>
      <c r="F75" s="124">
        <v>384</v>
      </c>
      <c r="G75" s="124"/>
      <c r="H75" s="476">
        <v>0.34023437500000003</v>
      </c>
      <c r="L75" s="113"/>
      <c r="M75" s="124"/>
      <c r="N75" s="124"/>
      <c r="O75" s="124"/>
      <c r="P75" s="491"/>
      <c r="Q75" s="491"/>
      <c r="R75" s="491"/>
    </row>
    <row r="76" spans="2:18">
      <c r="B76" s="475" t="s">
        <v>2278</v>
      </c>
      <c r="C76" s="2"/>
      <c r="D76" s="424">
        <v>133.93</v>
      </c>
      <c r="E76" s="124"/>
      <c r="F76" s="124">
        <v>384</v>
      </c>
      <c r="G76" s="124"/>
      <c r="H76" s="476">
        <v>0.3487760416666667</v>
      </c>
      <c r="L76" s="113"/>
      <c r="M76" s="124"/>
      <c r="N76" s="124"/>
      <c r="O76" s="124"/>
      <c r="P76" s="491"/>
      <c r="Q76" s="491"/>
      <c r="R76" s="491"/>
    </row>
    <row r="77" spans="2:18">
      <c r="B77" s="475" t="s">
        <v>2526</v>
      </c>
      <c r="C77" s="2"/>
      <c r="D77" s="424">
        <v>224.37</v>
      </c>
      <c r="E77" s="124"/>
      <c r="F77" s="124">
        <v>600</v>
      </c>
      <c r="G77" s="124"/>
      <c r="H77" s="476">
        <v>0.37395</v>
      </c>
      <c r="L77" s="113"/>
      <c r="M77" s="124"/>
      <c r="N77" s="124"/>
      <c r="O77" s="124"/>
      <c r="P77" s="491"/>
      <c r="Q77" s="491"/>
      <c r="R77" s="491"/>
    </row>
    <row r="78" spans="2:18">
      <c r="B78" s="475" t="s">
        <v>2527</v>
      </c>
      <c r="C78" s="2"/>
      <c r="D78" s="424">
        <v>285.08999999999997</v>
      </c>
      <c r="E78" s="124"/>
      <c r="F78" s="124">
        <v>768</v>
      </c>
      <c r="G78" s="124"/>
      <c r="H78" s="476">
        <v>0.37121093749999995</v>
      </c>
      <c r="L78" s="113"/>
      <c r="M78" s="124"/>
      <c r="N78" s="124"/>
      <c r="O78" s="124"/>
      <c r="P78" s="491"/>
      <c r="Q78" s="491"/>
      <c r="R78" s="491"/>
    </row>
    <row r="79" spans="2:18">
      <c r="B79" s="475" t="s">
        <v>2528</v>
      </c>
      <c r="C79" s="2"/>
      <c r="D79" s="424">
        <v>177.78</v>
      </c>
      <c r="E79" s="124"/>
      <c r="F79" s="124">
        <v>456</v>
      </c>
      <c r="G79" s="124"/>
      <c r="H79" s="476">
        <v>0.38986842105263159</v>
      </c>
      <c r="L79" s="113"/>
      <c r="M79" s="124"/>
      <c r="N79" s="124"/>
      <c r="O79" s="124"/>
      <c r="P79" s="491"/>
      <c r="Q79" s="491"/>
      <c r="R79" s="491"/>
    </row>
    <row r="80" spans="2:18">
      <c r="B80" s="475" t="s">
        <v>2529</v>
      </c>
      <c r="C80" s="2"/>
      <c r="D80" s="424">
        <v>210.44</v>
      </c>
      <c r="E80" s="124"/>
      <c r="F80" s="124">
        <v>516</v>
      </c>
      <c r="G80" s="124"/>
      <c r="H80" s="476">
        <v>0.40782945736434106</v>
      </c>
      <c r="L80" s="113"/>
      <c r="M80" s="124"/>
      <c r="N80" s="124"/>
      <c r="O80" s="124"/>
      <c r="P80" s="491"/>
      <c r="Q80" s="491"/>
      <c r="R80" s="491"/>
    </row>
    <row r="81" spans="2:18">
      <c r="B81" s="475" t="s">
        <v>2551</v>
      </c>
      <c r="C81" s="2"/>
      <c r="D81" s="424">
        <v>149.63999999999999</v>
      </c>
      <c r="E81" s="124"/>
      <c r="F81" s="124">
        <v>405</v>
      </c>
      <c r="G81" s="124"/>
      <c r="H81" s="476">
        <v>0.36948148148148147</v>
      </c>
      <c r="L81" s="113"/>
      <c r="M81" s="124"/>
      <c r="N81" s="124"/>
      <c r="O81" s="124"/>
      <c r="P81" s="491"/>
      <c r="Q81" s="491"/>
      <c r="R81" s="491"/>
    </row>
    <row r="82" spans="2:18">
      <c r="B82" s="475" t="s">
        <v>2552</v>
      </c>
      <c r="C82" s="2"/>
      <c r="D82" s="424">
        <v>142.32</v>
      </c>
      <c r="E82" s="124"/>
      <c r="F82" s="124">
        <v>338</v>
      </c>
      <c r="G82" s="124"/>
      <c r="H82" s="476">
        <v>0.42106508875739646</v>
      </c>
      <c r="L82" s="113"/>
      <c r="M82" s="124"/>
      <c r="N82" s="124"/>
      <c r="O82" s="124"/>
      <c r="P82" s="491"/>
      <c r="Q82" s="491"/>
      <c r="R82" s="491"/>
    </row>
    <row r="83" spans="2:18">
      <c r="B83" s="475" t="s">
        <v>2553</v>
      </c>
      <c r="C83" s="2"/>
      <c r="D83" s="424">
        <v>187.18</v>
      </c>
      <c r="E83" s="124"/>
      <c r="F83" s="124">
        <v>495</v>
      </c>
      <c r="G83" s="124"/>
      <c r="H83" s="476">
        <v>0.37814141414141417</v>
      </c>
      <c r="L83" s="113"/>
      <c r="M83" s="124"/>
      <c r="N83" s="124"/>
      <c r="O83" s="124"/>
      <c r="P83" s="491"/>
      <c r="Q83" s="491"/>
      <c r="R83" s="491"/>
    </row>
    <row r="84" spans="2:18" ht="17" thickBot="1">
      <c r="B84" s="297" t="s">
        <v>2272</v>
      </c>
      <c r="D84" s="841">
        <f>SUM(D72:D83)</f>
        <v>2329.1099999999997</v>
      </c>
      <c r="E84" s="842"/>
      <c r="F84" s="842">
        <f>SUM(F72:F83)</f>
        <v>6194</v>
      </c>
      <c r="G84" s="842"/>
      <c r="H84" s="843">
        <f t="shared" ref="H84" si="9">+D84/F84</f>
        <v>0.37602680012915718</v>
      </c>
      <c r="L84" s="101"/>
      <c r="M84" s="492"/>
      <c r="N84" s="492"/>
      <c r="O84" s="492"/>
      <c r="P84" s="493"/>
      <c r="Q84" s="493"/>
      <c r="R84" s="493"/>
    </row>
    <row r="85" spans="2:18" ht="17" thickTop="1"/>
  </sheetData>
  <mergeCells count="2">
    <mergeCell ref="E64:F64"/>
    <mergeCell ref="M64:N64"/>
  </mergeCells>
  <printOptions horizontalCentered="1"/>
  <pageMargins left="0" right="0" top="0" bottom="0" header="0.3" footer="0.3"/>
  <pageSetup scale="8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87"/>
  <sheetViews>
    <sheetView topLeftCell="A2" zoomScale="80" zoomScaleNormal="80" workbookViewId="0">
      <selection activeCell="C47" sqref="C47"/>
    </sheetView>
  </sheetViews>
  <sheetFormatPr baseColWidth="10" defaultColWidth="9.140625" defaultRowHeight="16"/>
  <cols>
    <col min="1" max="1" width="2.140625" customWidth="1"/>
    <col min="2" max="2" width="9.42578125" customWidth="1"/>
    <col min="3" max="3" width="2.42578125" customWidth="1"/>
    <col min="4" max="4" width="9.140625" customWidth="1"/>
    <col min="5" max="5" width="9.85546875" customWidth="1"/>
    <col min="6" max="6" width="7.85546875" customWidth="1"/>
    <col min="7" max="7" width="4.28515625" customWidth="1"/>
    <col min="8" max="8" width="7.5703125" customWidth="1"/>
    <col min="9" max="9" width="7.28515625" customWidth="1"/>
    <col min="10" max="10" width="8.85546875" customWidth="1"/>
    <col min="11" max="11" width="5.85546875" customWidth="1"/>
    <col min="12" max="12" width="9.85546875" customWidth="1"/>
    <col min="13" max="252" width="8.85546875" customWidth="1"/>
    <col min="253" max="253" width="2.140625" customWidth="1"/>
    <col min="254" max="254" width="9.42578125" customWidth="1"/>
    <col min="255" max="255" width="2.42578125" customWidth="1"/>
  </cols>
  <sheetData>
    <row r="1" spans="1:13">
      <c r="C1" s="98"/>
      <c r="D1" s="98"/>
      <c r="F1" s="99" t="s">
        <v>2569</v>
      </c>
      <c r="G1" s="98"/>
    </row>
    <row r="2" spans="1:13">
      <c r="B2" s="98"/>
      <c r="C2" s="98"/>
      <c r="D2" s="98"/>
      <c r="F2" s="100" t="s">
        <v>2541</v>
      </c>
      <c r="G2" s="98"/>
    </row>
    <row r="3" spans="1:13">
      <c r="B3" s="100" t="s">
        <v>2570</v>
      </c>
      <c r="C3" s="98"/>
      <c r="D3" s="98"/>
      <c r="F3" s="101" t="s">
        <v>2571</v>
      </c>
      <c r="G3" s="98"/>
    </row>
    <row r="5" spans="1:13">
      <c r="H5" s="98"/>
      <c r="I5" s="102"/>
      <c r="J5" s="98"/>
    </row>
    <row r="6" spans="1:13" hidden="1">
      <c r="A6" s="98"/>
      <c r="B6" s="98"/>
      <c r="C6" s="98"/>
      <c r="D6" s="103"/>
      <c r="E6" s="104" t="s">
        <v>2572</v>
      </c>
      <c r="F6" s="103"/>
      <c r="H6" s="103"/>
      <c r="I6" s="104" t="s">
        <v>2573</v>
      </c>
      <c r="J6" s="103"/>
      <c r="L6" s="105" t="s">
        <v>2272</v>
      </c>
      <c r="M6" s="105"/>
    </row>
    <row r="7" spans="1:13" hidden="1">
      <c r="A7" s="98"/>
      <c r="B7" s="106">
        <v>2009</v>
      </c>
      <c r="C7" s="107"/>
      <c r="D7" s="108" t="s">
        <v>2436</v>
      </c>
      <c r="E7" s="109" t="s">
        <v>2546</v>
      </c>
      <c r="F7" s="110" t="s">
        <v>2574</v>
      </c>
      <c r="H7" s="108" t="s">
        <v>2436</v>
      </c>
      <c r="I7" s="109" t="s">
        <v>2546</v>
      </c>
      <c r="J7" s="110" t="s">
        <v>2574</v>
      </c>
      <c r="L7" s="111" t="s">
        <v>2575</v>
      </c>
      <c r="M7" s="111"/>
    </row>
    <row r="8" spans="1:13" hidden="1">
      <c r="A8" s="98"/>
      <c r="B8" s="23" t="s">
        <v>2522</v>
      </c>
      <c r="C8" s="23"/>
      <c r="D8" s="112">
        <v>29549.54</v>
      </c>
      <c r="E8" s="113">
        <v>173600</v>
      </c>
      <c r="F8" s="114">
        <f>+D8/E8</f>
        <v>0.17021624423963133</v>
      </c>
      <c r="G8" s="115"/>
      <c r="H8" s="112">
        <v>392.91</v>
      </c>
      <c r="I8" s="113">
        <v>1632</v>
      </c>
      <c r="J8" s="114">
        <f>+H8/I8</f>
        <v>0.24075367647058826</v>
      </c>
      <c r="K8" s="115"/>
      <c r="L8">
        <f>+D8+H8</f>
        <v>29942.45</v>
      </c>
    </row>
    <row r="9" spans="1:13" hidden="1">
      <c r="A9" s="98"/>
      <c r="B9" s="2" t="s">
        <v>2523</v>
      </c>
      <c r="C9" s="2"/>
      <c r="D9" s="116">
        <v>24140.240000000002</v>
      </c>
      <c r="E9" s="113">
        <v>157600</v>
      </c>
      <c r="F9" s="117">
        <f t="shared" ref="F9:F20" si="0">+D9/E9</f>
        <v>0.1531741116751269</v>
      </c>
      <c r="G9" s="115"/>
      <c r="H9" s="116">
        <v>306.42</v>
      </c>
      <c r="I9" s="113">
        <v>1392</v>
      </c>
      <c r="J9" s="117">
        <f t="shared" ref="J9:J20" si="1">+H9/I9</f>
        <v>0.22012931034482761</v>
      </c>
      <c r="K9" s="115"/>
      <c r="L9" s="25">
        <f>+D9+H9</f>
        <v>24446.66</v>
      </c>
      <c r="M9" s="25"/>
    </row>
    <row r="10" spans="1:13" hidden="1">
      <c r="A10" s="98"/>
      <c r="B10" s="2" t="s">
        <v>2524</v>
      </c>
      <c r="C10" s="2"/>
      <c r="D10" s="116">
        <v>27308.89</v>
      </c>
      <c r="E10" s="113">
        <v>150400</v>
      </c>
      <c r="F10" s="117">
        <f t="shared" si="0"/>
        <v>0.1815750664893617</v>
      </c>
      <c r="G10" s="115"/>
      <c r="H10" s="116">
        <v>221.69</v>
      </c>
      <c r="I10" s="113">
        <v>876</v>
      </c>
      <c r="J10" s="117">
        <f t="shared" si="1"/>
        <v>0.25307077625570779</v>
      </c>
      <c r="K10" s="115"/>
      <c r="L10" s="25">
        <f t="shared" ref="L10:L19" si="2">+D10+H10</f>
        <v>27530.579999999998</v>
      </c>
      <c r="M10" s="25"/>
    </row>
    <row r="11" spans="1:13" hidden="1">
      <c r="A11" s="98"/>
      <c r="B11" s="2" t="s">
        <v>2525</v>
      </c>
      <c r="C11" s="2"/>
      <c r="D11" s="116">
        <v>33176.339999999997</v>
      </c>
      <c r="E11" s="113">
        <v>147200</v>
      </c>
      <c r="F11" s="117">
        <f t="shared" si="0"/>
        <v>0.22538274456521737</v>
      </c>
      <c r="G11" s="115"/>
      <c r="H11" s="116">
        <v>257.98</v>
      </c>
      <c r="I11" s="113">
        <v>852</v>
      </c>
      <c r="J11" s="117">
        <f t="shared" si="1"/>
        <v>0.30279342723004699</v>
      </c>
      <c r="K11" s="115"/>
      <c r="L11" s="25">
        <f t="shared" si="2"/>
        <v>33434.32</v>
      </c>
      <c r="M11" s="25"/>
    </row>
    <row r="12" spans="1:13" hidden="1">
      <c r="A12" s="98"/>
      <c r="B12" s="2" t="s">
        <v>2278</v>
      </c>
      <c r="C12" s="2"/>
      <c r="D12" s="116">
        <v>39252.44</v>
      </c>
      <c r="E12" s="113">
        <v>176000</v>
      </c>
      <c r="F12" s="117">
        <f t="shared" si="0"/>
        <v>0.22302522727272728</v>
      </c>
      <c r="G12" s="115"/>
      <c r="H12" s="116">
        <v>399.73</v>
      </c>
      <c r="I12" s="113">
        <v>1248</v>
      </c>
      <c r="J12" s="117">
        <f t="shared" si="1"/>
        <v>0.32029647435897435</v>
      </c>
      <c r="K12" s="115"/>
      <c r="L12" s="25">
        <f t="shared" si="2"/>
        <v>39652.170000000006</v>
      </c>
      <c r="M12" s="25"/>
    </row>
    <row r="13" spans="1:13" hidden="1">
      <c r="A13" s="98"/>
      <c r="B13" s="2" t="s">
        <v>2526</v>
      </c>
      <c r="C13" s="2"/>
      <c r="D13" s="116">
        <v>43190.879999999997</v>
      </c>
      <c r="E13" s="113">
        <v>194400</v>
      </c>
      <c r="F13" s="117">
        <f t="shared" si="0"/>
        <v>0.22217530864197529</v>
      </c>
      <c r="G13" s="115"/>
      <c r="H13" s="116">
        <v>428.41</v>
      </c>
      <c r="I13" s="113">
        <v>1344</v>
      </c>
      <c r="J13" s="117">
        <f t="shared" si="1"/>
        <v>0.31875744047619048</v>
      </c>
      <c r="K13" s="115"/>
      <c r="L13" s="25">
        <f t="shared" si="2"/>
        <v>43619.29</v>
      </c>
      <c r="M13" s="25"/>
    </row>
    <row r="14" spans="1:13" hidden="1">
      <c r="A14" s="98"/>
      <c r="B14" s="2" t="s">
        <v>2527</v>
      </c>
      <c r="C14" s="2"/>
      <c r="D14" s="116">
        <v>42420.13</v>
      </c>
      <c r="E14" s="113">
        <v>198400</v>
      </c>
      <c r="F14" s="117">
        <f t="shared" si="0"/>
        <v>0.21381113911290323</v>
      </c>
      <c r="G14" s="115"/>
      <c r="H14" s="116">
        <v>661.31</v>
      </c>
      <c r="I14" s="113">
        <v>2088</v>
      </c>
      <c r="J14" s="117">
        <f t="shared" si="1"/>
        <v>0.31671934865900381</v>
      </c>
      <c r="K14" s="115"/>
      <c r="L14" s="25">
        <f t="shared" si="2"/>
        <v>43081.439999999995</v>
      </c>
      <c r="M14" s="25"/>
    </row>
    <row r="15" spans="1:13" hidden="1">
      <c r="A15" s="98"/>
      <c r="B15" s="2" t="s">
        <v>2528</v>
      </c>
      <c r="C15" s="2"/>
      <c r="D15" s="116">
        <v>31903.79</v>
      </c>
      <c r="E15" s="113">
        <v>200000</v>
      </c>
      <c r="F15" s="117">
        <f t="shared" si="0"/>
        <v>0.15951894999999999</v>
      </c>
      <c r="G15" s="115"/>
      <c r="H15" s="116">
        <v>414.36</v>
      </c>
      <c r="I15" s="113">
        <v>1560</v>
      </c>
      <c r="J15" s="117">
        <f t="shared" si="1"/>
        <v>0.26561538461538464</v>
      </c>
      <c r="K15" s="115"/>
      <c r="L15" s="25">
        <f t="shared" si="2"/>
        <v>32318.15</v>
      </c>
      <c r="M15" s="25"/>
    </row>
    <row r="16" spans="1:13" hidden="1">
      <c r="A16" s="98"/>
      <c r="B16" s="2" t="s">
        <v>2529</v>
      </c>
      <c r="C16" s="2"/>
      <c r="D16" s="116">
        <v>27803.43</v>
      </c>
      <c r="E16" s="113">
        <v>164800</v>
      </c>
      <c r="F16" s="117">
        <f t="shared" si="0"/>
        <v>0.16871013349514563</v>
      </c>
      <c r="G16" s="115"/>
      <c r="H16" s="116">
        <v>343.18</v>
      </c>
      <c r="I16" s="113">
        <v>1248</v>
      </c>
      <c r="J16" s="117">
        <f t="shared" si="1"/>
        <v>0.27498397435897437</v>
      </c>
      <c r="K16" s="115"/>
      <c r="L16" s="25">
        <f t="shared" si="2"/>
        <v>28146.61</v>
      </c>
      <c r="M16" s="25"/>
    </row>
    <row r="17" spans="1:13" hidden="1">
      <c r="A17" s="98"/>
      <c r="B17" s="2" t="s">
        <v>2530</v>
      </c>
      <c r="C17" s="2"/>
      <c r="D17" s="116">
        <v>23897.19</v>
      </c>
      <c r="E17" s="113">
        <v>148000</v>
      </c>
      <c r="F17" s="117">
        <f t="shared" si="0"/>
        <v>0.16146749999999999</v>
      </c>
      <c r="G17" s="115"/>
      <c r="H17" s="116">
        <v>169.98</v>
      </c>
      <c r="I17" s="113">
        <v>612</v>
      </c>
      <c r="J17" s="117">
        <f t="shared" si="1"/>
        <v>0.27774509803921565</v>
      </c>
      <c r="K17" s="115"/>
      <c r="L17" s="25">
        <f t="shared" si="2"/>
        <v>24067.17</v>
      </c>
      <c r="M17" s="105"/>
    </row>
    <row r="18" spans="1:13" hidden="1">
      <c r="A18" s="98"/>
      <c r="B18" s="2" t="s">
        <v>2531</v>
      </c>
      <c r="C18" s="2"/>
      <c r="D18" s="116">
        <v>30083.119999999999</v>
      </c>
      <c r="E18" s="113">
        <v>155200</v>
      </c>
      <c r="F18" s="117">
        <f t="shared" si="0"/>
        <v>0.19383453608247422</v>
      </c>
      <c r="G18" s="115"/>
      <c r="H18" s="116">
        <v>238.85</v>
      </c>
      <c r="I18" s="113">
        <v>864</v>
      </c>
      <c r="J18" s="117">
        <f t="shared" si="1"/>
        <v>0.27644675925925927</v>
      </c>
      <c r="K18" s="115"/>
      <c r="L18" s="25">
        <f t="shared" si="2"/>
        <v>30321.969999999998</v>
      </c>
      <c r="M18" s="105"/>
    </row>
    <row r="19" spans="1:13" hidden="1">
      <c r="A19" s="98"/>
      <c r="B19" s="2" t="s">
        <v>2532</v>
      </c>
      <c r="C19" s="2"/>
      <c r="D19" s="116">
        <v>32147.89</v>
      </c>
      <c r="E19" s="113">
        <v>164800</v>
      </c>
      <c r="F19" s="117">
        <f t="shared" si="0"/>
        <v>0.19507214805825243</v>
      </c>
      <c r="G19" s="115"/>
      <c r="H19" s="116">
        <v>482.04</v>
      </c>
      <c r="I19" s="113">
        <v>1812</v>
      </c>
      <c r="J19" s="117">
        <f t="shared" si="1"/>
        <v>0.2660264900662252</v>
      </c>
      <c r="K19" s="115"/>
      <c r="L19" s="25">
        <f t="shared" si="2"/>
        <v>32629.93</v>
      </c>
      <c r="M19" s="105"/>
    </row>
    <row r="20" spans="1:13" ht="17" hidden="1" thickBot="1">
      <c r="A20" s="98"/>
      <c r="B20" s="105" t="s">
        <v>2272</v>
      </c>
      <c r="C20" s="105"/>
      <c r="D20" s="836">
        <f>SUM(D8:D19)</f>
        <v>384873.88</v>
      </c>
      <c r="E20" s="837">
        <f>SUM(E8:E19)</f>
        <v>2030400</v>
      </c>
      <c r="F20" s="838">
        <f t="shared" si="0"/>
        <v>0.18955569345941686</v>
      </c>
      <c r="G20" s="115"/>
      <c r="H20" s="836">
        <f>SUM(H8:H19)</f>
        <v>4316.8599999999997</v>
      </c>
      <c r="I20" s="837">
        <f>SUM(I8:I19)</f>
        <v>15528</v>
      </c>
      <c r="J20" s="838">
        <f t="shared" si="1"/>
        <v>0.27800489438433795</v>
      </c>
      <c r="K20" s="115"/>
      <c r="L20" s="836">
        <f>SUM(L8:L19)</f>
        <v>389190.74</v>
      </c>
      <c r="M20" s="105"/>
    </row>
    <row r="21" spans="1:13" ht="17" hidden="1" thickTop="1">
      <c r="A21" s="98"/>
      <c r="B21" s="105"/>
      <c r="C21" s="105"/>
      <c r="D21" s="112"/>
      <c r="E21" s="113"/>
      <c r="F21" s="114"/>
      <c r="G21" s="115"/>
      <c r="H21" s="112"/>
      <c r="I21" s="113"/>
      <c r="J21" s="114"/>
      <c r="K21" s="115"/>
      <c r="M21" s="105"/>
    </row>
    <row r="22" spans="1:13" hidden="1">
      <c r="A22" s="98"/>
      <c r="B22" s="98"/>
      <c r="C22" s="98"/>
      <c r="D22" s="118"/>
      <c r="E22" s="104" t="str">
        <f>E6</f>
        <v>Electric-A/C # 432109500000010</v>
      </c>
      <c r="F22" s="118"/>
      <c r="G22" s="26"/>
      <c r="H22" s="118"/>
      <c r="I22" s="104" t="str">
        <f>I6</f>
        <v>Electric-A/C # 436207190138003</v>
      </c>
      <c r="J22" s="118"/>
      <c r="K22" s="26"/>
      <c r="L22" s="105" t="s">
        <v>2272</v>
      </c>
      <c r="M22" s="105"/>
    </row>
    <row r="23" spans="1:13" hidden="1">
      <c r="A23" s="98"/>
      <c r="B23" s="106">
        <v>2010</v>
      </c>
      <c r="C23" s="107"/>
      <c r="D23" s="108" t="s">
        <v>2436</v>
      </c>
      <c r="E23" s="109" t="s">
        <v>2546</v>
      </c>
      <c r="F23" s="110" t="s">
        <v>2574</v>
      </c>
      <c r="G23" s="115"/>
      <c r="H23" s="108" t="s">
        <v>2436</v>
      </c>
      <c r="I23" s="109" t="s">
        <v>2546</v>
      </c>
      <c r="J23" s="110" t="s">
        <v>2574</v>
      </c>
      <c r="K23" s="115"/>
      <c r="L23" s="111" t="s">
        <v>2575</v>
      </c>
      <c r="M23" s="105"/>
    </row>
    <row r="24" spans="1:13" hidden="1">
      <c r="A24" s="98"/>
      <c r="B24" s="23" t="s">
        <v>2522</v>
      </c>
      <c r="C24" s="23"/>
      <c r="D24" s="112">
        <v>32335.33</v>
      </c>
      <c r="E24" s="113">
        <v>179200</v>
      </c>
      <c r="F24" s="114">
        <f t="shared" ref="F24:F33" si="3">+D24/E24</f>
        <v>0.18044268973214286</v>
      </c>
      <c r="G24" s="115"/>
      <c r="H24" s="112">
        <v>467.07</v>
      </c>
      <c r="I24" s="113">
        <v>1872</v>
      </c>
      <c r="J24" s="114">
        <f t="shared" ref="J24:J33" si="4">+H24/I24</f>
        <v>0.24950320512820512</v>
      </c>
      <c r="K24" s="115"/>
      <c r="L24">
        <f>+D24+H24</f>
        <v>32802.400000000001</v>
      </c>
      <c r="M24" s="105"/>
    </row>
    <row r="25" spans="1:13" hidden="1">
      <c r="A25" s="98"/>
      <c r="B25" s="2" t="s">
        <v>2523</v>
      </c>
      <c r="C25" s="2"/>
      <c r="D25" s="116">
        <v>24866.19</v>
      </c>
      <c r="E25" s="113">
        <v>156800</v>
      </c>
      <c r="F25" s="117">
        <f t="shared" si="3"/>
        <v>0.15858539540816324</v>
      </c>
      <c r="G25" s="115"/>
      <c r="H25" s="116">
        <v>327.29000000000002</v>
      </c>
      <c r="I25" s="113">
        <v>1404</v>
      </c>
      <c r="J25" s="117">
        <f t="shared" si="4"/>
        <v>0.23311253561253562</v>
      </c>
      <c r="K25" s="115"/>
      <c r="L25" s="25">
        <f>+D25+H25</f>
        <v>25193.48</v>
      </c>
      <c r="M25" s="105"/>
    </row>
    <row r="26" spans="1:13" hidden="1">
      <c r="A26" s="98"/>
      <c r="B26" s="2" t="s">
        <v>2524</v>
      </c>
      <c r="C26" s="2"/>
      <c r="D26" s="116">
        <v>27568.89</v>
      </c>
      <c r="E26" s="113">
        <v>148800</v>
      </c>
      <c r="F26" s="117">
        <f t="shared" si="3"/>
        <v>0.18527479838709676</v>
      </c>
      <c r="G26" s="115"/>
      <c r="H26" s="116">
        <v>243.04</v>
      </c>
      <c r="I26" s="113">
        <v>924</v>
      </c>
      <c r="J26" s="117">
        <f t="shared" si="4"/>
        <v>0.263030303030303</v>
      </c>
      <c r="K26" s="115"/>
      <c r="L26" s="25">
        <f t="shared" ref="L26:L35" si="5">+D26+H26</f>
        <v>27811.93</v>
      </c>
      <c r="M26" s="105"/>
    </row>
    <row r="27" spans="1:13" hidden="1">
      <c r="A27" s="98"/>
      <c r="B27" s="2" t="s">
        <v>2525</v>
      </c>
      <c r="C27" s="2"/>
      <c r="D27" s="116">
        <v>27397.62</v>
      </c>
      <c r="E27" s="113">
        <v>152000</v>
      </c>
      <c r="F27" s="117">
        <f t="shared" si="3"/>
        <v>0.1802475</v>
      </c>
      <c r="G27" s="115"/>
      <c r="H27" s="116">
        <v>233.52</v>
      </c>
      <c r="I27" s="113">
        <v>864</v>
      </c>
      <c r="J27" s="117">
        <f t="shared" si="4"/>
        <v>0.27027777777777778</v>
      </c>
      <c r="K27" s="115"/>
      <c r="L27" s="25">
        <f t="shared" si="5"/>
        <v>27631.14</v>
      </c>
      <c r="M27" s="105"/>
    </row>
    <row r="28" spans="1:13" hidden="1">
      <c r="A28" s="98"/>
      <c r="B28" s="2" t="s">
        <v>2278</v>
      </c>
      <c r="C28" s="2"/>
      <c r="D28" s="116">
        <v>33117.550000000003</v>
      </c>
      <c r="E28" s="113">
        <v>168800</v>
      </c>
      <c r="F28" s="117">
        <f t="shared" si="3"/>
        <v>0.19619401658767774</v>
      </c>
      <c r="G28" s="115"/>
      <c r="H28" s="116">
        <v>272.89999999999998</v>
      </c>
      <c r="I28" s="113">
        <v>864</v>
      </c>
      <c r="J28" s="117">
        <f t="shared" si="4"/>
        <v>0.31585648148148143</v>
      </c>
      <c r="K28" s="115"/>
      <c r="L28" s="25">
        <f t="shared" si="5"/>
        <v>33390.450000000004</v>
      </c>
      <c r="M28" s="105"/>
    </row>
    <row r="29" spans="1:13" hidden="1">
      <c r="A29" s="98"/>
      <c r="B29" s="2" t="s">
        <v>2526</v>
      </c>
      <c r="C29" s="2"/>
      <c r="D29" s="116">
        <v>36391.019999999997</v>
      </c>
      <c r="E29" s="113">
        <v>186400</v>
      </c>
      <c r="F29" s="117">
        <f t="shared" si="3"/>
        <v>0.1952307939914163</v>
      </c>
      <c r="G29" s="115"/>
      <c r="H29" s="116">
        <v>506.23</v>
      </c>
      <c r="I29" s="113">
        <v>1620</v>
      </c>
      <c r="J29" s="117">
        <f t="shared" si="4"/>
        <v>0.31248765432098768</v>
      </c>
      <c r="K29" s="115"/>
      <c r="L29" s="25">
        <f t="shared" si="5"/>
        <v>36897.25</v>
      </c>
      <c r="M29" s="105"/>
    </row>
    <row r="30" spans="1:13" hidden="1">
      <c r="A30" s="98"/>
      <c r="B30" s="2" t="s">
        <v>2527</v>
      </c>
      <c r="C30" s="2"/>
      <c r="D30" s="116">
        <v>46565.59</v>
      </c>
      <c r="E30" s="113">
        <v>217600</v>
      </c>
      <c r="F30" s="117">
        <f t="shared" si="3"/>
        <v>0.2139962775735294</v>
      </c>
      <c r="G30" s="115"/>
      <c r="H30" s="116">
        <v>589.42999999999995</v>
      </c>
      <c r="I30" s="113">
        <v>1776</v>
      </c>
      <c r="J30" s="117">
        <f t="shared" si="4"/>
        <v>0.33188626126126125</v>
      </c>
      <c r="K30" s="115"/>
      <c r="L30" s="25">
        <f t="shared" si="5"/>
        <v>47155.02</v>
      </c>
      <c r="M30" s="105"/>
    </row>
    <row r="31" spans="1:13" hidden="1">
      <c r="A31" s="98"/>
      <c r="B31" s="2" t="s">
        <v>2528</v>
      </c>
      <c r="C31" s="119"/>
      <c r="D31" s="116">
        <v>29100.82</v>
      </c>
      <c r="E31" s="113">
        <v>189600</v>
      </c>
      <c r="F31" s="117">
        <f t="shared" si="3"/>
        <v>0.1534853375527426</v>
      </c>
      <c r="G31" s="115"/>
      <c r="H31" s="116">
        <v>485.33</v>
      </c>
      <c r="I31" s="113">
        <v>1764</v>
      </c>
      <c r="J31" s="117">
        <f t="shared" si="4"/>
        <v>0.27513038548752833</v>
      </c>
      <c r="K31" s="115"/>
      <c r="L31" s="25">
        <f t="shared" si="5"/>
        <v>29586.15</v>
      </c>
      <c r="M31" s="105"/>
    </row>
    <row r="32" spans="1:13" hidden="1">
      <c r="A32" s="98"/>
      <c r="B32" s="2" t="s">
        <v>2529</v>
      </c>
      <c r="C32" s="119"/>
      <c r="D32" s="116">
        <v>30301.53</v>
      </c>
      <c r="E32" s="113">
        <v>168800</v>
      </c>
      <c r="F32" s="117">
        <f t="shared" si="3"/>
        <v>0.17951143364928909</v>
      </c>
      <c r="G32" s="115"/>
      <c r="H32" s="116">
        <v>355.23</v>
      </c>
      <c r="I32" s="113">
        <v>1164</v>
      </c>
      <c r="J32" s="117">
        <f t="shared" si="4"/>
        <v>0.30518041237113402</v>
      </c>
      <c r="K32" s="115"/>
      <c r="L32" s="25">
        <f t="shared" si="5"/>
        <v>30656.76</v>
      </c>
      <c r="M32" s="105"/>
    </row>
    <row r="33" spans="1:13" hidden="1">
      <c r="A33" s="98"/>
      <c r="B33" s="120" t="s">
        <v>2530</v>
      </c>
      <c r="C33" s="121" t="s">
        <v>2309</v>
      </c>
      <c r="D33" s="116">
        <v>0</v>
      </c>
      <c r="E33" s="113">
        <v>0</v>
      </c>
      <c r="F33" s="117" t="e">
        <f t="shared" si="3"/>
        <v>#DIV/0!</v>
      </c>
      <c r="G33" s="115"/>
      <c r="H33" s="116">
        <v>0</v>
      </c>
      <c r="I33" s="113">
        <v>0</v>
      </c>
      <c r="J33" s="117" t="e">
        <f t="shared" si="4"/>
        <v>#DIV/0!</v>
      </c>
      <c r="K33" s="115"/>
      <c r="L33" s="25">
        <f t="shared" si="5"/>
        <v>0</v>
      </c>
      <c r="M33" s="105"/>
    </row>
    <row r="34" spans="1:13" hidden="1">
      <c r="A34" s="98"/>
      <c r="B34" s="120" t="s">
        <v>2531</v>
      </c>
      <c r="C34" s="121" t="s">
        <v>2309</v>
      </c>
      <c r="D34" s="116">
        <f>+E34*F34</f>
        <v>27936</v>
      </c>
      <c r="E34" s="113">
        <f>+E18</f>
        <v>155200</v>
      </c>
      <c r="F34" s="117">
        <f>+K83</f>
        <v>0.18</v>
      </c>
      <c r="G34" s="115"/>
      <c r="H34" s="116">
        <f>+I34*J34</f>
        <v>239.97176470588232</v>
      </c>
      <c r="I34" s="113">
        <f>+I18</f>
        <v>864</v>
      </c>
      <c r="J34" s="117">
        <f>+K84</f>
        <v>0.27774509803921565</v>
      </c>
      <c r="K34" s="115"/>
      <c r="L34" s="25">
        <f t="shared" si="5"/>
        <v>28175.971764705882</v>
      </c>
      <c r="M34" s="105"/>
    </row>
    <row r="35" spans="1:13" hidden="1">
      <c r="A35" s="98"/>
      <c r="B35" s="120" t="s">
        <v>2532</v>
      </c>
      <c r="C35" s="121" t="s">
        <v>2309</v>
      </c>
      <c r="D35" s="116">
        <f>+E35*F35</f>
        <v>29664</v>
      </c>
      <c r="E35" s="113">
        <f>+E19</f>
        <v>164800</v>
      </c>
      <c r="F35" s="117">
        <f>+F34</f>
        <v>0.18</v>
      </c>
      <c r="G35" s="115"/>
      <c r="H35" s="116">
        <f>+I35*J35</f>
        <v>503.27411764705874</v>
      </c>
      <c r="I35" s="113">
        <f>+I19</f>
        <v>1812</v>
      </c>
      <c r="J35" s="117">
        <f>+J34</f>
        <v>0.27774509803921565</v>
      </c>
      <c r="K35" s="115"/>
      <c r="L35" s="25">
        <f t="shared" si="5"/>
        <v>30167.274117647059</v>
      </c>
      <c r="M35" s="105"/>
    </row>
    <row r="36" spans="1:13" ht="17" hidden="1" thickBot="1">
      <c r="A36" s="98"/>
      <c r="B36" s="105" t="s">
        <v>2272</v>
      </c>
      <c r="C36" s="105"/>
      <c r="D36" s="836">
        <f>SUM(D24:D35)</f>
        <v>345244.54000000004</v>
      </c>
      <c r="E36" s="837">
        <f>SUM(E24:E35)</f>
        <v>1888000</v>
      </c>
      <c r="F36" s="838">
        <f>+D36/E36</f>
        <v>0.1828625741525424</v>
      </c>
      <c r="H36" s="836">
        <f>SUM(H24:H35)</f>
        <v>4223.2858823529414</v>
      </c>
      <c r="I36" s="837">
        <f>SUM(I24:I35)</f>
        <v>14928</v>
      </c>
      <c r="J36" s="838">
        <f>+H36/I36</f>
        <v>0.28291036189395374</v>
      </c>
      <c r="L36" s="836">
        <f>SUM(L24:L35)</f>
        <v>349467.82588235289</v>
      </c>
      <c r="M36" s="105"/>
    </row>
    <row r="37" spans="1:13">
      <c r="A37" s="98"/>
      <c r="B37" s="98"/>
      <c r="C37" s="98"/>
      <c r="D37" s="98"/>
      <c r="E37" s="98"/>
      <c r="F37" s="98"/>
      <c r="H37" s="98"/>
      <c r="I37" s="98"/>
      <c r="J37" s="98"/>
      <c r="M37" s="105"/>
    </row>
    <row r="38" spans="1:13">
      <c r="A38" s="98"/>
      <c r="B38" s="98"/>
      <c r="C38" s="98"/>
      <c r="D38" s="103"/>
      <c r="E38" s="104" t="str">
        <f>E6</f>
        <v>Electric-A/C # 432109500000010</v>
      </c>
      <c r="F38" s="103"/>
      <c r="H38" s="103"/>
      <c r="I38" s="104" t="str">
        <f>I6</f>
        <v>Electric-A/C # 436207190138003</v>
      </c>
      <c r="J38" s="103"/>
      <c r="L38" s="122" t="s">
        <v>2272</v>
      </c>
      <c r="M38" s="105"/>
    </row>
    <row r="39" spans="1:13">
      <c r="A39" s="98"/>
      <c r="B39" s="106">
        <v>2011</v>
      </c>
      <c r="C39" s="107"/>
      <c r="D39" s="108" t="s">
        <v>2436</v>
      </c>
      <c r="E39" s="109" t="s">
        <v>2546</v>
      </c>
      <c r="F39" s="110" t="s">
        <v>2574</v>
      </c>
      <c r="H39" s="108" t="s">
        <v>2436</v>
      </c>
      <c r="I39" s="109" t="s">
        <v>2546</v>
      </c>
      <c r="J39" s="110" t="s">
        <v>2574</v>
      </c>
      <c r="L39" s="132" t="s">
        <v>2575</v>
      </c>
      <c r="M39" s="105"/>
    </row>
    <row r="40" spans="1:13">
      <c r="A40" s="98"/>
      <c r="B40" s="23" t="s">
        <v>2522</v>
      </c>
      <c r="C40" s="23"/>
      <c r="D40" s="123">
        <v>33974.639999999999</v>
      </c>
      <c r="E40" s="124">
        <f t="shared" ref="E40:E51" si="6">SUM(E8+E24)/2</f>
        <v>176400</v>
      </c>
      <c r="F40" s="114">
        <f>+L83</f>
        <v>0.19259999999999999</v>
      </c>
      <c r="H40" s="123"/>
      <c r="I40" s="124"/>
      <c r="J40" s="114"/>
      <c r="L40" s="26">
        <f>+D40+H40</f>
        <v>33974.639999999999</v>
      </c>
      <c r="M40" s="105"/>
    </row>
    <row r="41" spans="1:13">
      <c r="A41" s="98"/>
      <c r="B41" s="2" t="s">
        <v>2523</v>
      </c>
      <c r="C41" s="2"/>
      <c r="D41" s="113">
        <v>30276.719999999998</v>
      </c>
      <c r="E41" s="124">
        <f t="shared" si="6"/>
        <v>157200</v>
      </c>
      <c r="F41" s="117">
        <f>+F40</f>
        <v>0.19259999999999999</v>
      </c>
      <c r="H41" s="113"/>
      <c r="I41" s="124"/>
      <c r="J41" s="117"/>
      <c r="L41" s="28">
        <f>+D41+H41</f>
        <v>30276.719999999998</v>
      </c>
      <c r="M41" s="105"/>
    </row>
    <row r="42" spans="1:13">
      <c r="A42" s="98"/>
      <c r="B42" s="2" t="s">
        <v>2524</v>
      </c>
      <c r="C42" s="2"/>
      <c r="D42" s="113">
        <v>28812.959999999999</v>
      </c>
      <c r="E42" s="124">
        <f t="shared" si="6"/>
        <v>149600</v>
      </c>
      <c r="F42" s="117">
        <f t="shared" ref="F42:F51" si="7">+F41</f>
        <v>0.19259999999999999</v>
      </c>
      <c r="H42" s="113"/>
      <c r="I42" s="124"/>
      <c r="J42" s="117"/>
      <c r="L42" s="28">
        <f t="shared" ref="L42:L51" si="8">+D42+H42</f>
        <v>28812.959999999999</v>
      </c>
      <c r="M42" s="105"/>
    </row>
    <row r="43" spans="1:13">
      <c r="A43" s="98"/>
      <c r="B43" s="2" t="s">
        <v>2525</v>
      </c>
      <c r="C43" s="2"/>
      <c r="D43" s="113">
        <v>28812.959999999999</v>
      </c>
      <c r="E43" s="124">
        <f t="shared" si="6"/>
        <v>149600</v>
      </c>
      <c r="F43" s="117">
        <f t="shared" si="7"/>
        <v>0.19259999999999999</v>
      </c>
      <c r="H43" s="113"/>
      <c r="I43" s="124"/>
      <c r="J43" s="117"/>
      <c r="L43" s="28">
        <f t="shared" si="8"/>
        <v>28812.959999999999</v>
      </c>
      <c r="M43" s="105"/>
    </row>
    <row r="44" spans="1:13">
      <c r="A44" s="98"/>
      <c r="B44" s="2" t="s">
        <v>2278</v>
      </c>
      <c r="C44" s="2"/>
      <c r="D44" s="113">
        <v>33204.239999999998</v>
      </c>
      <c r="E44" s="124">
        <f t="shared" si="6"/>
        <v>172400</v>
      </c>
      <c r="F44" s="117">
        <f t="shared" si="7"/>
        <v>0.19259999999999999</v>
      </c>
      <c r="H44" s="113"/>
      <c r="I44" s="124"/>
      <c r="J44" s="117"/>
      <c r="L44" s="28">
        <f t="shared" si="8"/>
        <v>33204.239999999998</v>
      </c>
      <c r="M44" s="105"/>
    </row>
    <row r="45" spans="1:13">
      <c r="A45" s="98"/>
      <c r="B45" s="2" t="s">
        <v>2526</v>
      </c>
      <c r="C45" s="2"/>
      <c r="D45" s="113">
        <v>36671.040000000001</v>
      </c>
      <c r="E45" s="124">
        <f t="shared" si="6"/>
        <v>190400</v>
      </c>
      <c r="F45" s="117">
        <f t="shared" si="7"/>
        <v>0.19259999999999999</v>
      </c>
      <c r="H45" s="113"/>
      <c r="I45" s="124"/>
      <c r="J45" s="117"/>
      <c r="L45" s="28">
        <f t="shared" si="8"/>
        <v>36671.040000000001</v>
      </c>
      <c r="M45" s="105"/>
    </row>
    <row r="46" spans="1:13">
      <c r="A46" s="98"/>
      <c r="B46" s="2" t="s">
        <v>2527</v>
      </c>
      <c r="C46" s="2"/>
      <c r="D46" s="113">
        <v>40060.799999999996</v>
      </c>
      <c r="E46" s="124">
        <f t="shared" si="6"/>
        <v>208000</v>
      </c>
      <c r="F46" s="117">
        <f t="shared" si="7"/>
        <v>0.19259999999999999</v>
      </c>
      <c r="H46" s="113"/>
      <c r="I46" s="124"/>
      <c r="J46" s="117"/>
      <c r="L46" s="28">
        <f t="shared" si="8"/>
        <v>40060.799999999996</v>
      </c>
      <c r="M46" s="105"/>
    </row>
    <row r="47" spans="1:13">
      <c r="A47" s="98"/>
      <c r="B47" s="2" t="s">
        <v>2528</v>
      </c>
      <c r="C47" s="2"/>
      <c r="D47" s="113">
        <v>37518.479999999996</v>
      </c>
      <c r="E47" s="124">
        <f t="shared" si="6"/>
        <v>194800</v>
      </c>
      <c r="F47" s="117">
        <f t="shared" si="7"/>
        <v>0.19259999999999999</v>
      </c>
      <c r="H47" s="113"/>
      <c r="I47" s="124"/>
      <c r="J47" s="117"/>
      <c r="L47" s="28">
        <f t="shared" si="8"/>
        <v>37518.479999999996</v>
      </c>
      <c r="M47" s="105"/>
    </row>
    <row r="48" spans="1:13">
      <c r="A48" s="98"/>
      <c r="B48" s="2" t="s">
        <v>2529</v>
      </c>
      <c r="C48" s="2"/>
      <c r="D48" s="113">
        <v>32125.68</v>
      </c>
      <c r="E48" s="124">
        <f t="shared" si="6"/>
        <v>166800</v>
      </c>
      <c r="F48" s="117">
        <f t="shared" si="7"/>
        <v>0.19259999999999999</v>
      </c>
      <c r="H48" s="113"/>
      <c r="I48" s="124"/>
      <c r="J48" s="117"/>
      <c r="L48" s="28">
        <f t="shared" si="8"/>
        <v>32125.68</v>
      </c>
      <c r="M48" s="105"/>
    </row>
    <row r="49" spans="1:13">
      <c r="A49" s="98"/>
      <c r="B49" s="2" t="s">
        <v>2530</v>
      </c>
      <c r="C49" s="2"/>
      <c r="D49" s="113">
        <v>14252.4</v>
      </c>
      <c r="E49" s="124">
        <f t="shared" si="6"/>
        <v>74000</v>
      </c>
      <c r="F49" s="117">
        <f t="shared" si="7"/>
        <v>0.19259999999999999</v>
      </c>
      <c r="H49" s="113"/>
      <c r="I49" s="124"/>
      <c r="J49" s="117"/>
      <c r="L49" s="28">
        <f t="shared" si="8"/>
        <v>14252.4</v>
      </c>
      <c r="M49" s="105"/>
    </row>
    <row r="50" spans="1:13">
      <c r="A50" s="98"/>
      <c r="B50" s="2" t="s">
        <v>2531</v>
      </c>
      <c r="C50" s="2"/>
      <c r="D50" s="113">
        <v>29891.52</v>
      </c>
      <c r="E50" s="124">
        <f t="shared" si="6"/>
        <v>155200</v>
      </c>
      <c r="F50" s="117">
        <f t="shared" si="7"/>
        <v>0.19259999999999999</v>
      </c>
      <c r="H50" s="113"/>
      <c r="I50" s="124"/>
      <c r="J50" s="117"/>
      <c r="L50" s="28">
        <f t="shared" si="8"/>
        <v>29891.52</v>
      </c>
      <c r="M50" s="105"/>
    </row>
    <row r="51" spans="1:13">
      <c r="A51" s="98"/>
      <c r="B51" s="2" t="s">
        <v>2532</v>
      </c>
      <c r="C51" s="2"/>
      <c r="D51" s="113">
        <v>31740.48</v>
      </c>
      <c r="E51" s="124">
        <f t="shared" si="6"/>
        <v>164800</v>
      </c>
      <c r="F51" s="117">
        <f t="shared" si="7"/>
        <v>0.19259999999999999</v>
      </c>
      <c r="H51" s="113">
        <v>289.86</v>
      </c>
      <c r="I51" s="124">
        <v>1236</v>
      </c>
      <c r="J51" s="117">
        <f>+H51/I51</f>
        <v>0.23451456310679614</v>
      </c>
      <c r="L51" s="28">
        <f t="shared" si="8"/>
        <v>32030.34</v>
      </c>
      <c r="M51" s="105"/>
    </row>
    <row r="52" spans="1:13" ht="17" thickBot="1">
      <c r="A52" s="98"/>
      <c r="B52" s="105" t="s">
        <v>2272</v>
      </c>
      <c r="C52" s="105"/>
      <c r="D52" s="836">
        <f>SUM(D40:D51)</f>
        <v>377341.92</v>
      </c>
      <c r="E52" s="837">
        <f>SUM(E40:E51)</f>
        <v>1959200</v>
      </c>
      <c r="F52" s="838">
        <f>+D52/E52</f>
        <v>0.19259999999999999</v>
      </c>
      <c r="H52" s="836">
        <f>SUM(H40:H51)</f>
        <v>289.86</v>
      </c>
      <c r="I52" s="837">
        <f>SUM(I40:I51)</f>
        <v>1236</v>
      </c>
      <c r="J52" s="838">
        <f>+H52/I52</f>
        <v>0.23451456310679614</v>
      </c>
      <c r="L52" s="839">
        <f>SUM(L40:L51)</f>
        <v>377631.78</v>
      </c>
      <c r="M52" s="105"/>
    </row>
    <row r="53" spans="1:13" ht="17" thickTop="1">
      <c r="A53" s="98"/>
      <c r="B53" s="105"/>
      <c r="C53" s="105"/>
      <c r="D53" s="112"/>
      <c r="E53" s="113"/>
      <c r="F53" s="114"/>
      <c r="H53" s="112"/>
      <c r="I53" s="113"/>
      <c r="J53" s="114"/>
      <c r="L53" s="125"/>
    </row>
    <row r="54" spans="1:13">
      <c r="A54" s="98"/>
      <c r="B54" s="98"/>
      <c r="C54" s="98"/>
      <c r="D54" s="103"/>
      <c r="E54" s="104" t="str">
        <f>E22</f>
        <v>Electric-A/C # 432109500000010</v>
      </c>
      <c r="F54" s="103"/>
      <c r="H54" s="103"/>
      <c r="I54" s="104" t="str">
        <f>I22</f>
        <v>Electric-A/C # 436207190138003</v>
      </c>
      <c r="J54" s="103"/>
      <c r="L54" s="122" t="s">
        <v>2272</v>
      </c>
      <c r="M54" s="105"/>
    </row>
    <row r="55" spans="1:13">
      <c r="A55" s="98"/>
      <c r="B55" s="106">
        <v>2012</v>
      </c>
      <c r="C55" s="107"/>
      <c r="D55" s="108" t="s">
        <v>2436</v>
      </c>
      <c r="E55" s="109" t="s">
        <v>2546</v>
      </c>
      <c r="F55" s="110" t="s">
        <v>2574</v>
      </c>
      <c r="H55" s="108" t="s">
        <v>2436</v>
      </c>
      <c r="I55" s="109" t="s">
        <v>2546</v>
      </c>
      <c r="J55" s="110" t="s">
        <v>2574</v>
      </c>
      <c r="L55" s="132" t="s">
        <v>2575</v>
      </c>
      <c r="M55" s="105"/>
    </row>
    <row r="56" spans="1:13">
      <c r="A56" s="98"/>
      <c r="B56" s="23" t="s">
        <v>2522</v>
      </c>
      <c r="C56" s="23"/>
      <c r="D56" s="123"/>
      <c r="E56" s="124"/>
      <c r="F56" s="114">
        <f>+L99</f>
        <v>0</v>
      </c>
      <c r="H56" s="123"/>
      <c r="I56" s="124"/>
      <c r="J56" s="114">
        <f>+L100</f>
        <v>0</v>
      </c>
      <c r="L56" s="26">
        <f>+D56+H56</f>
        <v>0</v>
      </c>
      <c r="M56" s="105"/>
    </row>
    <row r="57" spans="1:13">
      <c r="A57" s="98"/>
      <c r="B57" s="2" t="s">
        <v>2523</v>
      </c>
      <c r="C57" s="2"/>
      <c r="D57" s="113"/>
      <c r="E57" s="124"/>
      <c r="F57" s="117">
        <f>+F56</f>
        <v>0</v>
      </c>
      <c r="H57" s="113"/>
      <c r="I57" s="124"/>
      <c r="J57" s="117">
        <f>+J56</f>
        <v>0</v>
      </c>
      <c r="L57" s="28">
        <f>+D57+H57</f>
        <v>0</v>
      </c>
      <c r="M57" s="105"/>
    </row>
    <row r="58" spans="1:13">
      <c r="A58" s="98"/>
      <c r="B58" s="2" t="s">
        <v>2524</v>
      </c>
      <c r="C58" s="2"/>
      <c r="D58" s="113"/>
      <c r="E58" s="124"/>
      <c r="F58" s="117">
        <f t="shared" ref="F58:F67" si="9">+F57</f>
        <v>0</v>
      </c>
      <c r="H58" s="113"/>
      <c r="I58" s="124"/>
      <c r="J58" s="117">
        <f t="shared" ref="J58:J67" si="10">+J57</f>
        <v>0</v>
      </c>
      <c r="L58" s="28">
        <f t="shared" ref="L58:L67" si="11">+D58+H58</f>
        <v>0</v>
      </c>
      <c r="M58" s="105"/>
    </row>
    <row r="59" spans="1:13">
      <c r="A59" s="98"/>
      <c r="B59" s="2" t="s">
        <v>2525</v>
      </c>
      <c r="C59" s="2"/>
      <c r="D59" s="113"/>
      <c r="E59" s="124"/>
      <c r="F59" s="117">
        <f t="shared" si="9"/>
        <v>0</v>
      </c>
      <c r="H59" s="113"/>
      <c r="I59" s="124"/>
      <c r="J59" s="117">
        <f t="shared" si="10"/>
        <v>0</v>
      </c>
      <c r="L59" s="28">
        <f t="shared" si="11"/>
        <v>0</v>
      </c>
      <c r="M59" s="105"/>
    </row>
    <row r="60" spans="1:13">
      <c r="A60" s="98"/>
      <c r="B60" s="2" t="s">
        <v>2278</v>
      </c>
      <c r="C60" s="2"/>
      <c r="D60" s="113"/>
      <c r="E60" s="124"/>
      <c r="F60" s="117">
        <f t="shared" si="9"/>
        <v>0</v>
      </c>
      <c r="H60" s="113"/>
      <c r="I60" s="124"/>
      <c r="J60" s="117">
        <f t="shared" si="10"/>
        <v>0</v>
      </c>
      <c r="L60" s="28">
        <f t="shared" si="11"/>
        <v>0</v>
      </c>
      <c r="M60" s="105"/>
    </row>
    <row r="61" spans="1:13">
      <c r="A61" s="98"/>
      <c r="B61" s="2" t="s">
        <v>2526</v>
      </c>
      <c r="C61" s="2"/>
      <c r="D61" s="113"/>
      <c r="E61" s="124"/>
      <c r="F61" s="117">
        <f t="shared" si="9"/>
        <v>0</v>
      </c>
      <c r="H61" s="113"/>
      <c r="I61" s="124"/>
      <c r="J61" s="117">
        <f t="shared" si="10"/>
        <v>0</v>
      </c>
      <c r="L61" s="28">
        <f t="shared" si="11"/>
        <v>0</v>
      </c>
      <c r="M61" s="105"/>
    </row>
    <row r="62" spans="1:13">
      <c r="A62" s="98"/>
      <c r="B62" s="2" t="s">
        <v>2527</v>
      </c>
      <c r="C62" s="2"/>
      <c r="D62" s="113"/>
      <c r="E62" s="124"/>
      <c r="F62" s="117">
        <f t="shared" si="9"/>
        <v>0</v>
      </c>
      <c r="H62" s="113"/>
      <c r="I62" s="124"/>
      <c r="J62" s="117">
        <f t="shared" si="10"/>
        <v>0</v>
      </c>
      <c r="L62" s="28">
        <f t="shared" si="11"/>
        <v>0</v>
      </c>
      <c r="M62" s="105"/>
    </row>
    <row r="63" spans="1:13">
      <c r="A63" s="98"/>
      <c r="B63" s="2" t="s">
        <v>2528</v>
      </c>
      <c r="C63" s="2"/>
      <c r="D63" s="113"/>
      <c r="E63" s="124"/>
      <c r="F63" s="117">
        <f t="shared" si="9"/>
        <v>0</v>
      </c>
      <c r="H63" s="113"/>
      <c r="I63" s="124"/>
      <c r="J63" s="117">
        <f t="shared" si="10"/>
        <v>0</v>
      </c>
      <c r="L63" s="28">
        <f t="shared" si="11"/>
        <v>0</v>
      </c>
      <c r="M63" s="105"/>
    </row>
    <row r="64" spans="1:13">
      <c r="A64" s="98"/>
      <c r="B64" s="2" t="s">
        <v>2529</v>
      </c>
      <c r="C64" s="2"/>
      <c r="D64" s="113"/>
      <c r="E64" s="124"/>
      <c r="F64" s="117">
        <f t="shared" si="9"/>
        <v>0</v>
      </c>
      <c r="H64" s="113"/>
      <c r="I64" s="124"/>
      <c r="J64" s="117">
        <f t="shared" si="10"/>
        <v>0</v>
      </c>
      <c r="L64" s="28">
        <f t="shared" si="11"/>
        <v>0</v>
      </c>
      <c r="M64" s="105"/>
    </row>
    <row r="65" spans="1:13">
      <c r="A65" s="98"/>
      <c r="B65" s="2" t="s">
        <v>2530</v>
      </c>
      <c r="C65" s="2"/>
      <c r="D65" s="113"/>
      <c r="E65" s="124"/>
      <c r="F65" s="117">
        <f t="shared" si="9"/>
        <v>0</v>
      </c>
      <c r="H65" s="113"/>
      <c r="I65" s="124"/>
      <c r="J65" s="117">
        <f t="shared" si="10"/>
        <v>0</v>
      </c>
      <c r="L65" s="28">
        <f t="shared" si="11"/>
        <v>0</v>
      </c>
      <c r="M65" s="105"/>
    </row>
    <row r="66" spans="1:13">
      <c r="A66" s="98"/>
      <c r="B66" s="2" t="s">
        <v>2531</v>
      </c>
      <c r="C66" s="2"/>
      <c r="D66" s="113"/>
      <c r="E66" s="124"/>
      <c r="F66" s="117">
        <f t="shared" si="9"/>
        <v>0</v>
      </c>
      <c r="H66" s="113"/>
      <c r="I66" s="124"/>
      <c r="J66" s="117">
        <f t="shared" si="10"/>
        <v>0</v>
      </c>
      <c r="L66" s="28">
        <f t="shared" si="11"/>
        <v>0</v>
      </c>
      <c r="M66" s="105"/>
    </row>
    <row r="67" spans="1:13">
      <c r="A67" s="98"/>
      <c r="B67" s="2" t="s">
        <v>2532</v>
      </c>
      <c r="C67" s="2"/>
      <c r="D67" s="113"/>
      <c r="E67" s="124"/>
      <c r="F67" s="117">
        <f t="shared" si="9"/>
        <v>0</v>
      </c>
      <c r="H67" s="113"/>
      <c r="I67" s="124"/>
      <c r="J67" s="117">
        <f t="shared" si="10"/>
        <v>0</v>
      </c>
      <c r="L67" s="28">
        <f t="shared" si="11"/>
        <v>0</v>
      </c>
      <c r="M67" s="105"/>
    </row>
    <row r="68" spans="1:13" ht="17" thickBot="1">
      <c r="A68" s="98"/>
      <c r="B68" s="105" t="s">
        <v>2272</v>
      </c>
      <c r="C68" s="105"/>
      <c r="D68" s="836">
        <f>SUM(D56:D67)</f>
        <v>0</v>
      </c>
      <c r="E68" s="837">
        <f>SUM(E56:E67)</f>
        <v>0</v>
      </c>
      <c r="F68" s="838" t="e">
        <f>+D68/E68</f>
        <v>#DIV/0!</v>
      </c>
      <c r="H68" s="836">
        <f>SUM(H56:H67)</f>
        <v>0</v>
      </c>
      <c r="I68" s="837">
        <f>SUM(I56:I67)</f>
        <v>0</v>
      </c>
      <c r="J68" s="838" t="e">
        <f>+H68/I68</f>
        <v>#DIV/0!</v>
      </c>
      <c r="L68" s="839">
        <f>SUM(L56:L67)</f>
        <v>0</v>
      </c>
      <c r="M68" s="105"/>
    </row>
    <row r="69" spans="1:13" ht="17" thickTop="1">
      <c r="A69" s="98"/>
      <c r="B69" s="105"/>
      <c r="C69" s="105"/>
      <c r="D69" s="112"/>
      <c r="E69" s="113"/>
      <c r="F69" s="114"/>
      <c r="H69" s="112"/>
      <c r="I69" s="113"/>
      <c r="J69" s="114"/>
      <c r="L69" s="125"/>
    </row>
    <row r="70" spans="1:13">
      <c r="A70" s="98"/>
      <c r="B70" s="105"/>
      <c r="C70" s="105"/>
      <c r="D70" s="112"/>
      <c r="E70" s="113"/>
      <c r="F70" s="114"/>
      <c r="H70" s="112"/>
      <c r="I70" s="113"/>
      <c r="J70" s="114"/>
      <c r="L70" s="125"/>
    </row>
    <row r="71" spans="1:13">
      <c r="A71" s="98"/>
      <c r="B71" s="105"/>
      <c r="C71" s="105"/>
      <c r="D71" s="112"/>
      <c r="E71" s="113"/>
      <c r="F71" s="114"/>
      <c r="H71" s="112"/>
      <c r="I71" s="113"/>
      <c r="J71" s="114"/>
      <c r="L71" s="125"/>
    </row>
    <row r="72" spans="1:13">
      <c r="A72" s="98"/>
      <c r="B72" s="105"/>
      <c r="C72" s="105"/>
      <c r="D72" s="112"/>
      <c r="E72" s="113"/>
      <c r="F72" s="114"/>
      <c r="H72" s="112"/>
      <c r="I72" s="113"/>
      <c r="J72" s="114"/>
      <c r="L72" s="125"/>
    </row>
    <row r="73" spans="1:13">
      <c r="A73" s="98"/>
      <c r="B73" s="105"/>
      <c r="C73" s="105"/>
      <c r="D73" s="112"/>
      <c r="E73" s="113"/>
      <c r="F73" s="114"/>
      <c r="H73" s="112"/>
      <c r="I73" s="113"/>
      <c r="J73" s="114"/>
      <c r="L73" s="125"/>
    </row>
    <row r="74" spans="1:13">
      <c r="A74" s="98"/>
      <c r="B74" s="105"/>
      <c r="C74" s="105"/>
      <c r="D74" s="112"/>
      <c r="E74" s="113"/>
      <c r="F74" s="114"/>
      <c r="H74" s="112"/>
      <c r="I74" s="113"/>
      <c r="J74" s="114"/>
      <c r="L74" s="125"/>
    </row>
    <row r="75" spans="1:13">
      <c r="A75" s="98"/>
      <c r="B75" s="105"/>
      <c r="C75" s="105"/>
      <c r="D75" s="112"/>
      <c r="E75" s="113"/>
      <c r="F75" s="114"/>
      <c r="H75" s="112"/>
      <c r="I75" s="113"/>
      <c r="J75" s="114"/>
      <c r="L75" s="125"/>
    </row>
    <row r="76" spans="1:13">
      <c r="A76" s="98"/>
      <c r="B76" s="105"/>
      <c r="C76" s="105"/>
      <c r="D76" s="112"/>
      <c r="E76" s="113"/>
      <c r="F76" s="114"/>
      <c r="H76" s="112"/>
      <c r="I76" s="113"/>
      <c r="J76" s="114"/>
      <c r="L76" s="125"/>
    </row>
    <row r="77" spans="1:13">
      <c r="A77" s="98"/>
      <c r="B77" s="105"/>
      <c r="C77" s="105"/>
      <c r="D77" s="112"/>
      <c r="E77" s="113"/>
      <c r="F77" s="114"/>
      <c r="H77" s="112"/>
      <c r="I77" s="113"/>
      <c r="J77" s="114"/>
      <c r="L77" s="125"/>
    </row>
    <row r="78" spans="1:13">
      <c r="A78" s="98"/>
      <c r="B78" s="105"/>
      <c r="C78" s="105"/>
      <c r="D78" s="126" t="s">
        <v>2576</v>
      </c>
      <c r="E78" s="98"/>
      <c r="F78" s="98"/>
      <c r="G78" s="116"/>
      <c r="H78" s="116"/>
      <c r="I78" s="116"/>
      <c r="L78" s="125"/>
    </row>
    <row r="79" spans="1:13">
      <c r="A79" s="98"/>
      <c r="B79" s="105"/>
      <c r="C79" s="105"/>
      <c r="D79" s="98" t="s">
        <v>2577</v>
      </c>
      <c r="E79" s="98"/>
      <c r="F79" s="127"/>
      <c r="G79" s="98"/>
      <c r="H79" s="98"/>
      <c r="I79" s="98"/>
      <c r="L79" s="112"/>
    </row>
    <row r="80" spans="1:13">
      <c r="A80" s="98"/>
      <c r="B80" s="105"/>
      <c r="C80" s="105"/>
      <c r="D80" s="116" t="s">
        <v>2578</v>
      </c>
      <c r="E80" s="98"/>
      <c r="F80" s="98"/>
      <c r="G80" s="98"/>
      <c r="H80" s="98"/>
      <c r="K80" s="128">
        <v>7.0000000000000007E-2</v>
      </c>
    </row>
    <row r="81" spans="2:13">
      <c r="D81" s="98" t="s">
        <v>2579</v>
      </c>
      <c r="E81" s="98"/>
      <c r="F81" s="127"/>
      <c r="G81" s="98"/>
      <c r="H81" s="98"/>
      <c r="I81" s="98"/>
    </row>
    <row r="82" spans="2:13">
      <c r="D82" s="98"/>
      <c r="E82" s="98"/>
      <c r="F82" s="98"/>
      <c r="G82" s="98"/>
      <c r="H82" s="98"/>
      <c r="K82" s="154" t="s">
        <v>2580</v>
      </c>
      <c r="L82" s="154" t="s">
        <v>2581</v>
      </c>
    </row>
    <row r="83" spans="2:13">
      <c r="D83" s="98"/>
      <c r="E83" s="98"/>
      <c r="F83" s="127" t="str">
        <f>+E38</f>
        <v>Electric-A/C # 432109500000010</v>
      </c>
      <c r="G83" s="98"/>
      <c r="H83" s="98"/>
      <c r="K83" s="114">
        <v>0.18</v>
      </c>
      <c r="L83" s="155">
        <f>+K83*K80+K83</f>
        <v>0.19259999999999999</v>
      </c>
    </row>
    <row r="84" spans="2:13">
      <c r="D84" s="98"/>
      <c r="E84" s="98"/>
      <c r="F84" s="127" t="str">
        <f>+I38</f>
        <v>Electric-A/C # 436207190138003</v>
      </c>
      <c r="G84" s="98"/>
      <c r="H84" s="98"/>
      <c r="K84" s="114">
        <v>0.27774509803921565</v>
      </c>
      <c r="L84" s="155">
        <f>+K84*K80+K84</f>
        <v>0.29718725490196074</v>
      </c>
    </row>
    <row r="85" spans="2:13">
      <c r="D85" s="116"/>
      <c r="E85" s="98"/>
      <c r="F85" s="98"/>
      <c r="G85" s="98"/>
      <c r="K85" s="114"/>
      <c r="L85" s="114"/>
      <c r="M85" s="112"/>
    </row>
    <row r="86" spans="2:13">
      <c r="B86" s="1007" t="s">
        <v>2512</v>
      </c>
      <c r="C86" s="1007"/>
      <c r="D86" s="1007"/>
      <c r="E86" s="1007"/>
      <c r="F86" s="1007"/>
      <c r="G86" s="1007"/>
      <c r="H86" s="1007"/>
      <c r="I86" s="1007"/>
      <c r="J86" s="1007"/>
      <c r="K86" s="1007"/>
      <c r="L86" s="1007"/>
    </row>
    <row r="87" spans="2:13">
      <c r="D87" s="130"/>
    </row>
  </sheetData>
  <mergeCells count="1">
    <mergeCell ref="B86:L86"/>
  </mergeCells>
  <phoneticPr fontId="44" type="noConversion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B1:O85"/>
  <sheetViews>
    <sheetView view="pageBreakPreview" topLeftCell="A29" zoomScale="85" zoomScaleNormal="100" zoomScaleSheetLayoutView="85" workbookViewId="0">
      <selection activeCell="M32" sqref="M32"/>
    </sheetView>
  </sheetViews>
  <sheetFormatPr baseColWidth="10" defaultColWidth="8.85546875" defaultRowHeight="16"/>
  <cols>
    <col min="1" max="1" width="6.140625" style="297" customWidth="1"/>
    <col min="2" max="2" width="9.42578125" style="297" customWidth="1"/>
    <col min="3" max="3" width="7" style="297" customWidth="1"/>
    <col min="4" max="9" width="10.140625" style="297" customWidth="1"/>
    <col min="10" max="10" width="1.7109375" style="297" customWidth="1"/>
    <col min="11" max="11" width="10.140625" style="297" customWidth="1"/>
    <col min="12" max="12" width="12.7109375" style="297" customWidth="1"/>
    <col min="13" max="13" width="19.140625" style="297" customWidth="1"/>
    <col min="14" max="14" width="8.85546875" style="297"/>
    <col min="15" max="15" width="9" style="297" bestFit="1" customWidth="1"/>
    <col min="16" max="16384" width="8.85546875" style="297"/>
  </cols>
  <sheetData>
    <row r="1" spans="2:13">
      <c r="C1" s="98"/>
      <c r="D1" s="98"/>
      <c r="E1" s="99" t="str">
        <f>+yrlycomp!H1</f>
        <v>444 East 86th Street Owners Corp.</v>
      </c>
      <c r="H1" s="99"/>
    </row>
    <row r="2" spans="2:13">
      <c r="B2" s="98"/>
      <c r="C2" s="98"/>
      <c r="D2" s="98"/>
      <c r="E2" s="100" t="s">
        <v>2582</v>
      </c>
      <c r="H2" s="100"/>
    </row>
    <row r="3" spans="2:13">
      <c r="B3" s="100" t="s">
        <v>2570</v>
      </c>
      <c r="C3" s="98"/>
      <c r="D3" s="98"/>
      <c r="E3" s="101" t="str">
        <f>+yrlycomp!H3</f>
        <v>For Year Ending 12/31/2026</v>
      </c>
      <c r="H3" s="101"/>
    </row>
    <row r="4" spans="2:13" ht="6.75" customHeight="1">
      <c r="B4" s="100"/>
      <c r="C4" s="98"/>
      <c r="D4" s="98"/>
      <c r="E4" s="101"/>
      <c r="H4" s="101"/>
    </row>
    <row r="5" spans="2:13">
      <c r="B5" s="467" t="s">
        <v>2184</v>
      </c>
      <c r="M5" s="343" t="s">
        <v>2542</v>
      </c>
    </row>
    <row r="6" spans="2:13">
      <c r="B6" s="498" t="s">
        <v>854</v>
      </c>
      <c r="M6" s="531">
        <v>50834100005</v>
      </c>
    </row>
    <row r="7" spans="2:13" ht="17.25" customHeight="1">
      <c r="B7" s="475"/>
      <c r="C7" s="98"/>
      <c r="D7" s="469" t="s">
        <v>2554</v>
      </c>
      <c r="E7" s="470"/>
      <c r="F7" s="470"/>
      <c r="G7" s="470"/>
      <c r="H7" s="469"/>
      <c r="I7" s="479"/>
      <c r="J7" s="479"/>
      <c r="K7" s="479"/>
    </row>
    <row r="8" spans="2:13" ht="24.75" customHeight="1">
      <c r="B8" s="669">
        <f>Electric!B8</f>
        <v>2024</v>
      </c>
      <c r="C8" s="107"/>
      <c r="D8" s="471" t="s">
        <v>2583</v>
      </c>
      <c r="E8" s="472" t="s">
        <v>2545</v>
      </c>
      <c r="F8" s="499" t="s">
        <v>2272</v>
      </c>
      <c r="G8" s="500" t="s">
        <v>2584</v>
      </c>
      <c r="H8" s="472" t="s">
        <v>2585</v>
      </c>
      <c r="I8" s="472" t="s">
        <v>2586</v>
      </c>
      <c r="J8" s="472"/>
      <c r="K8" s="471" t="s">
        <v>2587</v>
      </c>
    </row>
    <row r="9" spans="2:13">
      <c r="B9" s="23" t="s">
        <v>2522</v>
      </c>
      <c r="C9" s="23"/>
      <c r="D9" s="426">
        <v>658.91</v>
      </c>
      <c r="E9" s="426">
        <f>229.55+105.27</f>
        <v>334.82</v>
      </c>
      <c r="F9" s="426">
        <f>+D9+E9</f>
        <v>993.73</v>
      </c>
      <c r="G9" s="501">
        <v>744</v>
      </c>
      <c r="H9" s="474">
        <f>+D9/G9</f>
        <v>0.88563172043010752</v>
      </c>
      <c r="I9" s="474">
        <f>+E9/G9</f>
        <v>0.45002688172043009</v>
      </c>
      <c r="J9" s="491"/>
      <c r="K9" s="474">
        <f>+H9+I9</f>
        <v>1.3356586021505377</v>
      </c>
      <c r="L9" s="474"/>
    </row>
    <row r="10" spans="2:13">
      <c r="B10" s="475" t="s">
        <v>2523</v>
      </c>
      <c r="C10" s="2"/>
      <c r="D10" s="424">
        <v>706.55</v>
      </c>
      <c r="E10" s="424">
        <f>233.31+103.09</f>
        <v>336.4</v>
      </c>
      <c r="F10" s="424">
        <f t="shared" ref="F10:F20" si="0">+D10+E10</f>
        <v>1042.9499999999998</v>
      </c>
      <c r="G10" s="501">
        <v>745</v>
      </c>
      <c r="H10" s="476">
        <f t="shared" ref="H10:H20" si="1">+D10/G10</f>
        <v>0.94838926174496641</v>
      </c>
      <c r="I10" s="476">
        <f t="shared" ref="I10:I20" si="2">+E10/G10</f>
        <v>0.4515436241610738</v>
      </c>
      <c r="J10" s="491"/>
      <c r="K10" s="476">
        <f t="shared" ref="K10:K20" si="3">+H10+I10</f>
        <v>1.3999328859060403</v>
      </c>
      <c r="L10" s="474"/>
    </row>
    <row r="11" spans="2:13">
      <c r="B11" s="475" t="s">
        <v>2524</v>
      </c>
      <c r="C11" s="2"/>
      <c r="D11" s="424">
        <v>596</v>
      </c>
      <c r="E11" s="424">
        <f>168.17+71.62</f>
        <v>239.79</v>
      </c>
      <c r="F11" s="424">
        <f t="shared" si="0"/>
        <v>835.79</v>
      </c>
      <c r="G11" s="501">
        <v>663</v>
      </c>
      <c r="H11" s="476">
        <f t="shared" si="1"/>
        <v>0.89894419306184015</v>
      </c>
      <c r="I11" s="476">
        <f t="shared" si="2"/>
        <v>0.36167420814479639</v>
      </c>
      <c r="J11" s="491"/>
      <c r="K11" s="476">
        <f t="shared" si="3"/>
        <v>1.2606184012066366</v>
      </c>
      <c r="L11" s="474"/>
    </row>
    <row r="12" spans="2:13">
      <c r="B12" s="475" t="s">
        <v>2525</v>
      </c>
      <c r="C12" s="2"/>
      <c r="D12" s="424">
        <v>624.54</v>
      </c>
      <c r="E12" s="424">
        <f>169.69+59.25</f>
        <v>228.94</v>
      </c>
      <c r="F12" s="424">
        <f t="shared" si="0"/>
        <v>853.48</v>
      </c>
      <c r="G12" s="501">
        <v>678</v>
      </c>
      <c r="H12" s="476">
        <f t="shared" si="1"/>
        <v>0.92115044247787603</v>
      </c>
      <c r="I12" s="476">
        <f t="shared" si="2"/>
        <v>0.33766961651917404</v>
      </c>
      <c r="J12" s="491"/>
      <c r="K12" s="476">
        <f t="shared" si="3"/>
        <v>1.25882005899705</v>
      </c>
      <c r="L12" s="474"/>
    </row>
    <row r="13" spans="2:13">
      <c r="B13" s="475" t="s">
        <v>2278</v>
      </c>
      <c r="C13" s="2"/>
      <c r="D13" s="424">
        <v>625</v>
      </c>
      <c r="E13" s="424">
        <f>161.91+64.75-161.91-64.75+67.18</f>
        <v>67.180000000000007</v>
      </c>
      <c r="F13" s="424">
        <f t="shared" si="0"/>
        <v>692.18000000000006</v>
      </c>
      <c r="G13" s="501">
        <v>694</v>
      </c>
      <c r="H13" s="476">
        <f t="shared" si="1"/>
        <v>0.90057636887608072</v>
      </c>
      <c r="I13" s="476">
        <f t="shared" si="2"/>
        <v>9.6801152737752166E-2</v>
      </c>
      <c r="J13" s="491"/>
      <c r="K13" s="476">
        <f t="shared" si="3"/>
        <v>0.99737752161383286</v>
      </c>
      <c r="L13" s="474"/>
    </row>
    <row r="14" spans="2:13">
      <c r="B14" s="475" t="s">
        <v>2526</v>
      </c>
      <c r="C14" s="2"/>
      <c r="D14" s="424">
        <v>612.61</v>
      </c>
      <c r="E14" s="424">
        <f>183.2+85.62</f>
        <v>268.82</v>
      </c>
      <c r="F14" s="424">
        <f t="shared" si="0"/>
        <v>881.43000000000006</v>
      </c>
      <c r="G14" s="501">
        <v>654</v>
      </c>
      <c r="H14" s="476">
        <f t="shared" si="1"/>
        <v>0.93671253822629974</v>
      </c>
      <c r="I14" s="476">
        <f t="shared" si="2"/>
        <v>0.41103975535168197</v>
      </c>
      <c r="J14" s="491"/>
      <c r="K14" s="476">
        <f t="shared" si="3"/>
        <v>1.3477522935779818</v>
      </c>
      <c r="L14" s="474"/>
    </row>
    <row r="15" spans="2:13">
      <c r="B15" s="475" t="s">
        <v>2527</v>
      </c>
      <c r="C15" s="2"/>
      <c r="D15" s="424">
        <v>543.67999999999995</v>
      </c>
      <c r="E15" s="424">
        <f>171.2+85.39</f>
        <v>256.58999999999997</v>
      </c>
      <c r="F15" s="424">
        <f t="shared" si="0"/>
        <v>800.27</v>
      </c>
      <c r="G15" s="501">
        <v>575</v>
      </c>
      <c r="H15" s="476">
        <f t="shared" si="1"/>
        <v>0.94553043478260856</v>
      </c>
      <c r="I15" s="476">
        <f t="shared" si="2"/>
        <v>0.44624347826086952</v>
      </c>
      <c r="J15" s="491"/>
      <c r="K15" s="476">
        <f t="shared" si="3"/>
        <v>1.3917739130434781</v>
      </c>
      <c r="L15" s="474"/>
    </row>
    <row r="16" spans="2:13">
      <c r="B16" s="475" t="s">
        <v>2528</v>
      </c>
      <c r="C16" s="2"/>
      <c r="D16" s="424">
        <v>552.01</v>
      </c>
      <c r="E16" s="424">
        <f>152.98+77.29</f>
        <v>230.26999999999998</v>
      </c>
      <c r="F16" s="424">
        <f t="shared" si="0"/>
        <v>782.28</v>
      </c>
      <c r="G16" s="501">
        <v>590</v>
      </c>
      <c r="H16" s="476">
        <f t="shared" si="1"/>
        <v>0.93561016949152542</v>
      </c>
      <c r="I16" s="476">
        <f t="shared" si="2"/>
        <v>0.39028813559322029</v>
      </c>
      <c r="J16" s="491"/>
      <c r="K16" s="476">
        <f t="shared" si="3"/>
        <v>1.3258983050847457</v>
      </c>
      <c r="L16" s="474"/>
    </row>
    <row r="17" spans="2:15">
      <c r="B17" s="475" t="s">
        <v>2529</v>
      </c>
      <c r="C17" s="2"/>
      <c r="D17" s="424">
        <v>658.71</v>
      </c>
      <c r="E17" s="424">
        <f>181.54+88.05</f>
        <v>269.58999999999997</v>
      </c>
      <c r="F17" s="424">
        <f t="shared" si="0"/>
        <v>928.3</v>
      </c>
      <c r="G17" s="501">
        <v>723</v>
      </c>
      <c r="H17" s="476">
        <f t="shared" si="1"/>
        <v>0.91107883817427393</v>
      </c>
      <c r="I17" s="476">
        <f t="shared" si="2"/>
        <v>0.3728769017980636</v>
      </c>
      <c r="J17" s="491"/>
      <c r="K17" s="476">
        <f t="shared" si="3"/>
        <v>1.2839557399723376</v>
      </c>
      <c r="L17" s="474"/>
    </row>
    <row r="18" spans="2:15">
      <c r="B18" s="475" t="s">
        <v>2530</v>
      </c>
      <c r="C18" s="2"/>
      <c r="D18" s="424">
        <v>629.55999999999995</v>
      </c>
      <c r="E18" s="424">
        <f>207.33+93.09</f>
        <v>300.42</v>
      </c>
      <c r="F18" s="424">
        <f t="shared" si="0"/>
        <v>929.98</v>
      </c>
      <c r="G18" s="501">
        <v>703</v>
      </c>
      <c r="H18" s="476">
        <f t="shared" si="1"/>
        <v>0.89553342816500703</v>
      </c>
      <c r="I18" s="476">
        <f t="shared" si="2"/>
        <v>0.42733997155049791</v>
      </c>
      <c r="J18" s="491"/>
      <c r="K18" s="476">
        <f t="shared" si="3"/>
        <v>1.3228733997155049</v>
      </c>
      <c r="L18" s="474"/>
    </row>
    <row r="19" spans="2:15">
      <c r="B19" s="475" t="s">
        <v>2531</v>
      </c>
      <c r="C19" s="2"/>
      <c r="D19" s="424">
        <v>634.13</v>
      </c>
      <c r="E19" s="424">
        <f>216.91+91.19</f>
        <v>308.10000000000002</v>
      </c>
      <c r="F19" s="424">
        <f t="shared" si="0"/>
        <v>942.23</v>
      </c>
      <c r="G19" s="501">
        <v>702</v>
      </c>
      <c r="H19" s="476">
        <f t="shared" si="1"/>
        <v>0.90331908831908836</v>
      </c>
      <c r="I19" s="476">
        <f t="shared" si="2"/>
        <v>0.43888888888888894</v>
      </c>
      <c r="J19" s="491"/>
      <c r="K19" s="476">
        <f t="shared" si="3"/>
        <v>1.3422079772079774</v>
      </c>
      <c r="L19" s="474"/>
    </row>
    <row r="20" spans="2:15">
      <c r="B20" s="475" t="s">
        <v>2532</v>
      </c>
      <c r="C20" s="2"/>
      <c r="D20" s="424">
        <v>724.26</v>
      </c>
      <c r="E20" s="424">
        <f>299.65+121.46</f>
        <v>421.10999999999996</v>
      </c>
      <c r="F20" s="424">
        <f t="shared" si="0"/>
        <v>1145.3699999999999</v>
      </c>
      <c r="G20" s="501">
        <v>807</v>
      </c>
      <c r="H20" s="476">
        <f t="shared" si="1"/>
        <v>0.89747211895910783</v>
      </c>
      <c r="I20" s="476">
        <f t="shared" si="2"/>
        <v>0.52182156133828994</v>
      </c>
      <c r="J20" s="491"/>
      <c r="K20" s="476">
        <f t="shared" si="3"/>
        <v>1.4192936802973977</v>
      </c>
      <c r="L20" s="474"/>
    </row>
    <row r="21" spans="2:15" ht="17" thickBot="1">
      <c r="B21" s="477" t="s">
        <v>2272</v>
      </c>
      <c r="C21" s="105"/>
      <c r="D21" s="841">
        <f>SUM(D9:D20)</f>
        <v>7565.96</v>
      </c>
      <c r="E21" s="841">
        <f t="shared" ref="E21:F21" si="4">SUM(E9:E20)</f>
        <v>3262.03</v>
      </c>
      <c r="F21" s="841">
        <f t="shared" si="4"/>
        <v>10827.989999999998</v>
      </c>
      <c r="G21" s="844">
        <f>SUM(G9:G20)</f>
        <v>8278</v>
      </c>
      <c r="H21" s="843">
        <f>D21/G21</f>
        <v>0.91398405411935246</v>
      </c>
      <c r="I21" s="843">
        <f>E21/G21</f>
        <v>0.39406015945880651</v>
      </c>
      <c r="J21" s="845"/>
      <c r="K21" s="843">
        <f>+F21/G21</f>
        <v>1.3080442135781587</v>
      </c>
      <c r="L21" s="474"/>
    </row>
    <row r="22" spans="2:15" ht="17" thickTop="1">
      <c r="B22" s="478"/>
      <c r="C22" s="105"/>
      <c r="D22" s="112"/>
      <c r="E22" s="113"/>
      <c r="F22" s="113"/>
      <c r="G22" s="113"/>
      <c r="H22" s="114"/>
    </row>
    <row r="23" spans="2:15">
      <c r="B23" s="478"/>
      <c r="C23" s="98"/>
      <c r="D23" s="469" t="str">
        <f>D7</f>
        <v>Con Ed #49-4182-7002-0000-8</v>
      </c>
      <c r="E23" s="470"/>
      <c r="F23" s="470"/>
      <c r="G23" s="470"/>
      <c r="H23" s="470"/>
      <c r="I23" s="479"/>
      <c r="J23" s="479"/>
      <c r="K23" s="479"/>
      <c r="O23" s="426"/>
    </row>
    <row r="24" spans="2:15" ht="27">
      <c r="B24" s="669">
        <f>B8+1</f>
        <v>2025</v>
      </c>
      <c r="C24" s="107"/>
      <c r="D24" s="471" t="str">
        <f>+D8</f>
        <v xml:space="preserve">Con Ed  </v>
      </c>
      <c r="E24" s="472" t="str">
        <f>E8</f>
        <v>Esco</v>
      </c>
      <c r="F24" s="499" t="s">
        <v>2272</v>
      </c>
      <c r="G24" s="500" t="s">
        <v>2584</v>
      </c>
      <c r="H24" s="472" t="s">
        <v>2585</v>
      </c>
      <c r="I24" s="472" t="str">
        <f>I8</f>
        <v>EscoTherms</v>
      </c>
      <c r="J24" s="472"/>
      <c r="K24" s="471" t="s">
        <v>2587</v>
      </c>
      <c r="M24" s="398" t="s">
        <v>2588</v>
      </c>
      <c r="O24" s="424"/>
    </row>
    <row r="25" spans="2:15">
      <c r="B25" s="23" t="s">
        <v>2522</v>
      </c>
      <c r="C25" s="23"/>
      <c r="D25" s="426">
        <v>836.04</v>
      </c>
      <c r="E25" s="426">
        <v>356.04</v>
      </c>
      <c r="F25" s="426">
        <f>D25+E25</f>
        <v>1192.08</v>
      </c>
      <c r="G25" s="501">
        <v>893</v>
      </c>
      <c r="H25" s="474">
        <f>+D25/G25</f>
        <v>0.93621500559910409</v>
      </c>
      <c r="I25" s="474">
        <f>E25/G25</f>
        <v>0.39870100783874585</v>
      </c>
      <c r="J25" s="491"/>
      <c r="K25" s="474">
        <f>+H25+I25</f>
        <v>1.3349160134378499</v>
      </c>
      <c r="M25" s="398" t="s">
        <v>2589</v>
      </c>
      <c r="O25" s="424"/>
    </row>
    <row r="26" spans="2:15">
      <c r="B26" s="475" t="s">
        <v>2523</v>
      </c>
      <c r="C26" s="2"/>
      <c r="D26" s="424">
        <v>735.09</v>
      </c>
      <c r="E26" s="424">
        <v>305.70999999999998</v>
      </c>
      <c r="F26" s="424">
        <f t="shared" ref="F26:F36" si="5">D26+E26</f>
        <v>1040.8</v>
      </c>
      <c r="G26" s="501">
        <v>759</v>
      </c>
      <c r="H26" s="476">
        <f>D26/G26</f>
        <v>0.96849802371541505</v>
      </c>
      <c r="I26" s="476">
        <f>E26/G26</f>
        <v>0.40277997364953882</v>
      </c>
      <c r="J26" s="491"/>
      <c r="K26" s="476">
        <f>SUM(H26:I26)</f>
        <v>1.3712779973649538</v>
      </c>
      <c r="O26" s="424"/>
    </row>
    <row r="27" spans="2:15">
      <c r="B27" s="475" t="s">
        <v>2524</v>
      </c>
      <c r="C27" s="2"/>
      <c r="D27" s="424">
        <v>709.7</v>
      </c>
      <c r="E27" s="424">
        <v>303.45999999999998</v>
      </c>
      <c r="F27" s="424">
        <f t="shared" si="5"/>
        <v>1013.1600000000001</v>
      </c>
      <c r="G27" s="501">
        <v>728</v>
      </c>
      <c r="H27" s="476">
        <f t="shared" ref="H27:H31" si="6">D27/G27</f>
        <v>0.97486263736263745</v>
      </c>
      <c r="I27" s="476">
        <f t="shared" ref="I27:I29" si="7">E27/G27</f>
        <v>0.41684065934065934</v>
      </c>
      <c r="J27" s="491"/>
      <c r="K27" s="476">
        <f>SUM(H27:I27)</f>
        <v>1.3917032967032967</v>
      </c>
      <c r="O27" s="424"/>
    </row>
    <row r="28" spans="2:15">
      <c r="B28" s="475" t="s">
        <v>2525</v>
      </c>
      <c r="C28" s="2"/>
      <c r="D28" s="424">
        <v>706.93</v>
      </c>
      <c r="E28" s="424">
        <v>293.57</v>
      </c>
      <c r="F28" s="424">
        <f t="shared" si="5"/>
        <v>1000.5</v>
      </c>
      <c r="G28" s="501">
        <v>727</v>
      </c>
      <c r="H28" s="476">
        <f t="shared" si="6"/>
        <v>0.9723933975240715</v>
      </c>
      <c r="I28" s="476">
        <f t="shared" si="7"/>
        <v>0.40381017881705639</v>
      </c>
      <c r="J28" s="491"/>
      <c r="K28" s="476">
        <f t="shared" ref="K28:K32" si="8">SUM(H28:I28)</f>
        <v>1.376203576341128</v>
      </c>
      <c r="O28" s="424"/>
    </row>
    <row r="29" spans="2:15">
      <c r="B29" s="475" t="s">
        <v>2278</v>
      </c>
      <c r="C29" s="2"/>
      <c r="D29" s="424">
        <v>811</v>
      </c>
      <c r="E29" s="424">
        <v>455.71</v>
      </c>
      <c r="F29" s="424">
        <f t="shared" si="5"/>
        <v>1266.71</v>
      </c>
      <c r="G29" s="501">
        <v>837</v>
      </c>
      <c r="H29" s="476">
        <f t="shared" si="6"/>
        <v>0.96893667861409793</v>
      </c>
      <c r="I29" s="476">
        <f t="shared" si="7"/>
        <v>0.54445639187574668</v>
      </c>
      <c r="J29" s="491"/>
      <c r="K29" s="476">
        <f t="shared" si="8"/>
        <v>1.5133930704898446</v>
      </c>
      <c r="O29" s="424"/>
    </row>
    <row r="30" spans="2:15">
      <c r="B30" s="475" t="s">
        <v>2526</v>
      </c>
      <c r="C30" s="2"/>
      <c r="D30" s="424">
        <v>731.97</v>
      </c>
      <c r="E30" s="424">
        <v>396.6</v>
      </c>
      <c r="F30" s="424">
        <f t="shared" si="5"/>
        <v>1128.5700000000002</v>
      </c>
      <c r="G30" s="501">
        <v>742</v>
      </c>
      <c r="H30" s="476">
        <f t="shared" si="6"/>
        <v>0.98648247978436665</v>
      </c>
      <c r="I30" s="476">
        <f>E30/G30</f>
        <v>0.5345013477088949</v>
      </c>
      <c r="J30" s="491"/>
      <c r="K30" s="476">
        <f t="shared" si="8"/>
        <v>1.5209838274932617</v>
      </c>
      <c r="O30" s="424"/>
    </row>
    <row r="31" spans="2:15">
      <c r="B31" s="475" t="s">
        <v>2527</v>
      </c>
      <c r="C31" s="481"/>
      <c r="D31" s="424">
        <v>657.38</v>
      </c>
      <c r="E31" s="424">
        <v>344.2</v>
      </c>
      <c r="F31" s="424">
        <f t="shared" si="5"/>
        <v>1001.5799999999999</v>
      </c>
      <c r="G31" s="501">
        <v>665</v>
      </c>
      <c r="H31" s="476">
        <f t="shared" si="6"/>
        <v>0.98854135338345861</v>
      </c>
      <c r="I31" s="476">
        <f>E31/G31</f>
        <v>0.51759398496240605</v>
      </c>
      <c r="J31" s="491"/>
      <c r="K31" s="476">
        <f t="shared" si="8"/>
        <v>1.5061353383458647</v>
      </c>
      <c r="O31" s="424"/>
    </row>
    <row r="32" spans="2:15">
      <c r="B32" s="475" t="s">
        <v>2528</v>
      </c>
      <c r="C32" s="481" t="s">
        <v>2309</v>
      </c>
      <c r="D32" s="424">
        <f t="shared" ref="D32:D36" si="9">+G32*H32</f>
        <v>525.8350509416963</v>
      </c>
      <c r="E32" s="424">
        <f t="shared" ref="E32:E36" si="10">+G32*I32</f>
        <v>336.11700000000002</v>
      </c>
      <c r="F32" s="424">
        <f t="shared" si="5"/>
        <v>861.95205094169637</v>
      </c>
      <c r="G32" s="501">
        <f t="shared" ref="G32:G36" si="11">+(G16+G79)/2</f>
        <v>619</v>
      </c>
      <c r="H32" s="476">
        <f>SUM(H25:H31)/8</f>
        <v>0.84949119699789377</v>
      </c>
      <c r="I32" s="476">
        <v>0.54300000000000004</v>
      </c>
      <c r="J32" s="491"/>
      <c r="K32" s="476">
        <f t="shared" si="8"/>
        <v>1.3924911969978937</v>
      </c>
    </row>
    <row r="33" spans="2:11">
      <c r="B33" s="475" t="s">
        <v>2529</v>
      </c>
      <c r="C33" s="481" t="s">
        <v>2309</v>
      </c>
      <c r="D33" s="424">
        <f t="shared" si="9"/>
        <v>638.81738014241614</v>
      </c>
      <c r="E33" s="424">
        <f t="shared" si="10"/>
        <v>408.33600000000001</v>
      </c>
      <c r="F33" s="424">
        <f t="shared" si="5"/>
        <v>1047.1533801424162</v>
      </c>
      <c r="G33" s="501">
        <f t="shared" si="11"/>
        <v>752</v>
      </c>
      <c r="H33" s="476">
        <f>H32</f>
        <v>0.84949119699789377</v>
      </c>
      <c r="I33" s="476">
        <f>I32</f>
        <v>0.54300000000000004</v>
      </c>
      <c r="J33" s="491"/>
      <c r="K33" s="476">
        <f>SUM(H33:I33)</f>
        <v>1.3924911969978937</v>
      </c>
    </row>
    <row r="34" spans="2:11">
      <c r="B34" s="475" t="s">
        <v>2530</v>
      </c>
      <c r="C34" s="481" t="s">
        <v>2309</v>
      </c>
      <c r="D34" s="424">
        <f t="shared" si="9"/>
        <v>612.05840743698241</v>
      </c>
      <c r="E34" s="424">
        <f t="shared" si="10"/>
        <v>391.23150000000004</v>
      </c>
      <c r="F34" s="424">
        <f t="shared" si="5"/>
        <v>1003.2899074369825</v>
      </c>
      <c r="G34" s="501">
        <f t="shared" si="11"/>
        <v>720.5</v>
      </c>
      <c r="H34" s="476">
        <f>H32</f>
        <v>0.84949119699789377</v>
      </c>
      <c r="I34" s="476">
        <f>I32</f>
        <v>0.54300000000000004</v>
      </c>
      <c r="J34" s="491"/>
      <c r="K34" s="476">
        <f>SUM(K25:K33)/9</f>
        <v>1.422177279352443</v>
      </c>
    </row>
    <row r="35" spans="2:11">
      <c r="B35" s="475" t="s">
        <v>2531</v>
      </c>
      <c r="C35" s="481" t="s">
        <v>2309</v>
      </c>
      <c r="D35" s="424">
        <f t="shared" si="9"/>
        <v>607.38620585349406</v>
      </c>
      <c r="E35" s="424">
        <f t="shared" si="10"/>
        <v>388.245</v>
      </c>
      <c r="F35" s="424">
        <f t="shared" si="5"/>
        <v>995.63120585349407</v>
      </c>
      <c r="G35" s="501">
        <f t="shared" si="11"/>
        <v>715</v>
      </c>
      <c r="H35" s="476">
        <f>H32</f>
        <v>0.84949119699789377</v>
      </c>
      <c r="I35" s="476">
        <f>I32</f>
        <v>0.54300000000000004</v>
      </c>
      <c r="J35" s="491"/>
      <c r="K35" s="476">
        <f>K34</f>
        <v>1.422177279352443</v>
      </c>
    </row>
    <row r="36" spans="2:11">
      <c r="B36" s="475" t="s">
        <v>2532</v>
      </c>
      <c r="C36" s="481" t="s">
        <v>2309</v>
      </c>
      <c r="D36" s="424">
        <f t="shared" si="9"/>
        <v>701.25498312176126</v>
      </c>
      <c r="E36" s="424">
        <f t="shared" si="10"/>
        <v>448.24650000000003</v>
      </c>
      <c r="F36" s="424">
        <f t="shared" si="5"/>
        <v>1149.5014831217613</v>
      </c>
      <c r="G36" s="501">
        <f t="shared" si="11"/>
        <v>825.5</v>
      </c>
      <c r="H36" s="476">
        <f>H32</f>
        <v>0.84949119699789377</v>
      </c>
      <c r="I36" s="476">
        <f>I32</f>
        <v>0.54300000000000004</v>
      </c>
      <c r="J36" s="491"/>
      <c r="K36" s="476">
        <f>+K35</f>
        <v>1.422177279352443</v>
      </c>
    </row>
    <row r="37" spans="2:11" ht="17" thickBot="1">
      <c r="B37" s="477" t="s">
        <v>2272</v>
      </c>
      <c r="C37" s="105"/>
      <c r="D37" s="841">
        <f>SUM(D25:D36)</f>
        <v>8273.4620274963509</v>
      </c>
      <c r="E37" s="841">
        <f t="shared" ref="E37:F37" si="12">SUM(E25:E36)</f>
        <v>4427.4660000000003</v>
      </c>
      <c r="F37" s="841">
        <f t="shared" si="12"/>
        <v>12700.928027496348</v>
      </c>
      <c r="G37" s="844">
        <f>SUM(G25:G36)</f>
        <v>8983</v>
      </c>
      <c r="H37" s="843">
        <f>D37/G37</f>
        <v>0.92101325030572756</v>
      </c>
      <c r="I37" s="843">
        <f>E37/G37</f>
        <v>0.4928716464432818</v>
      </c>
      <c r="J37" s="845"/>
      <c r="K37" s="843">
        <f>+F37/G37</f>
        <v>1.413884896749009</v>
      </c>
    </row>
    <row r="38" spans="2:11" ht="17" thickTop="1">
      <c r="B38" s="478"/>
      <c r="C38" s="105"/>
      <c r="D38" s="112"/>
      <c r="E38" s="113"/>
      <c r="F38" s="113"/>
      <c r="G38" s="113"/>
      <c r="H38" s="113"/>
      <c r="I38" s="114"/>
      <c r="J38" s="114"/>
      <c r="K38" s="114"/>
    </row>
    <row r="39" spans="2:11">
      <c r="B39" s="482" t="s">
        <v>2421</v>
      </c>
      <c r="C39" s="98"/>
      <c r="D39" s="469" t="str">
        <f>D7</f>
        <v>Con Ed #49-4182-7002-0000-8</v>
      </c>
      <c r="E39" s="470"/>
      <c r="F39" s="470"/>
      <c r="G39" s="470"/>
      <c r="H39" s="470"/>
      <c r="I39" s="479"/>
      <c r="J39" s="479"/>
      <c r="K39" s="479"/>
    </row>
    <row r="40" spans="2:11" ht="27">
      <c r="B40" s="669">
        <f>B24+1</f>
        <v>2026</v>
      </c>
      <c r="C40" s="107"/>
      <c r="D40" s="471" t="str">
        <f>D8</f>
        <v xml:space="preserve">Con Ed  </v>
      </c>
      <c r="E40" s="472" t="str">
        <f>E24</f>
        <v>Esco</v>
      </c>
      <c r="F40" s="499" t="s">
        <v>2272</v>
      </c>
      <c r="G40" s="500" t="s">
        <v>2584</v>
      </c>
      <c r="H40" s="472" t="s">
        <v>2585</v>
      </c>
      <c r="I40" s="472" t="str">
        <f>I24</f>
        <v>EscoTherms</v>
      </c>
      <c r="J40" s="472"/>
      <c r="K40" s="471" t="s">
        <v>2587</v>
      </c>
    </row>
    <row r="41" spans="2:11">
      <c r="B41" s="23" t="s">
        <v>2522</v>
      </c>
      <c r="C41" s="23"/>
      <c r="D41" s="426">
        <f>+G41*H41</f>
        <v>873.57285957446811</v>
      </c>
      <c r="E41" s="426">
        <f>+G41*I41</f>
        <v>492.57330000000002</v>
      </c>
      <c r="F41" s="426">
        <f>+D41+E41</f>
        <v>1366.1461595744681</v>
      </c>
      <c r="G41" s="501">
        <f>(G9+G25)/2</f>
        <v>818.5</v>
      </c>
      <c r="H41" s="474">
        <f>+H25*$I$57+H25</f>
        <v>1.0672851063829787</v>
      </c>
      <c r="I41" s="474">
        <f>I62</f>
        <v>0.6018</v>
      </c>
      <c r="J41" s="491"/>
      <c r="K41" s="474">
        <f>H41+I41</f>
        <v>1.6690851063829788</v>
      </c>
    </row>
    <row r="42" spans="2:11">
      <c r="B42" s="475" t="s">
        <v>2523</v>
      </c>
      <c r="C42" s="2"/>
      <c r="D42" s="424">
        <f>+G42*H42</f>
        <v>830.2739857707511</v>
      </c>
      <c r="E42" s="424">
        <f>+G42*I42</f>
        <v>452.55360000000002</v>
      </c>
      <c r="F42" s="424">
        <f>+D42+E42</f>
        <v>1282.8275857707511</v>
      </c>
      <c r="G42" s="501">
        <f t="shared" ref="G42:G52" si="13">(G10+G26)/2</f>
        <v>752</v>
      </c>
      <c r="H42" s="476">
        <f>+H26*$I$57+H26</f>
        <v>1.1040877470355732</v>
      </c>
      <c r="I42" s="476">
        <f>I62</f>
        <v>0.6018</v>
      </c>
      <c r="J42" s="502"/>
      <c r="K42" s="502">
        <f>H42+I42</f>
        <v>1.7058877470355731</v>
      </c>
    </row>
    <row r="43" spans="2:11">
      <c r="B43" s="475" t="s">
        <v>2524</v>
      </c>
      <c r="C43" s="2"/>
      <c r="D43" s="424">
        <f t="shared" ref="D43:D52" si="14">+G43*H43</f>
        <v>772.93933928571437</v>
      </c>
      <c r="E43" s="424">
        <f>+G43*I43</f>
        <v>418.55189999999999</v>
      </c>
      <c r="F43" s="424">
        <f t="shared" ref="F43:F52" si="15">+D43+E43</f>
        <v>1191.4912392857143</v>
      </c>
      <c r="G43" s="501">
        <f t="shared" si="13"/>
        <v>695.5</v>
      </c>
      <c r="H43" s="476">
        <f t="shared" ref="H43:H52" si="16">+H27*$I$57+H27</f>
        <v>1.1113434065934067</v>
      </c>
      <c r="I43" s="476">
        <f>I62</f>
        <v>0.6018</v>
      </c>
      <c r="J43" s="502"/>
      <c r="K43" s="502">
        <f t="shared" ref="K43:K52" si="17">H43+I43</f>
        <v>1.7131434065934066</v>
      </c>
    </row>
    <row r="44" spans="2:11">
      <c r="B44" s="475" t="s">
        <v>2525</v>
      </c>
      <c r="C44" s="2"/>
      <c r="D44" s="424">
        <f t="shared" si="14"/>
        <v>778.74125240715261</v>
      </c>
      <c r="E44" s="424">
        <f t="shared" ref="E44:E52" si="18">+G44*I44</f>
        <v>422.7645</v>
      </c>
      <c r="F44" s="424">
        <f t="shared" si="15"/>
        <v>1201.5057524071526</v>
      </c>
      <c r="G44" s="501">
        <f t="shared" si="13"/>
        <v>702.5</v>
      </c>
      <c r="H44" s="476">
        <f t="shared" si="16"/>
        <v>1.1085284731774414</v>
      </c>
      <c r="I44" s="476">
        <f>I62</f>
        <v>0.6018</v>
      </c>
      <c r="J44" s="502"/>
      <c r="K44" s="502">
        <f t="shared" si="17"/>
        <v>1.7103284731774413</v>
      </c>
    </row>
    <row r="45" spans="2:11">
      <c r="B45" s="475" t="s">
        <v>2278</v>
      </c>
      <c r="C45" s="2"/>
      <c r="D45" s="424">
        <f t="shared" si="14"/>
        <v>845.56197132616489</v>
      </c>
      <c r="E45" s="424">
        <f>+G45*I45</f>
        <v>460.67790000000002</v>
      </c>
      <c r="F45" s="424">
        <f t="shared" si="15"/>
        <v>1306.239871326165</v>
      </c>
      <c r="G45" s="501">
        <f t="shared" si="13"/>
        <v>765.5</v>
      </c>
      <c r="H45" s="476">
        <f t="shared" si="16"/>
        <v>1.1045878136200717</v>
      </c>
      <c r="I45" s="476">
        <f>I62</f>
        <v>0.6018</v>
      </c>
      <c r="J45" s="502"/>
      <c r="K45" s="502">
        <f t="shared" si="17"/>
        <v>1.7063878136200716</v>
      </c>
    </row>
    <row r="46" spans="2:11">
      <c r="B46" s="475" t="s">
        <v>2526</v>
      </c>
      <c r="C46" s="2"/>
      <c r="D46" s="424">
        <f t="shared" si="14"/>
        <v>784.96383881401619</v>
      </c>
      <c r="E46" s="424">
        <f t="shared" si="18"/>
        <v>420.0564</v>
      </c>
      <c r="F46" s="424">
        <f t="shared" si="15"/>
        <v>1205.0202388140162</v>
      </c>
      <c r="G46" s="501">
        <f t="shared" si="13"/>
        <v>698</v>
      </c>
      <c r="H46" s="476">
        <f t="shared" si="16"/>
        <v>1.124590026954178</v>
      </c>
      <c r="I46" s="476">
        <f>I62</f>
        <v>0.6018</v>
      </c>
      <c r="J46" s="502"/>
      <c r="K46" s="502">
        <f t="shared" si="17"/>
        <v>1.7263900269541779</v>
      </c>
    </row>
    <row r="47" spans="2:11">
      <c r="B47" s="475" t="s">
        <v>2527</v>
      </c>
      <c r="C47" s="2"/>
      <c r="D47" s="424">
        <f t="shared" si="14"/>
        <v>698.70102857142854</v>
      </c>
      <c r="E47" s="424">
        <f t="shared" si="18"/>
        <v>373.11599999999999</v>
      </c>
      <c r="F47" s="424">
        <f t="shared" si="15"/>
        <v>1071.8170285714286</v>
      </c>
      <c r="G47" s="501">
        <f t="shared" si="13"/>
        <v>620</v>
      </c>
      <c r="H47" s="476">
        <f t="shared" si="16"/>
        <v>1.1269371428571429</v>
      </c>
      <c r="I47" s="476">
        <f>I62</f>
        <v>0.6018</v>
      </c>
      <c r="J47" s="502"/>
      <c r="K47" s="502">
        <f t="shared" si="17"/>
        <v>1.7287371428571428</v>
      </c>
    </row>
    <row r="48" spans="2:11">
      <c r="B48" s="475" t="s">
        <v>2528</v>
      </c>
      <c r="C48" s="2"/>
      <c r="D48" s="424">
        <f t="shared" si="14"/>
        <v>585.4098685871586</v>
      </c>
      <c r="E48" s="424">
        <f t="shared" si="18"/>
        <v>363.78809999999999</v>
      </c>
      <c r="F48" s="424">
        <f t="shared" si="15"/>
        <v>949.19796858715858</v>
      </c>
      <c r="G48" s="501">
        <f t="shared" si="13"/>
        <v>604.5</v>
      </c>
      <c r="H48" s="476">
        <f t="shared" si="16"/>
        <v>0.96841996457759894</v>
      </c>
      <c r="I48" s="476">
        <f>I62</f>
        <v>0.6018</v>
      </c>
      <c r="J48" s="502"/>
      <c r="K48" s="502">
        <f t="shared" si="17"/>
        <v>1.5702199645775989</v>
      </c>
    </row>
    <row r="49" spans="2:14">
      <c r="B49" s="475" t="s">
        <v>2529</v>
      </c>
      <c r="C49" s="2"/>
      <c r="D49" s="424">
        <f t="shared" si="14"/>
        <v>714.20972387597919</v>
      </c>
      <c r="E49" s="424">
        <f t="shared" si="18"/>
        <v>443.82749999999999</v>
      </c>
      <c r="F49" s="424">
        <f t="shared" si="15"/>
        <v>1158.0372238759792</v>
      </c>
      <c r="G49" s="501">
        <f t="shared" si="13"/>
        <v>737.5</v>
      </c>
      <c r="H49" s="476">
        <f>+H33*$I$57+H33</f>
        <v>0.96841996457759894</v>
      </c>
      <c r="I49" s="476">
        <f>I62</f>
        <v>0.6018</v>
      </c>
      <c r="J49" s="502"/>
      <c r="K49" s="502">
        <f t="shared" si="17"/>
        <v>1.5702199645775989</v>
      </c>
    </row>
    <row r="50" spans="2:14">
      <c r="B50" s="475" t="s">
        <v>2530</v>
      </c>
      <c r="C50" s="2"/>
      <c r="D50" s="424">
        <f t="shared" si="14"/>
        <v>689.27290978810606</v>
      </c>
      <c r="E50" s="424">
        <f t="shared" si="18"/>
        <v>428.33114999999998</v>
      </c>
      <c r="F50" s="424">
        <f t="shared" si="15"/>
        <v>1117.604059788106</v>
      </c>
      <c r="G50" s="501">
        <f t="shared" si="13"/>
        <v>711.75</v>
      </c>
      <c r="H50" s="476">
        <f t="shared" si="16"/>
        <v>0.96841996457759894</v>
      </c>
      <c r="I50" s="476">
        <f>I62</f>
        <v>0.6018</v>
      </c>
      <c r="J50" s="502"/>
      <c r="K50" s="502">
        <f t="shared" si="17"/>
        <v>1.5702199645775989</v>
      </c>
    </row>
    <row r="51" spans="2:14">
      <c r="B51" s="475" t="s">
        <v>2531</v>
      </c>
      <c r="C51" s="2"/>
      <c r="D51" s="424">
        <f t="shared" si="14"/>
        <v>686.12554490322884</v>
      </c>
      <c r="E51" s="424">
        <f t="shared" si="18"/>
        <v>426.37529999999998</v>
      </c>
      <c r="F51" s="424">
        <f t="shared" si="15"/>
        <v>1112.5008449032289</v>
      </c>
      <c r="G51" s="501">
        <f t="shared" si="13"/>
        <v>708.5</v>
      </c>
      <c r="H51" s="476">
        <f>+H35*$I$57+H35</f>
        <v>0.96841996457759894</v>
      </c>
      <c r="I51" s="476">
        <f>I62</f>
        <v>0.6018</v>
      </c>
      <c r="J51" s="502"/>
      <c r="K51" s="502">
        <f t="shared" si="17"/>
        <v>1.5702199645775989</v>
      </c>
    </row>
    <row r="52" spans="2:14">
      <c r="B52" s="475" t="s">
        <v>2532</v>
      </c>
      <c r="C52" s="2"/>
      <c r="D52" s="424">
        <f t="shared" si="14"/>
        <v>790.47279608646511</v>
      </c>
      <c r="E52" s="424">
        <f t="shared" si="18"/>
        <v>491.21924999999999</v>
      </c>
      <c r="F52" s="424">
        <f t="shared" si="15"/>
        <v>1281.6920460864651</v>
      </c>
      <c r="G52" s="501">
        <f t="shared" si="13"/>
        <v>816.25</v>
      </c>
      <c r="H52" s="476">
        <f t="shared" si="16"/>
        <v>0.96841996457759894</v>
      </c>
      <c r="I52" s="476">
        <f>I62</f>
        <v>0.6018</v>
      </c>
      <c r="J52" s="502"/>
      <c r="K52" s="502">
        <f t="shared" si="17"/>
        <v>1.5702199645775989</v>
      </c>
    </row>
    <row r="53" spans="2:14" ht="17" thickBot="1">
      <c r="B53" s="477" t="s">
        <v>2272</v>
      </c>
      <c r="C53" s="105"/>
      <c r="D53" s="841">
        <f>SUM(D41:D52)</f>
        <v>9050.2451189906333</v>
      </c>
      <c r="E53" s="841">
        <f>SUM(E41:E52)</f>
        <v>5193.8348999999998</v>
      </c>
      <c r="F53" s="841">
        <f>SUM(F41:F52)</f>
        <v>14244.080018990633</v>
      </c>
      <c r="G53" s="844">
        <f>SUM(G41:G52)</f>
        <v>8630.5</v>
      </c>
      <c r="H53" s="843">
        <f>D53/G53</f>
        <v>1.0486350870738235</v>
      </c>
      <c r="I53" s="843">
        <f>E53/G53</f>
        <v>0.6018</v>
      </c>
      <c r="J53" s="845"/>
      <c r="K53" s="843">
        <f>+F53/G53</f>
        <v>1.6504350870738234</v>
      </c>
    </row>
    <row r="54" spans="2:14" ht="17" thickTop="1">
      <c r="B54" s="105"/>
      <c r="C54" s="105"/>
      <c r="D54" s="112"/>
      <c r="E54" s="113"/>
      <c r="F54" s="113"/>
      <c r="G54" s="113"/>
      <c r="H54" s="114"/>
    </row>
    <row r="55" spans="2:14">
      <c r="B55" s="126" t="str">
        <f>Electric!B55</f>
        <v>2026 Budget Assumptions:</v>
      </c>
      <c r="E55" s="98"/>
      <c r="F55" s="98"/>
      <c r="G55" s="98"/>
      <c r="H55" s="98"/>
      <c r="I55" s="98"/>
    </row>
    <row r="56" spans="2:14">
      <c r="B56" s="107" t="s">
        <v>2590</v>
      </c>
      <c r="D56" s="98"/>
      <c r="E56" s="98"/>
      <c r="F56" s="98"/>
      <c r="G56" s="98"/>
      <c r="H56" s="127"/>
    </row>
    <row r="57" spans="2:14">
      <c r="B57" s="107" t="s">
        <v>2591</v>
      </c>
      <c r="D57" s="98"/>
      <c r="E57" s="98"/>
      <c r="F57" s="98"/>
      <c r="G57" s="98"/>
      <c r="H57" s="127"/>
      <c r="I57" s="895">
        <v>0.14000000000000001</v>
      </c>
    </row>
    <row r="58" spans="2:14">
      <c r="B58" s="107"/>
      <c r="D58" s="98"/>
      <c r="E58" s="98"/>
      <c r="F58" s="98"/>
      <c r="G58" s="98"/>
      <c r="H58" s="98"/>
      <c r="I58" s="503"/>
      <c r="N58" s="343" t="s">
        <v>2592</v>
      </c>
    </row>
    <row r="59" spans="2:14">
      <c r="B59" s="466" t="s">
        <v>3174</v>
      </c>
    </row>
    <row r="60" spans="2:14">
      <c r="B60" s="466" t="s">
        <v>3175</v>
      </c>
    </row>
    <row r="61" spans="2:14">
      <c r="B61" s="466"/>
      <c r="D61" s="484"/>
      <c r="E61" s="484"/>
      <c r="F61" s="484"/>
      <c r="G61" s="484"/>
      <c r="H61" s="484"/>
      <c r="I61" s="503"/>
    </row>
    <row r="62" spans="2:14">
      <c r="B62" s="466" t="s">
        <v>3176</v>
      </c>
      <c r="D62" s="116"/>
      <c r="E62" s="112"/>
      <c r="F62" s="112"/>
      <c r="I62" s="896">
        <v>0.6018</v>
      </c>
    </row>
    <row r="63" spans="2:14">
      <c r="B63" s="504"/>
      <c r="D63" s="116"/>
      <c r="E63" s="112"/>
      <c r="F63" s="112"/>
    </row>
    <row r="64" spans="2:14">
      <c r="B64" s="107"/>
      <c r="D64" s="484"/>
      <c r="E64" s="484"/>
      <c r="F64" s="484"/>
      <c r="G64" s="484"/>
      <c r="H64" s="484"/>
      <c r="I64" s="484"/>
    </row>
    <row r="65" spans="2:11">
      <c r="C65" s="484"/>
      <c r="D65" s="484"/>
      <c r="G65" s="484"/>
      <c r="H65" s="484"/>
    </row>
    <row r="66" spans="2:11">
      <c r="C66" s="484"/>
      <c r="D66" s="484"/>
      <c r="E66" s="1008" t="s">
        <v>2593</v>
      </c>
      <c r="F66" s="1008"/>
      <c r="G66" s="484"/>
      <c r="H66" s="484"/>
    </row>
    <row r="67" spans="2:11">
      <c r="C67" s="484"/>
      <c r="D67" s="484"/>
      <c r="E67" s="484"/>
      <c r="F67" s="484"/>
      <c r="G67" s="484"/>
      <c r="H67" s="484"/>
    </row>
    <row r="68" spans="2:11">
      <c r="C68" s="484"/>
      <c r="D68" s="484"/>
      <c r="E68" s="484"/>
      <c r="F68" s="484"/>
      <c r="G68" s="484"/>
      <c r="H68" s="484"/>
    </row>
    <row r="69" spans="2:11">
      <c r="D69" s="486"/>
      <c r="F69" s="484"/>
      <c r="G69" s="484"/>
    </row>
    <row r="70" spans="2:11">
      <c r="B70" s="475"/>
      <c r="C70" s="98"/>
      <c r="D70" s="469" t="s">
        <v>2554</v>
      </c>
      <c r="E70" s="470"/>
      <c r="F70" s="470"/>
      <c r="G70" s="470"/>
      <c r="H70" s="469"/>
    </row>
    <row r="71" spans="2:11" ht="27">
      <c r="B71" s="669">
        <f>'Electric 2'!B71</f>
        <v>2023</v>
      </c>
      <c r="C71" s="107"/>
      <c r="D71" s="471" t="s">
        <v>2583</v>
      </c>
      <c r="E71" s="472" t="s">
        <v>2594</v>
      </c>
      <c r="F71" s="499" t="s">
        <v>2272</v>
      </c>
      <c r="G71" s="500" t="s">
        <v>2584</v>
      </c>
      <c r="H71" s="472" t="s">
        <v>2585</v>
      </c>
      <c r="I71" s="472" t="s">
        <v>2595</v>
      </c>
      <c r="J71" s="472"/>
      <c r="K71" s="471" t="s">
        <v>2587</v>
      </c>
    </row>
    <row r="72" spans="2:11">
      <c r="B72" s="23" t="s">
        <v>2522</v>
      </c>
      <c r="C72" s="23"/>
      <c r="D72" s="426">
        <v>678.85</v>
      </c>
      <c r="E72" s="426">
        <v>700.59</v>
      </c>
      <c r="F72" s="426">
        <v>1379.44</v>
      </c>
      <c r="G72" s="501">
        <v>809</v>
      </c>
      <c r="H72" s="474">
        <v>0.83912237330037087</v>
      </c>
      <c r="I72" s="474">
        <v>0.86599505562422752</v>
      </c>
      <c r="J72" s="491"/>
      <c r="K72" s="474">
        <v>1.7051174289245985</v>
      </c>
    </row>
    <row r="73" spans="2:11">
      <c r="B73" s="475" t="s">
        <v>2523</v>
      </c>
      <c r="C73" s="2"/>
      <c r="D73" s="424">
        <v>658.37</v>
      </c>
      <c r="E73" s="424">
        <v>700.59</v>
      </c>
      <c r="F73" s="424">
        <v>1358.96</v>
      </c>
      <c r="G73" s="501">
        <v>795</v>
      </c>
      <c r="H73" s="476">
        <v>0.82813836477987424</v>
      </c>
      <c r="I73" s="476">
        <v>0.88124528301886795</v>
      </c>
      <c r="J73" s="491"/>
      <c r="K73" s="476">
        <v>1.7093836477987421</v>
      </c>
    </row>
    <row r="74" spans="2:11">
      <c r="B74" s="475" t="s">
        <v>2524</v>
      </c>
      <c r="C74" s="2"/>
      <c r="D74" s="424">
        <v>559.66999999999996</v>
      </c>
      <c r="E74" s="424">
        <v>400.91</v>
      </c>
      <c r="F74" s="424">
        <v>960.57999999999993</v>
      </c>
      <c r="G74" s="501">
        <v>672</v>
      </c>
      <c r="H74" s="476">
        <v>0.83284226190476185</v>
      </c>
      <c r="I74" s="476">
        <v>0.59659226190476189</v>
      </c>
      <c r="J74" s="491"/>
      <c r="K74" s="476">
        <v>1.4294345238095238</v>
      </c>
    </row>
    <row r="75" spans="2:11">
      <c r="B75" s="475" t="s">
        <v>2525</v>
      </c>
      <c r="C75" s="2"/>
      <c r="D75" s="424">
        <v>572.83000000000004</v>
      </c>
      <c r="E75" s="424">
        <v>394.93</v>
      </c>
      <c r="F75" s="424">
        <v>967.76</v>
      </c>
      <c r="G75" s="501">
        <v>695</v>
      </c>
      <c r="H75" s="476">
        <v>0.82421582733812959</v>
      </c>
      <c r="I75" s="476">
        <v>0.56824460431654678</v>
      </c>
      <c r="J75" s="491"/>
      <c r="K75" s="476">
        <v>1.3924604316546763</v>
      </c>
    </row>
    <row r="76" spans="2:11">
      <c r="B76" s="475" t="s">
        <v>2278</v>
      </c>
      <c r="C76" s="2"/>
      <c r="D76" s="424">
        <v>558.12</v>
      </c>
      <c r="E76" s="424">
        <v>408.41</v>
      </c>
      <c r="F76" s="424">
        <v>966.53</v>
      </c>
      <c r="G76" s="501">
        <v>706</v>
      </c>
      <c r="H76" s="476">
        <v>0.79053824362606229</v>
      </c>
      <c r="I76" s="476">
        <v>0.57848441926345617</v>
      </c>
      <c r="J76" s="491"/>
      <c r="K76" s="476">
        <v>1.3690226628895186</v>
      </c>
    </row>
    <row r="77" spans="2:11">
      <c r="B77" s="475" t="s">
        <v>2526</v>
      </c>
      <c r="C77" s="2"/>
      <c r="D77" s="424">
        <v>620.63</v>
      </c>
      <c r="E77" s="424">
        <v>473.93</v>
      </c>
      <c r="F77" s="424">
        <v>1094.56</v>
      </c>
      <c r="G77" s="501">
        <v>817</v>
      </c>
      <c r="H77" s="476">
        <v>0.75964504283965728</v>
      </c>
      <c r="I77" s="476">
        <v>0.58008567931456545</v>
      </c>
      <c r="J77" s="491"/>
      <c r="K77" s="476">
        <v>1.3397307221542227</v>
      </c>
    </row>
    <row r="78" spans="2:11">
      <c r="B78" s="475" t="s">
        <v>2527</v>
      </c>
      <c r="C78" s="2"/>
      <c r="D78" s="424">
        <v>524.34</v>
      </c>
      <c r="E78" s="424">
        <v>314.8</v>
      </c>
      <c r="F78" s="424">
        <v>839.1400000000001</v>
      </c>
      <c r="G78" s="501">
        <v>679</v>
      </c>
      <c r="H78" s="476">
        <v>0.77222385861561127</v>
      </c>
      <c r="I78" s="476">
        <v>0.46362297496318117</v>
      </c>
      <c r="J78" s="491"/>
      <c r="K78" s="476">
        <v>1.2358468335787924</v>
      </c>
    </row>
    <row r="79" spans="2:11">
      <c r="B79" s="475" t="s">
        <v>2528</v>
      </c>
      <c r="C79" s="2"/>
      <c r="D79" s="424">
        <v>541.79999999999995</v>
      </c>
      <c r="E79" s="424">
        <v>282.42</v>
      </c>
      <c r="F79" s="424">
        <v>824.22</v>
      </c>
      <c r="G79" s="501">
        <v>648</v>
      </c>
      <c r="H79" s="476">
        <v>0.83611111111111103</v>
      </c>
      <c r="I79" s="476">
        <v>0.43583333333333335</v>
      </c>
      <c r="J79" s="491"/>
      <c r="K79" s="476">
        <v>1.2719444444444443</v>
      </c>
    </row>
    <row r="80" spans="2:11">
      <c r="B80" s="475" t="s">
        <v>2529</v>
      </c>
      <c r="C80" s="2"/>
      <c r="D80" s="424">
        <v>662.91</v>
      </c>
      <c r="E80" s="424">
        <v>342.96</v>
      </c>
      <c r="F80" s="424">
        <v>1005.8699999999999</v>
      </c>
      <c r="G80" s="501">
        <v>781</v>
      </c>
      <c r="H80" s="476">
        <v>0.84879641485275281</v>
      </c>
      <c r="I80" s="476">
        <v>0.4391293213828425</v>
      </c>
      <c r="J80" s="491"/>
      <c r="K80" s="476">
        <v>1.2879257362355954</v>
      </c>
    </row>
    <row r="81" spans="2:11">
      <c r="B81" s="475" t="s">
        <v>2530</v>
      </c>
      <c r="C81" s="2"/>
      <c r="D81" s="424">
        <v>624.63</v>
      </c>
      <c r="E81" s="424">
        <v>339.36</v>
      </c>
      <c r="F81" s="424">
        <v>963.99</v>
      </c>
      <c r="G81" s="501">
        <v>738</v>
      </c>
      <c r="H81" s="476">
        <v>0.84638211382113826</v>
      </c>
      <c r="I81" s="476">
        <v>0.45983739837398374</v>
      </c>
      <c r="J81" s="491"/>
      <c r="K81" s="476">
        <v>1.3062195121951219</v>
      </c>
    </row>
    <row r="82" spans="2:11">
      <c r="B82" s="475" t="s">
        <v>2531</v>
      </c>
      <c r="C82" s="2"/>
      <c r="D82" s="424">
        <v>614.57000000000005</v>
      </c>
      <c r="E82" s="424">
        <v>362.59</v>
      </c>
      <c r="F82" s="424">
        <v>977.16000000000008</v>
      </c>
      <c r="G82" s="501">
        <v>728</v>
      </c>
      <c r="H82" s="476">
        <v>0.8441895604395605</v>
      </c>
      <c r="I82" s="476">
        <v>0.49806318681318679</v>
      </c>
      <c r="J82" s="491"/>
      <c r="K82" s="476">
        <v>1.3422527472527472</v>
      </c>
    </row>
    <row r="83" spans="2:11">
      <c r="B83" s="475" t="s">
        <v>2532</v>
      </c>
      <c r="C83" s="2"/>
      <c r="D83" s="424">
        <v>711.33</v>
      </c>
      <c r="E83" s="424">
        <v>396.04</v>
      </c>
      <c r="F83" s="424">
        <v>1107.3700000000001</v>
      </c>
      <c r="G83" s="501">
        <v>844</v>
      </c>
      <c r="H83" s="476">
        <v>0.84280805687203797</v>
      </c>
      <c r="I83" s="476">
        <v>0.46924170616113747</v>
      </c>
      <c r="J83" s="491"/>
      <c r="K83" s="476">
        <v>1.3120497630331753</v>
      </c>
    </row>
    <row r="84" spans="2:11" ht="17" thickBot="1">
      <c r="B84" s="477" t="s">
        <v>2272</v>
      </c>
      <c r="C84" s="105"/>
      <c r="D84" s="841">
        <f>SUM(D72:D83)</f>
        <v>7328.0499999999993</v>
      </c>
      <c r="E84" s="841">
        <f t="shared" ref="E84:F84" si="19">SUM(E72:E83)</f>
        <v>5117.53</v>
      </c>
      <c r="F84" s="841">
        <f t="shared" si="19"/>
        <v>12445.580000000002</v>
      </c>
      <c r="G84" s="844">
        <f>SUM(G72:G83)</f>
        <v>8912</v>
      </c>
      <c r="H84" s="843">
        <f>D84/G84</f>
        <v>0.82226772890484734</v>
      </c>
      <c r="I84" s="843">
        <f>E84/G84</f>
        <v>0.57422912926391378</v>
      </c>
      <c r="J84" s="845"/>
      <c r="K84" s="843">
        <f>+F84/G84</f>
        <v>1.3964968581687613</v>
      </c>
    </row>
    <row r="85" spans="2:11" ht="17" thickTop="1"/>
  </sheetData>
  <mergeCells count="1">
    <mergeCell ref="E66:F66"/>
  </mergeCells>
  <printOptions horizontalCentered="1"/>
  <pageMargins left="0" right="0" top="0" bottom="0" header="0.3" footer="0.3"/>
  <pageSetup scale="75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B1:N94"/>
  <sheetViews>
    <sheetView view="pageBreakPreview" topLeftCell="A37" zoomScaleNormal="100" zoomScaleSheetLayoutView="100" workbookViewId="0">
      <selection activeCell="L38" sqref="L38"/>
    </sheetView>
  </sheetViews>
  <sheetFormatPr baseColWidth="10" defaultColWidth="8.85546875" defaultRowHeight="16"/>
  <cols>
    <col min="1" max="1" width="6.140625" style="297" customWidth="1"/>
    <col min="2" max="2" width="9.42578125" style="297" customWidth="1"/>
    <col min="3" max="3" width="7.28515625" style="297" customWidth="1"/>
    <col min="4" max="9" width="10.140625" style="297" customWidth="1"/>
    <col min="10" max="10" width="1.85546875" style="297" customWidth="1"/>
    <col min="11" max="11" width="10.140625" style="297" customWidth="1"/>
    <col min="12" max="12" width="8.85546875" style="297"/>
    <col min="13" max="13" width="14.28515625" style="297" customWidth="1"/>
    <col min="14" max="16384" width="8.85546875" style="297"/>
  </cols>
  <sheetData>
    <row r="1" spans="2:13">
      <c r="C1" s="98"/>
      <c r="D1" s="98"/>
      <c r="E1" s="99"/>
      <c r="F1" s="99" t="str">
        <f>+yrlycomp!H1</f>
        <v>444 East 86th Street Owners Corp.</v>
      </c>
      <c r="J1" s="99"/>
      <c r="K1" s="99"/>
    </row>
    <row r="2" spans="2:13">
      <c r="B2" s="98"/>
      <c r="C2" s="98"/>
      <c r="D2" s="98"/>
      <c r="E2" s="100"/>
      <c r="F2" s="100" t="s">
        <v>858</v>
      </c>
      <c r="J2" s="100"/>
      <c r="K2" s="100"/>
    </row>
    <row r="3" spans="2:13">
      <c r="B3" s="100" t="s">
        <v>2570</v>
      </c>
      <c r="C3" s="98"/>
      <c r="D3" s="98"/>
      <c r="E3" s="101"/>
      <c r="F3" s="101" t="str">
        <f>+yrlycomp!H3</f>
        <v>For Year Ending 12/31/2026</v>
      </c>
      <c r="J3" s="101"/>
      <c r="K3" s="101"/>
    </row>
    <row r="4" spans="2:13">
      <c r="B4" s="100"/>
      <c r="C4" s="98"/>
      <c r="D4" s="98"/>
      <c r="E4" s="101"/>
      <c r="F4" s="101"/>
      <c r="J4" s="101"/>
      <c r="K4" s="101"/>
    </row>
    <row r="5" spans="2:13">
      <c r="B5" s="467" t="s">
        <v>2184</v>
      </c>
    </row>
    <row r="6" spans="2:13">
      <c r="B6" s="498" t="s">
        <v>857</v>
      </c>
    </row>
    <row r="7" spans="2:13">
      <c r="B7" s="475"/>
      <c r="C7" s="98"/>
      <c r="D7" s="469" t="s">
        <v>3178</v>
      </c>
      <c r="E7" s="470"/>
      <c r="F7" s="470"/>
      <c r="G7" s="470"/>
      <c r="H7" s="470"/>
      <c r="I7" s="469"/>
      <c r="J7" s="469"/>
      <c r="K7" s="469"/>
    </row>
    <row r="8" spans="2:13" ht="27">
      <c r="B8" s="669">
        <f>Electric!B8</f>
        <v>2024</v>
      </c>
      <c r="C8" s="107"/>
      <c r="D8" s="471" t="s">
        <v>2596</v>
      </c>
      <c r="E8" s="472" t="s">
        <v>2545</v>
      </c>
      <c r="F8" s="499" t="s">
        <v>2272</v>
      </c>
      <c r="G8" s="500" t="s">
        <v>2584</v>
      </c>
      <c r="H8" s="472" t="s">
        <v>2585</v>
      </c>
      <c r="I8" s="472" t="s">
        <v>2597</v>
      </c>
      <c r="J8" s="472"/>
      <c r="K8" s="471" t="s">
        <v>2587</v>
      </c>
      <c r="M8" s="531">
        <v>71914820007</v>
      </c>
    </row>
    <row r="9" spans="2:13">
      <c r="B9" s="23" t="s">
        <v>2522</v>
      </c>
      <c r="C9" s="23"/>
      <c r="D9" s="426">
        <v>41599.47</v>
      </c>
      <c r="E9" s="426">
        <v>13486.56</v>
      </c>
      <c r="F9" s="426">
        <f>+D9+E9</f>
        <v>55086.03</v>
      </c>
      <c r="G9" s="501">
        <v>29976</v>
      </c>
      <c r="H9" s="474">
        <f>+D9/G9</f>
        <v>1.3877592073658926</v>
      </c>
      <c r="I9" s="474">
        <f>+E9/G9</f>
        <v>0.4499119295436349</v>
      </c>
      <c r="J9" s="491"/>
      <c r="K9" s="474">
        <f>+H9+J9</f>
        <v>1.3877592073658926</v>
      </c>
    </row>
    <row r="10" spans="2:13">
      <c r="B10" s="475" t="s">
        <v>2523</v>
      </c>
      <c r="C10" s="2"/>
      <c r="D10" s="424">
        <v>40952.65</v>
      </c>
      <c r="E10" s="424">
        <v>12511.05</v>
      </c>
      <c r="F10" s="424">
        <f t="shared" ref="F10:F20" si="0">+D10+E10</f>
        <v>53463.7</v>
      </c>
      <c r="G10" s="501">
        <v>28535</v>
      </c>
      <c r="H10" s="476">
        <f t="shared" ref="H10:H20" si="1">+D10/G10</f>
        <v>1.4351725950587</v>
      </c>
      <c r="I10" s="476">
        <f t="shared" ref="I10:I20" si="2">+E10/G10</f>
        <v>0.43844576835465215</v>
      </c>
      <c r="J10" s="491"/>
      <c r="K10" s="476">
        <f t="shared" ref="K10:K20" si="3">+H10+J10</f>
        <v>1.4351725950587</v>
      </c>
    </row>
    <row r="11" spans="2:13">
      <c r="B11" s="475" t="s">
        <v>2524</v>
      </c>
      <c r="C11" s="2"/>
      <c r="D11" s="424">
        <v>34714.26</v>
      </c>
      <c r="E11" s="424">
        <v>7675.04</v>
      </c>
      <c r="F11" s="424">
        <f t="shared" si="0"/>
        <v>42389.3</v>
      </c>
      <c r="G11" s="501">
        <v>21963</v>
      </c>
      <c r="H11" s="476">
        <f t="shared" si="1"/>
        <v>1.5805791558530256</v>
      </c>
      <c r="I11" s="476">
        <f t="shared" si="2"/>
        <v>0.34945317124254427</v>
      </c>
      <c r="J11" s="491"/>
      <c r="K11" s="476">
        <f t="shared" si="3"/>
        <v>1.5805791558530256</v>
      </c>
    </row>
    <row r="12" spans="2:13">
      <c r="B12" s="475" t="s">
        <v>2525</v>
      </c>
      <c r="C12" s="2"/>
      <c r="D12" s="424">
        <v>23516.639999999999</v>
      </c>
      <c r="E12" s="424">
        <v>5913.37</v>
      </c>
      <c r="F12" s="424">
        <f t="shared" si="0"/>
        <v>29430.01</v>
      </c>
      <c r="G12" s="501">
        <v>17595</v>
      </c>
      <c r="H12" s="476">
        <f t="shared" si="1"/>
        <v>1.3365524296675191</v>
      </c>
      <c r="I12" s="476">
        <f t="shared" si="2"/>
        <v>0.33608240977550441</v>
      </c>
      <c r="J12" s="491"/>
      <c r="K12" s="476">
        <f t="shared" si="3"/>
        <v>1.3365524296675191</v>
      </c>
    </row>
    <row r="13" spans="2:13">
      <c r="B13" s="475" t="s">
        <v>2278</v>
      </c>
      <c r="C13" s="2"/>
      <c r="D13" s="424">
        <v>11568.05</v>
      </c>
      <c r="E13" s="424">
        <v>2912.99</v>
      </c>
      <c r="F13" s="424">
        <f t="shared" si="0"/>
        <v>14481.039999999999</v>
      </c>
      <c r="G13" s="501">
        <v>8277</v>
      </c>
      <c r="H13" s="476">
        <f t="shared" si="1"/>
        <v>1.3976138697595746</v>
      </c>
      <c r="I13" s="476">
        <f t="shared" si="2"/>
        <v>0.3519379002053884</v>
      </c>
      <c r="J13" s="491"/>
      <c r="K13" s="476">
        <f t="shared" si="3"/>
        <v>1.3976138697595746</v>
      </c>
    </row>
    <row r="14" spans="2:13">
      <c r="B14" s="475" t="s">
        <v>2526</v>
      </c>
      <c r="C14" s="2"/>
      <c r="D14" s="424">
        <v>19171.87</v>
      </c>
      <c r="E14" s="424">
        <v>6279.55</v>
      </c>
      <c r="F14" s="424">
        <f t="shared" si="0"/>
        <v>25451.42</v>
      </c>
      <c r="G14" s="501">
        <v>15284</v>
      </c>
      <c r="H14" s="476">
        <f t="shared" si="1"/>
        <v>1.254375163569746</v>
      </c>
      <c r="I14" s="476">
        <f t="shared" si="2"/>
        <v>0.41085775974875688</v>
      </c>
      <c r="J14" s="491"/>
      <c r="K14" s="476">
        <f t="shared" si="3"/>
        <v>1.254375163569746</v>
      </c>
    </row>
    <row r="15" spans="2:13">
      <c r="B15" s="475" t="s">
        <v>2527</v>
      </c>
      <c r="C15" s="2"/>
      <c r="D15" s="424">
        <v>37599.949999999997</v>
      </c>
      <c r="E15" s="424">
        <v>14393.29</v>
      </c>
      <c r="F15" s="424">
        <f t="shared" si="0"/>
        <v>51993.24</v>
      </c>
      <c r="G15" s="501">
        <v>32250</v>
      </c>
      <c r="H15" s="476">
        <f t="shared" si="1"/>
        <v>1.1658899224806201</v>
      </c>
      <c r="I15" s="476">
        <f t="shared" si="2"/>
        <v>0.44630356589147291</v>
      </c>
      <c r="J15" s="491"/>
      <c r="K15" s="476">
        <f t="shared" si="3"/>
        <v>1.1658899224806201</v>
      </c>
    </row>
    <row r="16" spans="2:13">
      <c r="B16" s="475" t="s">
        <v>2528</v>
      </c>
      <c r="C16" s="2"/>
      <c r="D16" s="424">
        <v>34001.47</v>
      </c>
      <c r="E16" s="424">
        <v>11368.91</v>
      </c>
      <c r="F16" s="424">
        <f t="shared" si="0"/>
        <v>45370.380000000005</v>
      </c>
      <c r="G16" s="501">
        <v>29146</v>
      </c>
      <c r="H16" s="476">
        <f t="shared" si="1"/>
        <v>1.1665912989775613</v>
      </c>
      <c r="I16" s="476">
        <f t="shared" si="2"/>
        <v>0.39006759075001712</v>
      </c>
      <c r="J16" s="491"/>
      <c r="K16" s="476">
        <f t="shared" si="3"/>
        <v>1.1665912989775613</v>
      </c>
      <c r="M16" s="398" t="s">
        <v>2588</v>
      </c>
    </row>
    <row r="17" spans="2:13">
      <c r="B17" s="475" t="s">
        <v>2529</v>
      </c>
      <c r="C17" s="2"/>
      <c r="D17" s="424">
        <v>30644.37</v>
      </c>
      <c r="E17" s="424">
        <v>9834.27</v>
      </c>
      <c r="F17" s="424">
        <f t="shared" si="0"/>
        <v>40478.639999999999</v>
      </c>
      <c r="G17" s="501">
        <v>26363</v>
      </c>
      <c r="H17" s="476">
        <f t="shared" si="1"/>
        <v>1.1624007131206615</v>
      </c>
      <c r="I17" s="476">
        <f t="shared" si="2"/>
        <v>0.37303303872852106</v>
      </c>
      <c r="J17" s="491"/>
      <c r="K17" s="476">
        <f t="shared" si="3"/>
        <v>1.1624007131206615</v>
      </c>
      <c r="M17" s="398" t="s">
        <v>2589</v>
      </c>
    </row>
    <row r="18" spans="2:13">
      <c r="B18" s="475" t="s">
        <v>2530</v>
      </c>
      <c r="C18" s="2"/>
      <c r="D18" s="424">
        <v>19435.45</v>
      </c>
      <c r="E18" s="424">
        <v>6297.12</v>
      </c>
      <c r="F18" s="424">
        <f t="shared" si="0"/>
        <v>25732.57</v>
      </c>
      <c r="G18" s="501">
        <v>14731</v>
      </c>
      <c r="H18" s="476">
        <f t="shared" si="1"/>
        <v>1.3193571380082818</v>
      </c>
      <c r="I18" s="476">
        <f t="shared" si="2"/>
        <v>0.42747403434933134</v>
      </c>
      <c r="J18" s="491"/>
      <c r="K18" s="476">
        <f t="shared" si="3"/>
        <v>1.3193571380082818</v>
      </c>
    </row>
    <row r="19" spans="2:13">
      <c r="B19" s="475" t="s">
        <v>2531</v>
      </c>
      <c r="C19" s="2"/>
      <c r="D19" s="424">
        <v>17283.310000000001</v>
      </c>
      <c r="E19" s="424">
        <v>4514.8100000000004</v>
      </c>
      <c r="F19" s="424">
        <f t="shared" si="0"/>
        <v>21798.120000000003</v>
      </c>
      <c r="G19" s="501">
        <v>10289</v>
      </c>
      <c r="H19" s="476">
        <f t="shared" si="1"/>
        <v>1.6797852075031587</v>
      </c>
      <c r="I19" s="476">
        <f t="shared" si="2"/>
        <v>0.4387996889882399</v>
      </c>
      <c r="J19" s="491"/>
      <c r="K19" s="476">
        <f t="shared" si="3"/>
        <v>1.6797852075031587</v>
      </c>
    </row>
    <row r="20" spans="2:13">
      <c r="B20" s="475" t="s">
        <v>2532</v>
      </c>
      <c r="C20" s="2"/>
      <c r="D20" s="424">
        <v>28219</v>
      </c>
      <c r="E20" s="424">
        <v>13743.8</v>
      </c>
      <c r="F20" s="424">
        <f t="shared" si="0"/>
        <v>41962.8</v>
      </c>
      <c r="G20" s="501">
        <v>26346</v>
      </c>
      <c r="H20" s="476">
        <f t="shared" si="1"/>
        <v>1.0710923859409398</v>
      </c>
      <c r="I20" s="476">
        <f t="shared" si="2"/>
        <v>0.52166552797388599</v>
      </c>
      <c r="J20" s="491"/>
      <c r="K20" s="476">
        <f t="shared" si="3"/>
        <v>1.0710923859409398</v>
      </c>
    </row>
    <row r="21" spans="2:13" ht="17" thickBot="1">
      <c r="B21" s="477" t="s">
        <v>2272</v>
      </c>
      <c r="C21" s="105"/>
      <c r="D21" s="841">
        <f>SUM(D9:D20)</f>
        <v>338706.49000000005</v>
      </c>
      <c r="E21" s="841">
        <f t="shared" ref="E21:F21" si="4">SUM(E9:E20)</f>
        <v>108930.76000000001</v>
      </c>
      <c r="F21" s="841">
        <f t="shared" si="4"/>
        <v>447637.25</v>
      </c>
      <c r="G21" s="844">
        <f>SUM(G9:G20)</f>
        <v>260755</v>
      </c>
      <c r="H21" s="843">
        <f>D21/G21</f>
        <v>1.2989453318248934</v>
      </c>
      <c r="I21" s="843">
        <f>E21/G21</f>
        <v>0.4177513758125444</v>
      </c>
      <c r="J21" s="845"/>
      <c r="K21" s="843">
        <f>+F21/G21</f>
        <v>1.7166967076374375</v>
      </c>
    </row>
    <row r="22" spans="2:13" ht="17" thickTop="1">
      <c r="B22" s="478"/>
      <c r="C22" s="105"/>
      <c r="D22" s="112"/>
      <c r="E22" s="113"/>
      <c r="F22" s="113"/>
      <c r="G22" s="113"/>
      <c r="H22" s="113"/>
      <c r="I22" s="114"/>
      <c r="J22" s="114"/>
      <c r="K22" s="114"/>
    </row>
    <row r="23" spans="2:13">
      <c r="B23" s="478"/>
      <c r="C23" s="98"/>
      <c r="D23" s="469" t="str">
        <f>D7</f>
        <v>Con Ed #42-2039-0422-3701-4 new #71914-82000-7</v>
      </c>
      <c r="E23" s="470"/>
      <c r="F23" s="470"/>
      <c r="G23" s="470"/>
      <c r="H23" s="470"/>
      <c r="I23" s="479"/>
      <c r="J23" s="479"/>
      <c r="K23" s="479"/>
    </row>
    <row r="24" spans="2:13" ht="27">
      <c r="B24" s="669">
        <f>B8+1</f>
        <v>2025</v>
      </c>
      <c r="C24" s="107"/>
      <c r="D24" s="471" t="str">
        <f>+D8</f>
        <v xml:space="preserve">Con Ed </v>
      </c>
      <c r="E24" s="472" t="str">
        <f>E8</f>
        <v>Esco</v>
      </c>
      <c r="F24" s="499" t="s">
        <v>2272</v>
      </c>
      <c r="G24" s="500" t="s">
        <v>2584</v>
      </c>
      <c r="H24" s="472" t="s">
        <v>2585</v>
      </c>
      <c r="I24" s="472" t="str">
        <f>I8</f>
        <v>Esco Therms</v>
      </c>
      <c r="J24" s="472"/>
      <c r="K24" s="471" t="s">
        <v>2587</v>
      </c>
    </row>
    <row r="25" spans="2:13">
      <c r="B25" s="23" t="s">
        <v>2522</v>
      </c>
      <c r="C25" s="23"/>
      <c r="D25" s="426">
        <v>38991.589999999997</v>
      </c>
      <c r="E25" s="426">
        <v>18405.13</v>
      </c>
      <c r="F25" s="426">
        <f>D25+E25</f>
        <v>57396.72</v>
      </c>
      <c r="G25" s="501">
        <v>32561</v>
      </c>
      <c r="H25" s="474">
        <f>+D25/G25</f>
        <v>1.1974936273455974</v>
      </c>
      <c r="I25" s="474">
        <f>E25/G25</f>
        <v>0.56525076011179021</v>
      </c>
      <c r="J25" s="491"/>
      <c r="K25" s="474">
        <f>+H25+I25</f>
        <v>1.7627443874573876</v>
      </c>
    </row>
    <row r="26" spans="2:13">
      <c r="B26" s="475" t="s">
        <v>2523</v>
      </c>
      <c r="C26" s="2"/>
      <c r="D26" s="424">
        <v>34773.339999999997</v>
      </c>
      <c r="E26" s="424">
        <v>15898.09</v>
      </c>
      <c r="F26" s="424">
        <f t="shared" ref="F26:F36" si="5">D26+E26</f>
        <v>50671.429999999993</v>
      </c>
      <c r="G26" s="501">
        <v>27628</v>
      </c>
      <c r="H26" s="476">
        <f>D26/G26</f>
        <v>1.2586267554654698</v>
      </c>
      <c r="I26" s="476">
        <f>E26/G26</f>
        <v>0.57543398002026924</v>
      </c>
      <c r="J26" s="491"/>
      <c r="K26" s="476">
        <f>SUM(H26:I26)</f>
        <v>1.834060735485739</v>
      </c>
    </row>
    <row r="27" spans="2:13">
      <c r="B27" s="475" t="s">
        <v>2524</v>
      </c>
      <c r="C27" s="2"/>
      <c r="D27" s="424">
        <v>28840.02</v>
      </c>
      <c r="E27" s="424">
        <v>11090.18</v>
      </c>
      <c r="F27" s="424">
        <f t="shared" si="5"/>
        <v>39930.199999999997</v>
      </c>
      <c r="G27" s="501">
        <v>17984</v>
      </c>
      <c r="H27" s="476">
        <f t="shared" ref="H27:H30" si="6">D27/G27</f>
        <v>1.6036487989323844</v>
      </c>
      <c r="I27" s="476">
        <f t="shared" ref="I27:I30" si="7">E27/G27</f>
        <v>0.61666926156583635</v>
      </c>
      <c r="J27" s="491"/>
      <c r="K27" s="476">
        <f>SUM(H27:I27)</f>
        <v>2.2203180604982209</v>
      </c>
    </row>
    <row r="28" spans="2:13">
      <c r="B28" s="475" t="s">
        <v>2525</v>
      </c>
      <c r="C28" s="2"/>
      <c r="D28" s="424">
        <v>19843.78</v>
      </c>
      <c r="E28" s="424">
        <v>8857.14</v>
      </c>
      <c r="F28" s="424">
        <f t="shared" si="5"/>
        <v>28700.92</v>
      </c>
      <c r="G28" s="501">
        <v>14132</v>
      </c>
      <c r="H28" s="476">
        <f t="shared" si="6"/>
        <v>1.4041735069346164</v>
      </c>
      <c r="I28" s="476">
        <f t="shared" si="7"/>
        <v>0.62674356071327475</v>
      </c>
      <c r="J28" s="491"/>
      <c r="K28" s="476">
        <f t="shared" ref="K28:K31" si="8">SUM(H28:I28)</f>
        <v>2.0309170676478914</v>
      </c>
    </row>
    <row r="29" spans="2:13">
      <c r="B29" s="475" t="s">
        <v>2278</v>
      </c>
      <c r="C29" s="2"/>
      <c r="D29" s="424">
        <v>23441.35</v>
      </c>
      <c r="E29" s="424">
        <v>7893.65</v>
      </c>
      <c r="F29" s="424">
        <f t="shared" si="5"/>
        <v>31335</v>
      </c>
      <c r="G29" s="501">
        <v>14496</v>
      </c>
      <c r="H29" s="476">
        <f t="shared" si="6"/>
        <v>1.6170909216335541</v>
      </c>
      <c r="I29" s="476">
        <f t="shared" si="7"/>
        <v>0.54453987306843266</v>
      </c>
      <c r="J29" s="491"/>
      <c r="K29" s="476">
        <f t="shared" si="8"/>
        <v>2.1616307947019866</v>
      </c>
    </row>
    <row r="30" spans="2:13">
      <c r="B30" s="475" t="s">
        <v>2526</v>
      </c>
      <c r="C30" s="2"/>
      <c r="D30" s="424">
        <v>32280.14</v>
      </c>
      <c r="E30" s="424">
        <v>13333.76</v>
      </c>
      <c r="F30" s="424">
        <f t="shared" si="5"/>
        <v>45613.9</v>
      </c>
      <c r="G30" s="501">
        <v>24950</v>
      </c>
      <c r="H30" s="476">
        <f t="shared" si="6"/>
        <v>1.2937931863727454</v>
      </c>
      <c r="I30" s="476">
        <f t="shared" si="7"/>
        <v>0.53441923847695394</v>
      </c>
      <c r="J30" s="491"/>
      <c r="K30" s="476">
        <f t="shared" si="8"/>
        <v>1.8282124248496994</v>
      </c>
      <c r="L30" s="343" t="s">
        <v>2598</v>
      </c>
    </row>
    <row r="31" spans="2:13">
      <c r="B31" s="475" t="s">
        <v>2527</v>
      </c>
      <c r="C31" s="481"/>
      <c r="D31" s="424">
        <v>51449.45</v>
      </c>
      <c r="E31" s="424">
        <v>20915</v>
      </c>
      <c r="F31" s="424">
        <f t="shared" si="5"/>
        <v>72364.45</v>
      </c>
      <c r="G31" s="501">
        <v>40465</v>
      </c>
      <c r="H31" s="476">
        <f>+AVERAGE(H25:H30)</f>
        <v>1.3958044661140612</v>
      </c>
      <c r="I31" s="476">
        <f t="shared" ref="I31" si="9">+AVERAGE(I26:I30)</f>
        <v>0.57956118276895341</v>
      </c>
      <c r="J31" s="491"/>
      <c r="K31" s="476">
        <f t="shared" si="8"/>
        <v>1.9753656488830145</v>
      </c>
    </row>
    <row r="32" spans="2:13">
      <c r="B32" s="475" t="s">
        <v>2528</v>
      </c>
      <c r="C32" s="481" t="s">
        <v>2309</v>
      </c>
      <c r="D32" s="424">
        <f>+G32*H32</f>
        <v>43162.890281959852</v>
      </c>
      <c r="E32" s="424">
        <f t="shared" ref="E32:E36" si="10">+G32*I32</f>
        <v>16402.944</v>
      </c>
      <c r="F32" s="424">
        <f t="shared" si="5"/>
        <v>59565.834281959847</v>
      </c>
      <c r="G32" s="501">
        <f t="shared" ref="G32:G34" si="11">(G16+G88)/2</f>
        <v>30208</v>
      </c>
      <c r="H32" s="476">
        <f t="shared" ref="H32:H36" si="12">+AVERAGE(H26:H31)</f>
        <v>1.4288562725754719</v>
      </c>
      <c r="I32" s="476">
        <v>0.54300000000000004</v>
      </c>
      <c r="J32" s="491"/>
      <c r="K32" s="476">
        <f>SUM(H32:I32)</f>
        <v>1.9718562725754718</v>
      </c>
    </row>
    <row r="33" spans="2:14">
      <c r="B33" s="475" t="s">
        <v>2529</v>
      </c>
      <c r="C33" s="481" t="s">
        <v>2309</v>
      </c>
      <c r="D33" s="424">
        <f t="shared" ref="D33:D36" si="13">+G33*H33</f>
        <v>42894.959250473257</v>
      </c>
      <c r="E33" s="424">
        <f t="shared" si="10"/>
        <v>15983.748000000001</v>
      </c>
      <c r="F33" s="424">
        <f t="shared" si="5"/>
        <v>58878.707250473257</v>
      </c>
      <c r="G33" s="501">
        <f t="shared" si="11"/>
        <v>29436</v>
      </c>
      <c r="H33" s="476">
        <f t="shared" si="12"/>
        <v>1.4572278587604721</v>
      </c>
      <c r="I33" s="476">
        <v>0.54300000000000004</v>
      </c>
      <c r="J33" s="491"/>
      <c r="K33" s="476">
        <f>SUM(H33:I33)</f>
        <v>2.0002278587604723</v>
      </c>
    </row>
    <row r="34" spans="2:14">
      <c r="B34" s="475" t="s">
        <v>2530</v>
      </c>
      <c r="C34" s="481" t="s">
        <v>2309</v>
      </c>
      <c r="D34" s="424">
        <f t="shared" si="13"/>
        <v>20877.683876791354</v>
      </c>
      <c r="E34" s="424">
        <f t="shared" si="10"/>
        <v>7912.0530000000008</v>
      </c>
      <c r="F34" s="424">
        <f t="shared" si="5"/>
        <v>28789.736876791354</v>
      </c>
      <c r="G34" s="501">
        <f t="shared" si="11"/>
        <v>14571</v>
      </c>
      <c r="H34" s="476">
        <f t="shared" si="12"/>
        <v>1.4328243687318203</v>
      </c>
      <c r="I34" s="476">
        <v>0.54300000000000004</v>
      </c>
      <c r="J34" s="491"/>
      <c r="K34" s="476">
        <f>SUM(K25:K33)/9</f>
        <v>1.9761481389844318</v>
      </c>
    </row>
    <row r="35" spans="2:14">
      <c r="B35" s="475" t="s">
        <v>2531</v>
      </c>
      <c r="C35" s="481" t="s">
        <v>2309</v>
      </c>
      <c r="D35" s="424">
        <f t="shared" si="13"/>
        <v>17605.562428174144</v>
      </c>
      <c r="E35" s="424">
        <f t="shared" si="10"/>
        <v>6649.8495000000003</v>
      </c>
      <c r="F35" s="424">
        <f t="shared" si="5"/>
        <v>24255.411928174144</v>
      </c>
      <c r="G35" s="501">
        <f>(G19+G91)/2</f>
        <v>12246.5</v>
      </c>
      <c r="H35" s="476">
        <f t="shared" si="12"/>
        <v>1.4375995123646874</v>
      </c>
      <c r="I35" s="476">
        <v>0.54300000000000004</v>
      </c>
      <c r="J35" s="491"/>
      <c r="K35" s="476">
        <f>K34</f>
        <v>1.9761481389844318</v>
      </c>
    </row>
    <row r="36" spans="2:14">
      <c r="B36" s="475" t="s">
        <v>2532</v>
      </c>
      <c r="C36" s="481" t="s">
        <v>2309</v>
      </c>
      <c r="D36" s="424">
        <f t="shared" si="13"/>
        <v>44263.928263425601</v>
      </c>
      <c r="E36" s="424">
        <f t="shared" si="10"/>
        <v>17074.363499999999</v>
      </c>
      <c r="F36" s="424">
        <f t="shared" si="5"/>
        <v>61338.291763425601</v>
      </c>
      <c r="G36" s="501">
        <f>(G20+G92)/2</f>
        <v>31444.5</v>
      </c>
      <c r="H36" s="476">
        <f t="shared" si="12"/>
        <v>1.407684277486543</v>
      </c>
      <c r="I36" s="476">
        <v>0.54300000000000004</v>
      </c>
      <c r="J36" s="491"/>
      <c r="K36" s="476">
        <f>+K35</f>
        <v>1.9761481389844318</v>
      </c>
    </row>
    <row r="37" spans="2:14" ht="17" thickBot="1">
      <c r="B37" s="477" t="s">
        <v>2272</v>
      </c>
      <c r="C37" s="105"/>
      <c r="D37" s="841">
        <f>SUM(D25:D36)</f>
        <v>398424.69410082413</v>
      </c>
      <c r="E37" s="841">
        <f t="shared" ref="E37:F37" si="14">SUM(E25:E36)</f>
        <v>160415.90800000002</v>
      </c>
      <c r="F37" s="841">
        <f t="shared" si="14"/>
        <v>558840.60210082412</v>
      </c>
      <c r="G37" s="844">
        <f>SUM(G25:G36)</f>
        <v>290122</v>
      </c>
      <c r="H37" s="843">
        <f>D37/G37</f>
        <v>1.3733005221969521</v>
      </c>
      <c r="I37" s="843">
        <f>E37/G37</f>
        <v>0.55292569332901342</v>
      </c>
      <c r="J37" s="845"/>
      <c r="K37" s="843">
        <f>+F37/G37</f>
        <v>1.9262262155259653</v>
      </c>
    </row>
    <row r="38" spans="2:14" ht="17" thickTop="1">
      <c r="B38" s="478"/>
      <c r="C38" s="105"/>
      <c r="D38" s="112"/>
      <c r="E38" s="113"/>
      <c r="F38" s="113"/>
      <c r="G38" s="113"/>
      <c r="H38" s="113"/>
      <c r="I38" s="114"/>
      <c r="J38" s="114"/>
      <c r="K38" s="114"/>
    </row>
    <row r="39" spans="2:14">
      <c r="B39" s="482" t="s">
        <v>2421</v>
      </c>
      <c r="C39" s="98"/>
      <c r="D39" s="469" t="str">
        <f>D23</f>
        <v>Con Ed #42-2039-0422-3701-4 new #71914-82000-7</v>
      </c>
      <c r="E39" s="470"/>
      <c r="F39" s="470"/>
      <c r="G39" s="470"/>
      <c r="H39" s="470"/>
      <c r="I39" s="479"/>
      <c r="J39" s="479"/>
      <c r="K39" s="479"/>
    </row>
    <row r="40" spans="2:14" ht="27">
      <c r="B40" s="669">
        <f>B24+1</f>
        <v>2026</v>
      </c>
      <c r="C40" s="107"/>
      <c r="D40" s="471" t="str">
        <f>D8</f>
        <v xml:space="preserve">Con Ed </v>
      </c>
      <c r="E40" s="472" t="str">
        <f>E24</f>
        <v>Esco</v>
      </c>
      <c r="F40" s="499" t="s">
        <v>2272</v>
      </c>
      <c r="G40" s="500" t="s">
        <v>2584</v>
      </c>
      <c r="H40" s="472" t="s">
        <v>2585</v>
      </c>
      <c r="I40" s="472" t="str">
        <f>I24</f>
        <v>Esco Therms</v>
      </c>
      <c r="J40" s="472"/>
      <c r="K40" s="471" t="s">
        <v>2587</v>
      </c>
    </row>
    <row r="41" spans="2:14">
      <c r="B41" s="23" t="s">
        <v>2522</v>
      </c>
      <c r="C41" s="23"/>
      <c r="D41" s="426">
        <v>38942</v>
      </c>
      <c r="E41" s="426">
        <f>+G41*I41</f>
        <v>18817.383300000001</v>
      </c>
      <c r="F41" s="426">
        <f>+D41+E41</f>
        <v>57759.383300000001</v>
      </c>
      <c r="G41" s="501">
        <f>(G9+G25)/2</f>
        <v>31268.5</v>
      </c>
      <c r="H41" s="474">
        <f>+H25*$I$57+H25</f>
        <v>1.3651427351739811</v>
      </c>
      <c r="I41" s="474">
        <f>I62</f>
        <v>0.6018</v>
      </c>
      <c r="J41" s="491"/>
      <c r="K41" s="474">
        <f>H41+I41</f>
        <v>1.9669427351739812</v>
      </c>
      <c r="N41" s="297" t="s">
        <v>2599</v>
      </c>
    </row>
    <row r="42" spans="2:14">
      <c r="B42" s="475" t="s">
        <v>2523</v>
      </c>
      <c r="C42" s="2"/>
      <c r="D42" s="424">
        <v>41112</v>
      </c>
      <c r="E42" s="424">
        <f>+G42*I42</f>
        <v>16899.4467</v>
      </c>
      <c r="F42" s="424">
        <f>+D42+E42</f>
        <v>58011.4467</v>
      </c>
      <c r="G42" s="501">
        <f>(G10+G26)/2</f>
        <v>28081.5</v>
      </c>
      <c r="H42" s="476">
        <f>+H26*$I$57+H26</f>
        <v>1.4348345012306356</v>
      </c>
      <c r="I42" s="476">
        <f>I62</f>
        <v>0.6018</v>
      </c>
      <c r="J42" s="502"/>
      <c r="K42" s="502">
        <f>H42+I42</f>
        <v>2.0366345012306355</v>
      </c>
      <c r="M42" s="297" t="s">
        <v>2600</v>
      </c>
    </row>
    <row r="43" spans="2:14">
      <c r="B43" s="475" t="s">
        <v>2524</v>
      </c>
      <c r="C43" s="2"/>
      <c r="D43" s="424">
        <f t="shared" ref="D43:D51" si="15">+G43*H43</f>
        <v>36514.746385442617</v>
      </c>
      <c r="E43" s="424">
        <f>+G43*I43</f>
        <v>12020.052299999999</v>
      </c>
      <c r="F43" s="424">
        <f t="shared" ref="F43:F52" si="16">+D43+E43</f>
        <v>48534.798685442613</v>
      </c>
      <c r="G43" s="501">
        <f t="shared" ref="G43:G52" si="17">(G11+G27)/2</f>
        <v>19973.5</v>
      </c>
      <c r="H43" s="476">
        <f t="shared" ref="H43:H52" si="18">+H27*$I$57+H27</f>
        <v>1.8281596307829182</v>
      </c>
      <c r="I43" s="476">
        <f>I62</f>
        <v>0.6018</v>
      </c>
      <c r="J43" s="502"/>
      <c r="K43" s="502">
        <f t="shared" ref="K43:K52" si="19">H43+I43</f>
        <v>2.4299596307829181</v>
      </c>
    </row>
    <row r="44" spans="2:14">
      <c r="B44" s="475" t="s">
        <v>2525</v>
      </c>
      <c r="C44" s="2"/>
      <c r="D44" s="424">
        <v>19356</v>
      </c>
      <c r="E44" s="424">
        <f t="shared" ref="E44:E52" si="20">+G44*I44</f>
        <v>9546.6543000000001</v>
      </c>
      <c r="F44" s="424">
        <f t="shared" si="16"/>
        <v>28902.654300000002</v>
      </c>
      <c r="G44" s="501">
        <f t="shared" si="17"/>
        <v>15863.5</v>
      </c>
      <c r="H44" s="476">
        <f t="shared" si="18"/>
        <v>1.6007577979054628</v>
      </c>
      <c r="I44" s="476">
        <f>I62</f>
        <v>0.6018</v>
      </c>
      <c r="J44" s="502"/>
      <c r="K44" s="502">
        <f t="shared" si="19"/>
        <v>2.2025577979054627</v>
      </c>
      <c r="N44" s="505"/>
    </row>
    <row r="45" spans="2:14">
      <c r="B45" s="475" t="s">
        <v>2278</v>
      </c>
      <c r="C45" s="2"/>
      <c r="D45" s="424">
        <f t="shared" si="15"/>
        <v>20990.826588265729</v>
      </c>
      <c r="E45" s="424">
        <f t="shared" si="20"/>
        <v>6852.3957</v>
      </c>
      <c r="F45" s="424">
        <f t="shared" si="16"/>
        <v>27843.22228826573</v>
      </c>
      <c r="G45" s="501">
        <f t="shared" si="17"/>
        <v>11386.5</v>
      </c>
      <c r="H45" s="476">
        <f t="shared" si="18"/>
        <v>1.8434836506622516</v>
      </c>
      <c r="I45" s="476">
        <f>I62</f>
        <v>0.6018</v>
      </c>
      <c r="J45" s="502"/>
      <c r="K45" s="502">
        <f t="shared" si="19"/>
        <v>2.4452836506622515</v>
      </c>
    </row>
    <row r="46" spans="2:14">
      <c r="B46" s="475" t="s">
        <v>2526</v>
      </c>
      <c r="C46" s="2"/>
      <c r="D46" s="424">
        <v>24840</v>
      </c>
      <c r="E46" s="424">
        <f t="shared" si="20"/>
        <v>12106.410599999999</v>
      </c>
      <c r="F46" s="424">
        <f t="shared" si="16"/>
        <v>36946.410600000003</v>
      </c>
      <c r="G46" s="501">
        <f t="shared" si="17"/>
        <v>20117</v>
      </c>
      <c r="H46" s="476">
        <f t="shared" si="18"/>
        <v>1.4749242324649299</v>
      </c>
      <c r="I46" s="476">
        <f>I62</f>
        <v>0.6018</v>
      </c>
      <c r="J46" s="502"/>
      <c r="K46" s="502">
        <f t="shared" si="19"/>
        <v>2.07672423246493</v>
      </c>
      <c r="M46" s="3" t="s">
        <v>2601</v>
      </c>
    </row>
    <row r="47" spans="2:14">
      <c r="B47" s="475" t="s">
        <v>2527</v>
      </c>
      <c r="C47" s="2"/>
      <c r="D47" s="424">
        <v>33213</v>
      </c>
      <c r="E47" s="424">
        <f>+G47*I47-1000</f>
        <v>20879.943500000001</v>
      </c>
      <c r="F47" s="424">
        <f t="shared" si="16"/>
        <v>54092.943500000001</v>
      </c>
      <c r="G47" s="501">
        <f>(G15+G31)/2</f>
        <v>36357.5</v>
      </c>
      <c r="H47" s="476">
        <f t="shared" si="18"/>
        <v>1.5912170913700296</v>
      </c>
      <c r="I47" s="476">
        <f>I62</f>
        <v>0.6018</v>
      </c>
      <c r="J47" s="502"/>
      <c r="K47" s="502">
        <f t="shared" si="19"/>
        <v>2.1930170913700295</v>
      </c>
    </row>
    <row r="48" spans="2:14">
      <c r="B48" s="475" t="s">
        <v>2528</v>
      </c>
      <c r="C48" s="2"/>
      <c r="D48" s="424">
        <f>+G48*H48-5000</f>
        <v>43340.7510653934</v>
      </c>
      <c r="E48" s="424">
        <f>+G48*I48-1000</f>
        <v>16859.618600000002</v>
      </c>
      <c r="F48" s="424">
        <f t="shared" si="16"/>
        <v>60200.369665393402</v>
      </c>
      <c r="G48" s="501">
        <f t="shared" si="17"/>
        <v>29677</v>
      </c>
      <c r="H48" s="476">
        <f t="shared" si="18"/>
        <v>1.628896150736038</v>
      </c>
      <c r="I48" s="476">
        <f>I62</f>
        <v>0.6018</v>
      </c>
      <c r="J48" s="502"/>
      <c r="K48" s="502">
        <f t="shared" si="19"/>
        <v>2.2306961507360379</v>
      </c>
    </row>
    <row r="49" spans="2:14">
      <c r="B49" s="475" t="s">
        <v>2529</v>
      </c>
      <c r="C49" s="2"/>
      <c r="D49" s="424">
        <f t="shared" si="15"/>
        <v>46347.758655856087</v>
      </c>
      <c r="E49" s="424">
        <f t="shared" si="20"/>
        <v>16789.919099999999</v>
      </c>
      <c r="F49" s="424">
        <f t="shared" si="16"/>
        <v>63137.677755856086</v>
      </c>
      <c r="G49" s="501">
        <f t="shared" si="17"/>
        <v>27899.5</v>
      </c>
      <c r="H49" s="476">
        <f>+H33*$I$57+H33</f>
        <v>1.6612397589869383</v>
      </c>
      <c r="I49" s="476">
        <f>I62</f>
        <v>0.6018</v>
      </c>
      <c r="J49" s="502"/>
      <c r="K49" s="502">
        <f t="shared" si="19"/>
        <v>2.2630397589869382</v>
      </c>
    </row>
    <row r="50" spans="2:14">
      <c r="B50" s="475" t="s">
        <v>2530</v>
      </c>
      <c r="C50" s="2"/>
      <c r="D50" s="424">
        <f t="shared" si="15"/>
        <v>23931.233201970485</v>
      </c>
      <c r="E50" s="424">
        <f t="shared" si="20"/>
        <v>8816.9717999999993</v>
      </c>
      <c r="F50" s="424">
        <f t="shared" si="16"/>
        <v>32748.205001970484</v>
      </c>
      <c r="G50" s="501">
        <f t="shared" si="17"/>
        <v>14651</v>
      </c>
      <c r="H50" s="476">
        <f t="shared" si="18"/>
        <v>1.6334197803542752</v>
      </c>
      <c r="I50" s="476">
        <f>I62</f>
        <v>0.6018</v>
      </c>
      <c r="J50" s="502"/>
      <c r="K50" s="502">
        <f t="shared" si="19"/>
        <v>2.2352197803542753</v>
      </c>
    </row>
    <row r="51" spans="2:14">
      <c r="B51" s="475" t="s">
        <v>2531</v>
      </c>
      <c r="C51" s="2"/>
      <c r="D51" s="424">
        <f t="shared" si="15"/>
        <v>18466.303572209818</v>
      </c>
      <c r="E51" s="424">
        <f t="shared" si="20"/>
        <v>6780.9319500000001</v>
      </c>
      <c r="F51" s="424">
        <f t="shared" si="16"/>
        <v>25247.235522209819</v>
      </c>
      <c r="G51" s="501">
        <f t="shared" si="17"/>
        <v>11267.75</v>
      </c>
      <c r="H51" s="476">
        <f t="shared" si="18"/>
        <v>1.6388634440957437</v>
      </c>
      <c r="I51" s="476">
        <f>I62</f>
        <v>0.6018</v>
      </c>
      <c r="J51" s="502"/>
      <c r="K51" s="502">
        <f t="shared" si="19"/>
        <v>2.2406634440957438</v>
      </c>
    </row>
    <row r="52" spans="2:14">
      <c r="B52" s="475" t="s">
        <v>2532</v>
      </c>
      <c r="C52" s="2"/>
      <c r="D52" s="424">
        <v>44642</v>
      </c>
      <c r="E52" s="424">
        <f t="shared" si="20"/>
        <v>17389.16145</v>
      </c>
      <c r="F52" s="424">
        <f t="shared" si="16"/>
        <v>62031.16145</v>
      </c>
      <c r="G52" s="501">
        <f t="shared" si="17"/>
        <v>28895.25</v>
      </c>
      <c r="H52" s="476">
        <f t="shared" si="18"/>
        <v>1.604760076334659</v>
      </c>
      <c r="I52" s="476">
        <f>I62</f>
        <v>0.6018</v>
      </c>
      <c r="J52" s="502"/>
      <c r="K52" s="502">
        <f t="shared" si="19"/>
        <v>2.2065600763346591</v>
      </c>
    </row>
    <row r="53" spans="2:14" ht="17" thickBot="1">
      <c r="B53" s="477" t="s">
        <v>2272</v>
      </c>
      <c r="C53" s="105"/>
      <c r="D53" s="841">
        <f>SUM(D41:D52)</f>
        <v>391696.6194691381</v>
      </c>
      <c r="E53" s="841">
        <f>SUM(E41:E52)</f>
        <v>163758.88930000004</v>
      </c>
      <c r="F53" s="841">
        <f>SUM(F41:F52)</f>
        <v>555455.50876913813</v>
      </c>
      <c r="G53" s="844">
        <f>SUM(G41:G52)</f>
        <v>275438.5</v>
      </c>
      <c r="H53" s="843">
        <f>D53/G53</f>
        <v>1.4220837663185724</v>
      </c>
      <c r="I53" s="843">
        <f>E53/G53</f>
        <v>0.59453885095947023</v>
      </c>
      <c r="J53" s="845"/>
      <c r="K53" s="843">
        <f>+F53/G53</f>
        <v>2.0166226172780424</v>
      </c>
    </row>
    <row r="54" spans="2:14" ht="17" thickTop="1">
      <c r="B54" s="105"/>
      <c r="C54" s="105"/>
      <c r="D54" s="112"/>
      <c r="E54" s="113"/>
      <c r="F54" s="113"/>
      <c r="G54" s="113"/>
      <c r="H54" s="113"/>
      <c r="I54" s="114"/>
      <c r="J54" s="114"/>
      <c r="K54" s="114"/>
    </row>
    <row r="55" spans="2:14">
      <c r="B55" s="126" t="str">
        <f>Electric!B55</f>
        <v>2026 Budget Assumptions:</v>
      </c>
      <c r="E55" s="98"/>
      <c r="F55" s="98"/>
      <c r="G55" s="98"/>
      <c r="H55" s="98"/>
      <c r="I55" s="98"/>
      <c r="J55" s="98"/>
      <c r="K55" s="98"/>
    </row>
    <row r="56" spans="2:14">
      <c r="B56" s="107" t="str">
        <f>'Gas Cooking'!B56</f>
        <v>2026 Budget Gas Usage: Prio two year average consumption</v>
      </c>
      <c r="D56" s="98"/>
      <c r="E56" s="98"/>
      <c r="F56" s="98"/>
      <c r="G56" s="98"/>
      <c r="H56" s="127"/>
      <c r="J56" s="127"/>
    </row>
    <row r="57" spans="2:14">
      <c r="B57" s="107" t="str">
        <f>'Gas Cooking'!B57</f>
        <v>2026 Con Ed Budget Price relects an increase over prior year costs @</v>
      </c>
      <c r="D57" s="98"/>
      <c r="E57" s="98"/>
      <c r="F57" s="98"/>
      <c r="G57" s="98"/>
      <c r="H57" s="127"/>
      <c r="I57" s="895">
        <v>0.14000000000000001</v>
      </c>
      <c r="J57" s="127"/>
    </row>
    <row r="58" spans="2:14">
      <c r="B58" s="107"/>
      <c r="D58" s="98"/>
      <c r="E58" s="98"/>
      <c r="F58" s="98"/>
      <c r="G58" s="98"/>
      <c r="H58" s="98"/>
      <c r="I58" s="503"/>
      <c r="N58" s="297" t="s">
        <v>2602</v>
      </c>
    </row>
    <row r="59" spans="2:14">
      <c r="B59" s="466" t="str">
        <f>'Gas Cooking'!B59</f>
        <v>2025 August - December Gas Usage: Prior Period Two Year Average</v>
      </c>
      <c r="J59" s="484"/>
      <c r="K59" s="484"/>
    </row>
    <row r="60" spans="2:14">
      <c r="B60" s="466" t="str">
        <f>'Gas Cooking'!B60</f>
        <v>2025 August - December Gas Price is at 2025 YTD Average $/Therm</v>
      </c>
      <c r="J60" s="484"/>
      <c r="K60" s="484"/>
    </row>
    <row r="61" spans="2:14">
      <c r="B61" s="466"/>
      <c r="D61" s="484"/>
      <c r="E61" s="484"/>
      <c r="F61" s="484"/>
      <c r="G61" s="484"/>
      <c r="H61" s="484"/>
      <c r="I61" s="503"/>
      <c r="J61" s="484"/>
    </row>
    <row r="62" spans="2:14">
      <c r="B62" s="466" t="s">
        <v>3177</v>
      </c>
      <c r="D62" s="116"/>
      <c r="E62" s="112"/>
      <c r="F62" s="112"/>
      <c r="I62" s="896">
        <v>0.6018</v>
      </c>
      <c r="J62" s="484"/>
    </row>
    <row r="63" spans="2:14">
      <c r="B63" s="466"/>
      <c r="D63" s="484"/>
      <c r="E63" s="484"/>
      <c r="F63" s="484"/>
      <c r="G63" s="484"/>
      <c r="H63" s="484"/>
      <c r="I63" s="484"/>
      <c r="J63" s="484"/>
      <c r="K63" s="506"/>
    </row>
    <row r="64" spans="2:14">
      <c r="B64" s="107"/>
      <c r="D64" s="484"/>
      <c r="E64" s="484"/>
      <c r="F64" s="484"/>
      <c r="G64" s="484"/>
      <c r="H64" s="484"/>
      <c r="I64" s="484"/>
      <c r="J64" s="484"/>
      <c r="K64" s="484"/>
    </row>
    <row r="65" spans="2:12">
      <c r="B65" s="107"/>
      <c r="D65" s="484"/>
      <c r="E65" s="484"/>
      <c r="F65" s="484"/>
      <c r="G65" s="484"/>
      <c r="H65" s="484"/>
      <c r="I65" s="484"/>
      <c r="J65" s="484"/>
    </row>
    <row r="70" spans="2:12">
      <c r="C70" s="466"/>
      <c r="D70" s="484"/>
      <c r="E70" s="484"/>
      <c r="F70" s="484"/>
      <c r="G70" s="484"/>
      <c r="H70" s="484"/>
      <c r="I70" s="484"/>
      <c r="J70" s="484"/>
      <c r="K70" s="484"/>
      <c r="L70" s="506"/>
    </row>
    <row r="71" spans="2:12">
      <c r="C71" s="484"/>
      <c r="D71" s="484"/>
      <c r="E71" s="485"/>
      <c r="F71" s="1009" t="s">
        <v>2603</v>
      </c>
      <c r="G71" s="1009"/>
      <c r="H71" s="1009"/>
      <c r="I71" s="484"/>
      <c r="J71" s="484"/>
      <c r="K71" s="484"/>
    </row>
    <row r="72" spans="2:12">
      <c r="C72" s="484"/>
      <c r="D72" s="484"/>
      <c r="E72" s="484"/>
      <c r="F72" s="484"/>
      <c r="G72" s="484"/>
      <c r="H72" s="484"/>
      <c r="I72" s="484"/>
      <c r="J72" s="484"/>
      <c r="K72" s="484"/>
    </row>
    <row r="73" spans="2:12">
      <c r="C73" s="484"/>
      <c r="D73" s="484"/>
      <c r="E73" s="484"/>
      <c r="F73" s="484"/>
      <c r="G73" s="484"/>
      <c r="H73" s="484"/>
      <c r="I73" s="484"/>
      <c r="J73" s="484"/>
      <c r="K73" s="484"/>
    </row>
    <row r="74" spans="2:12">
      <c r="C74" s="484"/>
      <c r="D74" s="484"/>
      <c r="H74" s="484"/>
      <c r="I74" s="484"/>
      <c r="J74" s="484"/>
      <c r="K74" s="484"/>
    </row>
    <row r="75" spans="2:12">
      <c r="C75" s="484"/>
      <c r="D75" s="484"/>
      <c r="H75" s="484"/>
      <c r="I75" s="484"/>
      <c r="J75" s="484"/>
      <c r="K75" s="484"/>
    </row>
    <row r="76" spans="2:12">
      <c r="C76" s="484"/>
      <c r="D76" s="484"/>
      <c r="E76" s="484"/>
      <c r="F76" s="484"/>
      <c r="G76" s="484"/>
      <c r="H76" s="484"/>
      <c r="I76" s="484"/>
      <c r="J76" s="484"/>
      <c r="K76" s="484"/>
    </row>
    <row r="77" spans="2:12">
      <c r="C77" s="484"/>
      <c r="D77" s="484"/>
      <c r="E77" s="484"/>
      <c r="F77" s="484"/>
      <c r="G77" s="484"/>
      <c r="H77" s="484"/>
      <c r="I77" s="484"/>
      <c r="J77" s="484"/>
      <c r="K77" s="484"/>
    </row>
    <row r="78" spans="2:12">
      <c r="D78" s="486"/>
      <c r="G78" s="484"/>
      <c r="H78" s="484"/>
      <c r="I78" s="484"/>
    </row>
    <row r="79" spans="2:12">
      <c r="D79" s="469" t="s">
        <v>2604</v>
      </c>
      <c r="E79" s="470"/>
      <c r="F79" s="470"/>
      <c r="G79" s="470"/>
      <c r="H79" s="470"/>
      <c r="I79" s="469"/>
      <c r="J79" s="469"/>
      <c r="K79" s="469"/>
    </row>
    <row r="80" spans="2:12" ht="27">
      <c r="B80" s="669">
        <f>Electric!B70</f>
        <v>2023</v>
      </c>
      <c r="C80" s="107"/>
      <c r="D80" s="471" t="s">
        <v>2596</v>
      </c>
      <c r="E80" s="472" t="s">
        <v>2594</v>
      </c>
      <c r="F80" s="472" t="s">
        <v>2272</v>
      </c>
      <c r="G80" s="471" t="s">
        <v>2584</v>
      </c>
      <c r="H80" s="472" t="s">
        <v>2585</v>
      </c>
      <c r="I80" s="472" t="s">
        <v>2595</v>
      </c>
      <c r="J80" s="472"/>
      <c r="K80" s="471" t="s">
        <v>2587</v>
      </c>
    </row>
    <row r="81" spans="2:11">
      <c r="B81" s="23" t="s">
        <v>2522</v>
      </c>
      <c r="C81" s="23"/>
      <c r="D81" s="426">
        <v>33893.31</v>
      </c>
      <c r="E81" s="426">
        <v>18833.04</v>
      </c>
      <c r="F81" s="426">
        <v>52726.35</v>
      </c>
      <c r="G81" s="501">
        <v>24975</v>
      </c>
      <c r="H81" s="474">
        <v>1.3570894894894894</v>
      </c>
      <c r="I81" s="474">
        <v>0.75407567567567568</v>
      </c>
      <c r="J81" s="491"/>
      <c r="K81" s="474">
        <v>2.1111651651651648</v>
      </c>
    </row>
    <row r="82" spans="2:11">
      <c r="B82" s="475" t="s">
        <v>2523</v>
      </c>
      <c r="C82" s="2"/>
      <c r="D82" s="424">
        <v>36022.57</v>
      </c>
      <c r="E82" s="424">
        <v>18450.27</v>
      </c>
      <c r="F82" s="424">
        <v>54472.84</v>
      </c>
      <c r="G82" s="501">
        <v>27349</v>
      </c>
      <c r="H82" s="476">
        <v>1.3171439540751033</v>
      </c>
      <c r="I82" s="476">
        <v>0.67462320377344698</v>
      </c>
      <c r="J82" s="491"/>
      <c r="K82" s="476">
        <v>1.9917671578485503</v>
      </c>
    </row>
    <row r="83" spans="2:11">
      <c r="B83" s="475" t="s">
        <v>2524</v>
      </c>
      <c r="C83" s="2"/>
      <c r="D83" s="424">
        <v>25776.45</v>
      </c>
      <c r="E83" s="424">
        <v>13320.36</v>
      </c>
      <c r="F83" s="424">
        <v>39096.81</v>
      </c>
      <c r="G83" s="501">
        <v>22323</v>
      </c>
      <c r="H83" s="476">
        <v>1.1547036688617123</v>
      </c>
      <c r="I83" s="476">
        <v>0.59671011960757969</v>
      </c>
      <c r="J83" s="491"/>
      <c r="K83" s="476">
        <v>1.751413788469292</v>
      </c>
    </row>
    <row r="84" spans="2:11">
      <c r="B84" s="475" t="s">
        <v>2525</v>
      </c>
      <c r="C84" s="2"/>
      <c r="D84" s="424">
        <v>17334.05</v>
      </c>
      <c r="E84" s="424">
        <v>7281.09</v>
      </c>
      <c r="F84" s="424">
        <v>24615.14</v>
      </c>
      <c r="G84" s="501">
        <v>12817</v>
      </c>
      <c r="H84" s="476">
        <v>1.3524264648513693</v>
      </c>
      <c r="I84" s="476">
        <v>0.56808067410470475</v>
      </c>
      <c r="J84" s="491"/>
      <c r="K84" s="476">
        <v>1.9205071389560739</v>
      </c>
    </row>
    <row r="85" spans="2:11">
      <c r="B85" s="475" t="s">
        <v>2278</v>
      </c>
      <c r="C85" s="2"/>
      <c r="D85" s="424">
        <v>19133.09</v>
      </c>
      <c r="E85" s="424">
        <v>10539.2</v>
      </c>
      <c r="F85" s="424">
        <v>29672.29</v>
      </c>
      <c r="G85" s="501">
        <v>18228</v>
      </c>
      <c r="H85" s="476">
        <v>1.049653829273645</v>
      </c>
      <c r="I85" s="476">
        <v>0.5781874039938556</v>
      </c>
      <c r="J85" s="491"/>
      <c r="K85" s="476">
        <v>1.6278412332675005</v>
      </c>
    </row>
    <row r="86" spans="2:11">
      <c r="B86" s="475" t="s">
        <v>2526</v>
      </c>
      <c r="C86" s="2"/>
      <c r="D86" s="424">
        <v>24808.13</v>
      </c>
      <c r="E86" s="424">
        <v>14542.3</v>
      </c>
      <c r="F86" s="424">
        <v>39350.43</v>
      </c>
      <c r="G86" s="501">
        <v>25070</v>
      </c>
      <c r="H86" s="476">
        <v>0.98955444754686883</v>
      </c>
      <c r="I86" s="476">
        <v>0.58006781013163145</v>
      </c>
      <c r="J86" s="491"/>
      <c r="K86" s="476">
        <v>1.5696222576785002</v>
      </c>
    </row>
    <row r="87" spans="2:11">
      <c r="B87" s="475" t="s">
        <v>2527</v>
      </c>
      <c r="C87" s="2"/>
      <c r="D87" s="424">
        <v>34285.78</v>
      </c>
      <c r="E87" s="424">
        <v>16195.78</v>
      </c>
      <c r="F87" s="424">
        <v>50481.56</v>
      </c>
      <c r="G87" s="501">
        <v>34920</v>
      </c>
      <c r="H87" s="476">
        <v>0.98183791523482244</v>
      </c>
      <c r="I87" s="476">
        <v>0.46379667812142039</v>
      </c>
      <c r="J87" s="491"/>
      <c r="K87" s="476">
        <v>1.4456345933562429</v>
      </c>
    </row>
    <row r="88" spans="2:11">
      <c r="B88" s="475" t="s">
        <v>2528</v>
      </c>
      <c r="C88" s="2"/>
      <c r="D88" s="424">
        <v>34449.360000000001</v>
      </c>
      <c r="E88" s="424">
        <v>13632.86</v>
      </c>
      <c r="F88" s="424">
        <v>48082.22</v>
      </c>
      <c r="G88" s="501">
        <v>31270</v>
      </c>
      <c r="H88" s="476">
        <v>1.1016744483530541</v>
      </c>
      <c r="I88" s="476">
        <v>0.43597249760153506</v>
      </c>
      <c r="J88" s="491"/>
      <c r="K88" s="476">
        <v>1.5376469459545892</v>
      </c>
    </row>
    <row r="89" spans="2:11">
      <c r="B89" s="475" t="s">
        <v>2529</v>
      </c>
      <c r="C89" s="2"/>
      <c r="D89" s="424">
        <v>37013.56</v>
      </c>
      <c r="E89" s="424">
        <v>14281.56</v>
      </c>
      <c r="F89" s="424">
        <v>51295.12</v>
      </c>
      <c r="G89" s="501">
        <v>32509</v>
      </c>
      <c r="H89" s="476">
        <v>1.1385634747300746</v>
      </c>
      <c r="I89" s="476">
        <v>0.43931096004183456</v>
      </c>
      <c r="J89" s="491"/>
      <c r="K89" s="476">
        <v>1.5778744347719091</v>
      </c>
    </row>
    <row r="90" spans="2:11">
      <c r="B90" s="475" t="s">
        <v>2530</v>
      </c>
      <c r="C90" s="2"/>
      <c r="D90" s="424">
        <v>18089.900000000001</v>
      </c>
      <c r="E90" s="424">
        <v>6622.99</v>
      </c>
      <c r="F90" s="424">
        <v>24712.89</v>
      </c>
      <c r="G90" s="501">
        <v>14411</v>
      </c>
      <c r="H90" s="476">
        <v>1.255284157934911</v>
      </c>
      <c r="I90" s="476">
        <v>0.45957879397682322</v>
      </c>
      <c r="J90" s="491"/>
      <c r="K90" s="476">
        <v>1.7259414128297581</v>
      </c>
    </row>
    <row r="91" spans="2:11">
      <c r="B91" s="475" t="s">
        <v>2531</v>
      </c>
      <c r="C91" s="2"/>
      <c r="D91" s="424">
        <v>17534.68</v>
      </c>
      <c r="E91" s="424">
        <v>7071.85</v>
      </c>
      <c r="F91" s="424">
        <v>24606.53</v>
      </c>
      <c r="G91" s="501">
        <v>14204</v>
      </c>
      <c r="H91" s="476">
        <v>1.2344888763728528</v>
      </c>
      <c r="I91" s="476">
        <v>0.55504038170285075</v>
      </c>
      <c r="J91" s="491"/>
      <c r="K91" s="476">
        <v>1.7259414128297581</v>
      </c>
    </row>
    <row r="92" spans="2:11">
      <c r="B92" s="475" t="s">
        <v>2532</v>
      </c>
      <c r="C92" s="2"/>
      <c r="D92" s="424">
        <v>33781.61</v>
      </c>
      <c r="E92" s="424">
        <v>12459.61</v>
      </c>
      <c r="F92" s="424">
        <v>46241.22</v>
      </c>
      <c r="G92" s="501">
        <v>36543</v>
      </c>
      <c r="H92" s="476">
        <v>0.92443450181977393</v>
      </c>
      <c r="I92" s="476">
        <v>0.34095750212078924</v>
      </c>
      <c r="J92" s="491"/>
      <c r="K92" s="476">
        <v>1.2653920039405633</v>
      </c>
    </row>
    <row r="93" spans="2:11" ht="17" thickBot="1">
      <c r="B93" s="477" t="s">
        <v>2272</v>
      </c>
      <c r="C93" s="105"/>
      <c r="D93" s="841">
        <f>SUM(D81:D92)</f>
        <v>332122.49</v>
      </c>
      <c r="E93" s="841">
        <f t="shared" ref="E93:F93" si="21">SUM(E81:E92)</f>
        <v>153230.90999999997</v>
      </c>
      <c r="F93" s="841">
        <f t="shared" si="21"/>
        <v>485353.4</v>
      </c>
      <c r="G93" s="842">
        <f>SUM(G81:G92)</f>
        <v>294619</v>
      </c>
      <c r="H93" s="843">
        <f>D93/G93</f>
        <v>1.1272948791490025</v>
      </c>
      <c r="I93" s="843">
        <f>E93/G93</f>
        <v>0.52009853403887729</v>
      </c>
      <c r="J93" s="845"/>
      <c r="K93" s="843">
        <f>+F93/G93</f>
        <v>1.64739341318788</v>
      </c>
    </row>
    <row r="94" spans="2:11" ht="17" thickTop="1"/>
  </sheetData>
  <mergeCells count="1">
    <mergeCell ref="F71:H71"/>
  </mergeCells>
  <printOptions horizontalCentered="1"/>
  <pageMargins left="0" right="0" top="0" bottom="0" header="0.3" footer="0.3"/>
  <pageSetup scale="7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N107"/>
  <sheetViews>
    <sheetView showOutlineSymbols="0" zoomScaleNormal="100" zoomScaleSheetLayoutView="85" workbookViewId="0">
      <pane ySplit="6" topLeftCell="A19" activePane="bottomLeft" state="frozen"/>
      <selection activeCell="C35" sqref="C35"/>
      <selection pane="bottomLeft" activeCell="J21" sqref="J21"/>
    </sheetView>
  </sheetViews>
  <sheetFormatPr baseColWidth="10" defaultColWidth="10.42578125" defaultRowHeight="14"/>
  <cols>
    <col min="1" max="1" width="9.140625" style="446" customWidth="1"/>
    <col min="2" max="2" width="10.42578125" style="446"/>
    <col min="3" max="3" width="14.85546875" style="446" customWidth="1"/>
    <col min="4" max="4" width="11.5703125" style="445" bestFit="1" customWidth="1"/>
    <col min="5" max="5" width="11.5703125" style="445" customWidth="1"/>
    <col min="6" max="7" width="10.42578125" style="445"/>
    <col min="8" max="8" width="11.140625" style="445" bestFit="1" customWidth="1"/>
    <col min="9" max="9" width="11.5703125" style="445" bestFit="1" customWidth="1"/>
    <col min="10" max="10" width="12.5703125" style="445" bestFit="1" customWidth="1"/>
    <col min="11" max="16384" width="10.42578125" style="446"/>
  </cols>
  <sheetData>
    <row r="1" spans="1:14" ht="16">
      <c r="A1" s="507"/>
      <c r="B1" s="508" t="s">
        <v>2605</v>
      </c>
      <c r="C1" s="508"/>
      <c r="E1" s="509" t="str">
        <f>+yrlycomp!H1</f>
        <v>444 East 86th Street Owners Corp.</v>
      </c>
      <c r="F1" s="510"/>
      <c r="G1" s="511"/>
      <c r="H1" s="511"/>
      <c r="I1" s="511"/>
      <c r="J1" s="511"/>
      <c r="K1" s="507"/>
    </row>
    <row r="2" spans="1:14" ht="16">
      <c r="A2" s="507"/>
      <c r="B2" s="507"/>
      <c r="C2" s="507"/>
      <c r="E2" s="508" t="s">
        <v>2606</v>
      </c>
      <c r="F2" s="511"/>
      <c r="G2" s="511"/>
      <c r="H2" s="511"/>
      <c r="I2" s="511"/>
      <c r="J2" s="511"/>
      <c r="K2" s="507"/>
    </row>
    <row r="3" spans="1:14" ht="16">
      <c r="A3" s="507"/>
      <c r="B3" s="507"/>
      <c r="C3" s="507"/>
      <c r="E3" s="512" t="str">
        <f>+yrlycomp!H3</f>
        <v>For Year Ending 12/31/2026</v>
      </c>
      <c r="F3" s="513"/>
      <c r="G3" s="511"/>
      <c r="H3" s="511"/>
      <c r="I3" s="513"/>
      <c r="J3" s="513"/>
      <c r="K3" s="507"/>
    </row>
    <row r="4" spans="1:14" ht="15.75" customHeight="1">
      <c r="A4" s="507"/>
      <c r="B4" s="507"/>
      <c r="C4" s="507"/>
      <c r="D4" s="513"/>
      <c r="E4" s="513"/>
      <c r="F4" s="513"/>
      <c r="G4" s="511"/>
      <c r="H4" s="511"/>
      <c r="I4" s="511"/>
      <c r="J4" s="511"/>
      <c r="K4" s="507"/>
    </row>
    <row r="5" spans="1:14" ht="16">
      <c r="A5" s="507"/>
      <c r="B5" s="507"/>
      <c r="C5" s="507"/>
      <c r="D5" s="460">
        <f>+yrlycomp!H7</f>
        <v>2025</v>
      </c>
      <c r="E5" s="461" t="s">
        <v>2607</v>
      </c>
      <c r="F5" s="461" t="s">
        <v>2608</v>
      </c>
      <c r="G5" s="460">
        <f>+D5</f>
        <v>2025</v>
      </c>
      <c r="H5" s="460">
        <f>+G5</f>
        <v>2025</v>
      </c>
      <c r="I5" s="460">
        <f>+H5</f>
        <v>2025</v>
      </c>
      <c r="J5" s="514">
        <f>+I5+1</f>
        <v>2026</v>
      </c>
      <c r="K5" s="507"/>
    </row>
    <row r="6" spans="1:14" ht="16">
      <c r="A6" s="507"/>
      <c r="B6" s="507"/>
      <c r="C6" s="507"/>
      <c r="D6" s="461" t="s">
        <v>2305</v>
      </c>
      <c r="E6" s="461" t="s">
        <v>2609</v>
      </c>
      <c r="F6" s="897" t="s">
        <v>2610</v>
      </c>
      <c r="G6" s="461" t="s">
        <v>2306</v>
      </c>
      <c r="H6" s="461" t="s">
        <v>2307</v>
      </c>
      <c r="I6" s="461" t="s">
        <v>1494</v>
      </c>
      <c r="J6" s="462" t="s">
        <v>1494</v>
      </c>
      <c r="K6" s="507"/>
      <c r="N6" s="521">
        <f>675000-J57</f>
        <v>-0.25760000001173466</v>
      </c>
    </row>
    <row r="7" spans="1:14" ht="16">
      <c r="A7" s="515" t="s">
        <v>2611</v>
      </c>
      <c r="B7" s="516" t="s">
        <v>2215</v>
      </c>
      <c r="C7" s="516"/>
      <c r="D7" s="667" t="s">
        <v>1496</v>
      </c>
      <c r="E7" s="667"/>
      <c r="F7" s="667"/>
      <c r="G7" s="667" t="s">
        <v>2309</v>
      </c>
      <c r="H7" s="667" t="s">
        <v>2310</v>
      </c>
      <c r="I7" s="667"/>
      <c r="J7" s="668"/>
      <c r="K7" s="507"/>
    </row>
    <row r="8" spans="1:14" ht="16">
      <c r="A8" s="517" t="s">
        <v>875</v>
      </c>
      <c r="B8" s="507" t="s">
        <v>876</v>
      </c>
      <c r="C8" s="507"/>
      <c r="D8" s="426">
        <f>SUMIF('VLookup Data'!$A:$A,A8,'VLookup Data'!$E:$E)</f>
        <v>45896.47</v>
      </c>
      <c r="E8" s="426">
        <f>-1054.6-136.08-1884.28+90</f>
        <v>-2984.96</v>
      </c>
      <c r="F8" s="426">
        <f>1355.55</f>
        <v>1355.55</v>
      </c>
      <c r="G8" s="426">
        <f>SUM(D8:F8)/8*4</f>
        <v>22133.530000000002</v>
      </c>
      <c r="H8" s="426">
        <f>SUM(D8:G8)</f>
        <v>66400.590000000011</v>
      </c>
      <c r="I8" s="426">
        <v>90000</v>
      </c>
      <c r="J8" s="432">
        <v>90000</v>
      </c>
      <c r="K8" s="507"/>
      <c r="M8" s="518"/>
    </row>
    <row r="9" spans="1:14" ht="17" thickBot="1">
      <c r="A9" s="511"/>
      <c r="B9" s="519" t="s">
        <v>2612</v>
      </c>
      <c r="C9" s="519"/>
      <c r="D9" s="846">
        <f>SUM(D8:D8)</f>
        <v>45896.47</v>
      </c>
      <c r="E9" s="846">
        <f>SUM(E8:E8)</f>
        <v>-2984.96</v>
      </c>
      <c r="F9" s="846">
        <f>SUM(F8:F8)</f>
        <v>1355.55</v>
      </c>
      <c r="G9" s="847">
        <f>SUM(G8:G8)</f>
        <v>22133.530000000002</v>
      </c>
      <c r="H9" s="846">
        <f>SUM(H8:H8)</f>
        <v>66400.590000000011</v>
      </c>
      <c r="I9" s="846">
        <f>SUM(I8)</f>
        <v>90000</v>
      </c>
      <c r="J9" s="841">
        <f>SUM(J8:J8)</f>
        <v>90000</v>
      </c>
      <c r="K9" s="507"/>
    </row>
    <row r="10" spans="1:14" ht="6.75" customHeight="1" thickTop="1">
      <c r="A10" s="511"/>
      <c r="B10" s="520"/>
      <c r="C10" s="520"/>
      <c r="D10" s="507"/>
      <c r="E10" s="507"/>
      <c r="F10" s="507"/>
      <c r="G10" s="507"/>
      <c r="H10" s="507"/>
      <c r="I10" s="507"/>
      <c r="J10" s="511"/>
      <c r="K10" s="507"/>
    </row>
    <row r="11" spans="1:14" ht="16">
      <c r="A11" s="511"/>
      <c r="B11" s="516" t="s">
        <v>2613</v>
      </c>
      <c r="C11" s="516"/>
      <c r="D11" s="426"/>
      <c r="E11" s="426"/>
      <c r="F11" s="426"/>
      <c r="G11" s="426"/>
      <c r="H11" s="426"/>
      <c r="I11" s="426"/>
      <c r="J11" s="432"/>
      <c r="K11" s="511"/>
    </row>
    <row r="12" spans="1:14" ht="16" hidden="1">
      <c r="A12" s="517" t="s">
        <v>926</v>
      </c>
      <c r="B12" s="507" t="s">
        <v>927</v>
      </c>
      <c r="C12" s="507"/>
      <c r="D12" s="426">
        <f>SUMIF('VLookup Data'!$A:$A,A12,'VLookup Data'!$E:$E)</f>
        <v>0</v>
      </c>
      <c r="E12" s="426">
        <v>0</v>
      </c>
      <c r="F12" s="426">
        <v>0</v>
      </c>
      <c r="G12" s="426">
        <f>SUM(D12:F12)/8*4</f>
        <v>0</v>
      </c>
      <c r="H12" s="426">
        <f t="shared" ref="H12:H34" si="0">SUM(D12:G12)</f>
        <v>0</v>
      </c>
      <c r="I12" s="426">
        <v>0</v>
      </c>
      <c r="J12" s="432">
        <v>0</v>
      </c>
      <c r="K12" s="511"/>
      <c r="M12" s="521"/>
    </row>
    <row r="13" spans="1:14" ht="16" hidden="1">
      <c r="A13" s="517" t="s">
        <v>928</v>
      </c>
      <c r="B13" s="507" t="str">
        <f>_xlfn.XLOOKUP(A13,'VLookup Data'!A:A,'VLookup Data'!B:B)</f>
        <v>Appliance Repairs</v>
      </c>
      <c r="C13" s="507"/>
      <c r="D13" s="424">
        <f>SUMIF('VLookup Data'!$A:$A,A13,'VLookup Data'!$E:$E)</f>
        <v>0</v>
      </c>
      <c r="E13" s="424">
        <v>0</v>
      </c>
      <c r="F13" s="424">
        <v>0</v>
      </c>
      <c r="G13" s="424">
        <f t="shared" ref="G13:G35" si="1">SUM(D13:F13)/8*4</f>
        <v>0</v>
      </c>
      <c r="H13" s="424">
        <f t="shared" ref="H13" si="2">SUM(D13:G13)</f>
        <v>0</v>
      </c>
      <c r="I13" s="424">
        <v>0</v>
      </c>
      <c r="J13" s="440">
        <v>0</v>
      </c>
      <c r="K13" s="511"/>
      <c r="M13" s="521"/>
    </row>
    <row r="14" spans="1:14" ht="16">
      <c r="A14" s="517" t="s">
        <v>936</v>
      </c>
      <c r="B14" s="507" t="s">
        <v>937</v>
      </c>
      <c r="C14" s="507"/>
      <c r="D14" s="426">
        <f>SUMIF('VLookup Data'!$A:$A,A14,'VLookup Data'!$E:$E)</f>
        <v>0</v>
      </c>
      <c r="E14" s="426">
        <v>0</v>
      </c>
      <c r="F14" s="426">
        <v>0</v>
      </c>
      <c r="G14" s="426">
        <f t="shared" si="1"/>
        <v>0</v>
      </c>
      <c r="H14" s="426">
        <f t="shared" si="0"/>
        <v>0</v>
      </c>
      <c r="I14" s="426">
        <v>2000</v>
      </c>
      <c r="J14" s="432">
        <v>2000</v>
      </c>
      <c r="K14" s="511"/>
      <c r="M14" s="521"/>
    </row>
    <row r="15" spans="1:14" ht="16" hidden="1">
      <c r="A15" s="517"/>
      <c r="B15" s="507" t="s">
        <v>939</v>
      </c>
      <c r="C15" s="507"/>
      <c r="D15" s="424">
        <f>SUMIF('VLookup Data'!$A:$A,A15,'VLookup Data'!$E:$E)</f>
        <v>0</v>
      </c>
      <c r="E15" s="424">
        <v>0</v>
      </c>
      <c r="F15" s="424">
        <v>0</v>
      </c>
      <c r="G15" s="424">
        <f t="shared" si="1"/>
        <v>0</v>
      </c>
      <c r="H15" s="424">
        <f t="shared" si="0"/>
        <v>0</v>
      </c>
      <c r="I15" s="424">
        <v>0</v>
      </c>
      <c r="J15" s="440">
        <v>0</v>
      </c>
      <c r="K15" s="511"/>
      <c r="M15" s="521"/>
    </row>
    <row r="16" spans="1:14" ht="16">
      <c r="A16" s="517" t="s">
        <v>940</v>
      </c>
      <c r="B16" s="507" t="s">
        <v>941</v>
      </c>
      <c r="C16" s="507"/>
      <c r="D16" s="424">
        <f>SUMIF('VLookup Data'!$A:$A,A16,'VLookup Data'!$E:$E)</f>
        <v>2955.95</v>
      </c>
      <c r="E16" s="424">
        <f>-658.69-2297.26</f>
        <v>-2955.9500000000003</v>
      </c>
      <c r="F16" s="424">
        <f>1350.05</f>
        <v>1350.05</v>
      </c>
      <c r="G16" s="424">
        <f t="shared" si="1"/>
        <v>675.02499999999975</v>
      </c>
      <c r="H16" s="424">
        <f t="shared" si="0"/>
        <v>2025.0749999999994</v>
      </c>
      <c r="I16" s="424">
        <v>35000</v>
      </c>
      <c r="J16" s="440">
        <v>20000</v>
      </c>
      <c r="K16" s="511"/>
      <c r="M16" s="521"/>
    </row>
    <row r="17" spans="1:13" ht="16">
      <c r="A17" s="517" t="s">
        <v>942</v>
      </c>
      <c r="B17" s="507" t="s">
        <v>943</v>
      </c>
      <c r="C17" s="507"/>
      <c r="D17" s="424">
        <f>SUMIF('VLookup Data'!$A:$A,A17,'VLookup Data'!$E:$E)</f>
        <v>248790.47</v>
      </c>
      <c r="E17" s="424">
        <f>-1360.94-961-6858.52-1237.18-7603.83-1334.81-1001.65-3024.55-2882.67</f>
        <v>-26265.15</v>
      </c>
      <c r="F17" s="424">
        <f>1627.68</f>
        <v>1627.68</v>
      </c>
      <c r="G17" s="424">
        <f t="shared" si="1"/>
        <v>112076.5</v>
      </c>
      <c r="H17" s="424">
        <f t="shared" si="0"/>
        <v>336229.5</v>
      </c>
      <c r="I17" s="424">
        <v>200000</v>
      </c>
      <c r="J17" s="440">
        <v>330000</v>
      </c>
      <c r="K17" s="511"/>
    </row>
    <row r="18" spans="1:13" ht="16">
      <c r="A18" s="517" t="s">
        <v>944</v>
      </c>
      <c r="B18" s="507" t="s">
        <v>945</v>
      </c>
      <c r="C18" s="507"/>
      <c r="D18" s="424">
        <f>SUMIF('VLookup Data'!$A:$A,A18,'VLookup Data'!$E:$E)</f>
        <v>10038.280000000001</v>
      </c>
      <c r="E18" s="424">
        <v>0</v>
      </c>
      <c r="F18" s="424">
        <v>0</v>
      </c>
      <c r="G18" s="424">
        <v>0</v>
      </c>
      <c r="H18" s="424">
        <f t="shared" si="0"/>
        <v>10038.280000000001</v>
      </c>
      <c r="I18" s="424">
        <v>5000</v>
      </c>
      <c r="J18" s="440">
        <v>5000</v>
      </c>
      <c r="K18" s="511"/>
      <c r="M18" s="521"/>
    </row>
    <row r="19" spans="1:13" ht="16">
      <c r="A19" s="517" t="s">
        <v>946</v>
      </c>
      <c r="B19" s="507" t="s">
        <v>631</v>
      </c>
      <c r="C19" s="507"/>
      <c r="D19" s="424">
        <f>SUMIF('VLookup Data'!$A:$A,A19,'VLookup Data'!$E:$E)</f>
        <v>3290.21</v>
      </c>
      <c r="E19" s="424">
        <v>0</v>
      </c>
      <c r="F19" s="424">
        <v>0</v>
      </c>
      <c r="G19" s="424">
        <f t="shared" si="1"/>
        <v>1645.105</v>
      </c>
      <c r="H19" s="424">
        <f t="shared" si="0"/>
        <v>4935.3150000000005</v>
      </c>
      <c r="I19" s="424">
        <v>10000</v>
      </c>
      <c r="J19" s="440">
        <v>10000</v>
      </c>
      <c r="K19" s="511"/>
      <c r="M19" s="521"/>
    </row>
    <row r="20" spans="1:13" ht="16">
      <c r="A20" s="517" t="s">
        <v>947</v>
      </c>
      <c r="B20" s="507" t="s">
        <v>948</v>
      </c>
      <c r="C20" s="507"/>
      <c r="D20" s="424">
        <f>SUMIF('VLookup Data'!$A:$A,A20,'VLookup Data'!$E:$E)</f>
        <v>25933.16</v>
      </c>
      <c r="E20" s="424">
        <v>0</v>
      </c>
      <c r="F20" s="424">
        <v>0</v>
      </c>
      <c r="G20" s="424">
        <v>0</v>
      </c>
      <c r="H20" s="424">
        <f t="shared" si="0"/>
        <v>25933.16</v>
      </c>
      <c r="I20" s="424">
        <v>31000</v>
      </c>
      <c r="J20" s="440">
        <v>31000</v>
      </c>
      <c r="K20" s="511"/>
      <c r="M20" s="521"/>
    </row>
    <row r="21" spans="1:13" ht="16">
      <c r="A21" s="517" t="s">
        <v>949</v>
      </c>
      <c r="B21" s="507" t="s">
        <v>950</v>
      </c>
      <c r="C21" s="507"/>
      <c r="D21" s="424">
        <f>SUMIF('VLookup Data'!$A:$A,A21,'VLookup Data'!$E:$E)</f>
        <v>11660.51</v>
      </c>
      <c r="E21" s="424">
        <v>0</v>
      </c>
      <c r="F21" s="424">
        <v>0</v>
      </c>
      <c r="G21" s="424">
        <v>0</v>
      </c>
      <c r="H21" s="424">
        <f t="shared" si="0"/>
        <v>11660.51</v>
      </c>
      <c r="I21" s="424">
        <v>0</v>
      </c>
      <c r="J21" s="440">
        <v>5000</v>
      </c>
      <c r="K21" s="511"/>
      <c r="M21" s="521"/>
    </row>
    <row r="22" spans="1:13" ht="16" hidden="1">
      <c r="A22" s="517" t="s">
        <v>951</v>
      </c>
      <c r="B22" s="507" t="s">
        <v>952</v>
      </c>
      <c r="C22" s="507"/>
      <c r="D22" s="424">
        <f>SUMIF('VLookup Data'!$A:$A,A22,'VLookup Data'!$E:$E)</f>
        <v>0</v>
      </c>
      <c r="E22" s="424">
        <v>0</v>
      </c>
      <c r="F22" s="424">
        <v>0</v>
      </c>
      <c r="G22" s="424">
        <f t="shared" si="1"/>
        <v>0</v>
      </c>
      <c r="H22" s="424">
        <f t="shared" si="0"/>
        <v>0</v>
      </c>
      <c r="I22" s="424">
        <v>0</v>
      </c>
      <c r="J22" s="440">
        <v>0</v>
      </c>
      <c r="K22" s="511"/>
      <c r="M22" s="521"/>
    </row>
    <row r="23" spans="1:13" ht="16">
      <c r="A23" s="517" t="s">
        <v>953</v>
      </c>
      <c r="B23" s="507" t="s">
        <v>954</v>
      </c>
      <c r="C23" s="507"/>
      <c r="D23" s="424">
        <f>SUMIF('VLookup Data'!$A:$A,A23,'VLookup Data'!$E:$E)</f>
        <v>40490.67</v>
      </c>
      <c r="E23" s="424">
        <v>-8296.2800000000007</v>
      </c>
      <c r="F23" s="424">
        <v>0</v>
      </c>
      <c r="G23" s="424">
        <v>0</v>
      </c>
      <c r="H23" s="424">
        <f t="shared" si="0"/>
        <v>32194.39</v>
      </c>
      <c r="I23" s="424">
        <v>10000</v>
      </c>
      <c r="J23" s="440">
        <v>11000</v>
      </c>
      <c r="K23" s="511"/>
      <c r="M23" s="521"/>
    </row>
    <row r="24" spans="1:13" ht="16">
      <c r="A24" s="517" t="s">
        <v>955</v>
      </c>
      <c r="B24" s="507" t="s">
        <v>956</v>
      </c>
      <c r="C24" s="507"/>
      <c r="D24" s="424">
        <f>SUMIF('VLookup Data'!$A:$A,A24,'VLookup Data'!$E:$E)</f>
        <v>0</v>
      </c>
      <c r="E24" s="424">
        <v>0</v>
      </c>
      <c r="F24" s="424">
        <v>0</v>
      </c>
      <c r="G24" s="424">
        <f t="shared" si="1"/>
        <v>0</v>
      </c>
      <c r="H24" s="424">
        <f t="shared" si="0"/>
        <v>0</v>
      </c>
      <c r="I24" s="424">
        <v>5000</v>
      </c>
      <c r="J24" s="440">
        <v>2000</v>
      </c>
      <c r="K24" s="511"/>
      <c r="M24" s="521"/>
    </row>
    <row r="25" spans="1:13" ht="16" hidden="1">
      <c r="A25" s="517" t="s">
        <v>961</v>
      </c>
      <c r="B25" s="507" t="s">
        <v>962</v>
      </c>
      <c r="C25" s="507"/>
      <c r="D25" s="424">
        <f>SUMIF('VLookup Data'!$A:$A,A25,'VLookup Data'!$E:$E)</f>
        <v>0</v>
      </c>
      <c r="E25" s="424">
        <v>0</v>
      </c>
      <c r="F25" s="424">
        <v>0</v>
      </c>
      <c r="G25" s="424">
        <f t="shared" si="1"/>
        <v>0</v>
      </c>
      <c r="H25" s="424">
        <f t="shared" si="0"/>
        <v>0</v>
      </c>
      <c r="I25" s="424">
        <v>0</v>
      </c>
      <c r="J25" s="440">
        <v>0</v>
      </c>
      <c r="K25" s="511"/>
      <c r="M25" s="521"/>
    </row>
    <row r="26" spans="1:13" ht="16">
      <c r="A26" s="517" t="s">
        <v>963</v>
      </c>
      <c r="B26" s="507" t="s">
        <v>964</v>
      </c>
      <c r="C26" s="507"/>
      <c r="D26" s="424">
        <f>SUMIF('VLookup Data'!$A:$A,A26,'VLookup Data'!$E:$E)</f>
        <v>29650</v>
      </c>
      <c r="E26" s="424">
        <f>-3000-1850-480</f>
        <v>-5330</v>
      </c>
      <c r="F26" s="424">
        <v>0</v>
      </c>
      <c r="G26" s="424">
        <f t="shared" si="1"/>
        <v>12160</v>
      </c>
      <c r="H26" s="424">
        <f t="shared" si="0"/>
        <v>36480</v>
      </c>
      <c r="I26" s="424">
        <v>35000</v>
      </c>
      <c r="J26" s="440">
        <v>35000</v>
      </c>
      <c r="K26" s="511"/>
      <c r="M26" s="521"/>
    </row>
    <row r="27" spans="1:13" ht="16">
      <c r="A27" s="517" t="s">
        <v>967</v>
      </c>
      <c r="B27" s="507" t="s">
        <v>968</v>
      </c>
      <c r="C27" s="507"/>
      <c r="D27" s="424">
        <f>SUMIF('VLookup Data'!$A:$A,A27,'VLookup Data'!$E:$E)</f>
        <v>10109.969999999999</v>
      </c>
      <c r="E27" s="424">
        <v>-3995</v>
      </c>
      <c r="F27" s="424">
        <v>0</v>
      </c>
      <c r="G27" s="424">
        <v>0</v>
      </c>
      <c r="H27" s="424">
        <f t="shared" si="0"/>
        <v>6114.9699999999993</v>
      </c>
      <c r="I27" s="424">
        <v>2500</v>
      </c>
      <c r="J27" s="440">
        <v>2500</v>
      </c>
      <c r="K27" s="511"/>
      <c r="M27" s="521"/>
    </row>
    <row r="28" spans="1:13" ht="16" hidden="1">
      <c r="A28" s="517" t="s">
        <v>971</v>
      </c>
      <c r="B28" s="507" t="s">
        <v>633</v>
      </c>
      <c r="C28" s="507"/>
      <c r="D28" s="424">
        <f>SUMIF('VLookup Data'!$A:$A,A28,'VLookup Data'!$E:$E)</f>
        <v>0</v>
      </c>
      <c r="E28" s="424">
        <v>0</v>
      </c>
      <c r="F28" s="424">
        <v>0</v>
      </c>
      <c r="G28" s="424">
        <f t="shared" si="1"/>
        <v>0</v>
      </c>
      <c r="H28" s="424">
        <f t="shared" si="0"/>
        <v>0</v>
      </c>
      <c r="I28" s="424">
        <v>0</v>
      </c>
      <c r="J28" s="440">
        <v>0</v>
      </c>
      <c r="K28" s="511"/>
      <c r="M28" s="521"/>
    </row>
    <row r="29" spans="1:13" ht="16" hidden="1">
      <c r="A29" s="517" t="s">
        <v>972</v>
      </c>
      <c r="B29" s="507" t="s">
        <v>973</v>
      </c>
      <c r="C29" s="507"/>
      <c r="D29" s="424">
        <f>SUMIF('VLookup Data'!$A:$A,A29,'VLookup Data'!$E:$E)</f>
        <v>0</v>
      </c>
      <c r="E29" s="424">
        <v>0</v>
      </c>
      <c r="F29" s="424">
        <v>0</v>
      </c>
      <c r="G29" s="424">
        <f t="shared" si="1"/>
        <v>0</v>
      </c>
      <c r="H29" s="424">
        <f t="shared" si="0"/>
        <v>0</v>
      </c>
      <c r="I29" s="424">
        <v>0</v>
      </c>
      <c r="J29" s="440">
        <v>0</v>
      </c>
      <c r="K29" s="511"/>
      <c r="M29" s="521"/>
    </row>
    <row r="30" spans="1:13" ht="16">
      <c r="A30" s="517" t="s">
        <v>974</v>
      </c>
      <c r="B30" s="507" t="s">
        <v>3203</v>
      </c>
      <c r="C30" s="507"/>
      <c r="D30" s="424">
        <f>SUMIF('VLookup Data'!$A:$A,A30,'VLookup Data'!$E:$E)</f>
        <v>0</v>
      </c>
      <c r="E30" s="424">
        <v>0</v>
      </c>
      <c r="F30" s="424">
        <v>0</v>
      </c>
      <c r="G30" s="424">
        <f t="shared" si="1"/>
        <v>0</v>
      </c>
      <c r="H30" s="424">
        <f t="shared" si="0"/>
        <v>0</v>
      </c>
      <c r="I30" s="424">
        <v>5000</v>
      </c>
      <c r="J30" s="440">
        <v>2000</v>
      </c>
      <c r="K30" s="511"/>
      <c r="M30" s="521"/>
    </row>
    <row r="31" spans="1:13" ht="16">
      <c r="A31" s="517" t="s">
        <v>978</v>
      </c>
      <c r="B31" s="507" t="s">
        <v>979</v>
      </c>
      <c r="C31" s="507"/>
      <c r="D31" s="424">
        <f>SUMIF('VLookup Data'!$A:$A,A31,'VLookup Data'!$E:$E)</f>
        <v>1970.64</v>
      </c>
      <c r="E31" s="424">
        <v>-1970.64</v>
      </c>
      <c r="F31" s="424">
        <v>0</v>
      </c>
      <c r="G31" s="424">
        <f t="shared" si="1"/>
        <v>0</v>
      </c>
      <c r="H31" s="424">
        <f t="shared" si="0"/>
        <v>0</v>
      </c>
      <c r="I31" s="424">
        <v>3000</v>
      </c>
      <c r="J31" s="440">
        <v>3000</v>
      </c>
      <c r="K31" s="507" t="s">
        <v>2614</v>
      </c>
      <c r="M31" s="521"/>
    </row>
    <row r="32" spans="1:13" ht="16">
      <c r="A32" s="517" t="s">
        <v>980</v>
      </c>
      <c r="B32" s="507" t="s">
        <v>981</v>
      </c>
      <c r="C32" s="507"/>
      <c r="D32" s="424">
        <f>SUMIF('VLookup Data'!$A:$A,A32,'VLookup Data'!$E:$E)</f>
        <v>0</v>
      </c>
      <c r="E32" s="424">
        <v>0</v>
      </c>
      <c r="F32" s="424">
        <v>0</v>
      </c>
      <c r="G32" s="424">
        <f t="shared" si="1"/>
        <v>0</v>
      </c>
      <c r="H32" s="424">
        <f t="shared" si="0"/>
        <v>0</v>
      </c>
      <c r="I32" s="424">
        <v>1500</v>
      </c>
      <c r="J32" s="440">
        <v>1000</v>
      </c>
      <c r="K32" s="511"/>
      <c r="M32" s="521"/>
    </row>
    <row r="33" spans="1:13" ht="16">
      <c r="A33" s="517" t="s">
        <v>984</v>
      </c>
      <c r="B33" s="507" t="s">
        <v>985</v>
      </c>
      <c r="C33" s="507"/>
      <c r="D33" s="424">
        <f>SUMIF('VLookup Data'!$A:$A,A33,'VLookup Data'!$E:$E)</f>
        <v>3775.79</v>
      </c>
      <c r="E33" s="424">
        <v>0</v>
      </c>
      <c r="F33" s="424">
        <v>0</v>
      </c>
      <c r="G33" s="424">
        <f t="shared" si="1"/>
        <v>1887.895</v>
      </c>
      <c r="H33" s="424">
        <f t="shared" si="0"/>
        <v>5663.6849999999995</v>
      </c>
      <c r="I33" s="424">
        <v>10000</v>
      </c>
      <c r="J33" s="440">
        <v>10000</v>
      </c>
      <c r="K33" s="507" t="s">
        <v>2615</v>
      </c>
      <c r="M33" s="521"/>
    </row>
    <row r="34" spans="1:13" ht="16">
      <c r="A34" s="517" t="s">
        <v>994</v>
      </c>
      <c r="B34" s="507" t="s">
        <v>995</v>
      </c>
      <c r="C34" s="507"/>
      <c r="D34" s="424">
        <f>SUMIF('VLookup Data'!$A:$A,A34,'VLookup Data'!$E:$E)</f>
        <v>0</v>
      </c>
      <c r="E34" s="424">
        <v>0</v>
      </c>
      <c r="F34" s="424">
        <v>0</v>
      </c>
      <c r="G34" s="424">
        <f t="shared" si="1"/>
        <v>0</v>
      </c>
      <c r="H34" s="424">
        <f t="shared" si="0"/>
        <v>0</v>
      </c>
      <c r="I34" s="424">
        <v>2000</v>
      </c>
      <c r="J34" s="440">
        <v>2000</v>
      </c>
      <c r="K34" s="511"/>
      <c r="M34" s="521"/>
    </row>
    <row r="35" spans="1:13" ht="16">
      <c r="A35" s="517" t="s">
        <v>996</v>
      </c>
      <c r="B35" s="507" t="s">
        <v>997</v>
      </c>
      <c r="C35" s="507"/>
      <c r="D35" s="424">
        <f>SUMIF('VLookup Data'!$A:$A,A35,'VLookup Data'!$E:$E)</f>
        <v>7300</v>
      </c>
      <c r="E35" s="424">
        <v>0</v>
      </c>
      <c r="F35" s="424">
        <v>0</v>
      </c>
      <c r="G35" s="424">
        <f t="shared" si="1"/>
        <v>3650</v>
      </c>
      <c r="H35" s="424">
        <f t="shared" ref="H35" si="3">SUM(D35:G35)</f>
        <v>10950</v>
      </c>
      <c r="I35" s="424">
        <v>18500</v>
      </c>
      <c r="J35" s="440">
        <v>10000</v>
      </c>
      <c r="K35" s="511"/>
      <c r="M35" s="521"/>
    </row>
    <row r="36" spans="1:13" ht="16">
      <c r="A36" s="522"/>
      <c r="B36" s="523" t="s">
        <v>2616</v>
      </c>
      <c r="C36" s="523"/>
      <c r="D36" s="846">
        <f>SUM(D12:D34)</f>
        <v>388665.64999999997</v>
      </c>
      <c r="E36" s="846">
        <f>SUM(E12:E34)</f>
        <v>-48813.020000000004</v>
      </c>
      <c r="F36" s="846">
        <f>SUM(F12:F34)</f>
        <v>2977.73</v>
      </c>
      <c r="G36" s="846">
        <f>SUM(G12:G34)</f>
        <v>128444.52499999999</v>
      </c>
      <c r="H36" s="846">
        <f>SUM(H12:H34)</f>
        <v>471274.88500000001</v>
      </c>
      <c r="I36" s="846">
        <f>SUM(I12:I35)</f>
        <v>375500</v>
      </c>
      <c r="J36" s="841">
        <f>SUM(J12:J35)</f>
        <v>481500</v>
      </c>
      <c r="K36" s="511"/>
    </row>
    <row r="37" spans="1:13">
      <c r="A37" s="511"/>
      <c r="B37" s="520"/>
      <c r="C37" s="520"/>
      <c r="D37" s="507"/>
      <c r="E37" s="507"/>
      <c r="F37" s="507"/>
      <c r="G37" s="507"/>
      <c r="H37" s="507"/>
      <c r="I37" s="507"/>
      <c r="J37" s="507"/>
      <c r="K37" s="511"/>
    </row>
    <row r="38" spans="1:13">
      <c r="A38" s="511"/>
      <c r="B38" s="516" t="s">
        <v>468</v>
      </c>
      <c r="C38" s="516"/>
      <c r="D38" s="507"/>
      <c r="E38" s="507"/>
      <c r="F38" s="507"/>
      <c r="G38" s="507"/>
      <c r="H38" s="507"/>
      <c r="I38" s="507"/>
      <c r="J38" s="507"/>
      <c r="K38" s="511"/>
      <c r="M38" s="521"/>
    </row>
    <row r="39" spans="1:13" s="525" customFormat="1" ht="16" hidden="1">
      <c r="A39" s="517" t="s">
        <v>1002</v>
      </c>
      <c r="B39" s="507" t="s">
        <v>2617</v>
      </c>
      <c r="C39" s="507"/>
      <c r="D39" s="426">
        <f>SUMIF('VLookup Data'!$A:$A,A39,'VLookup Data'!$E:$E)</f>
        <v>0</v>
      </c>
      <c r="E39" s="426">
        <v>0</v>
      </c>
      <c r="F39" s="426">
        <v>0</v>
      </c>
      <c r="G39" s="426">
        <f>SUM(D39:F39)/8*4</f>
        <v>0</v>
      </c>
      <c r="H39" s="426">
        <f t="shared" ref="H39:H54" si="4">SUM(D39:G39)</f>
        <v>0</v>
      </c>
      <c r="I39" s="426">
        <v>0</v>
      </c>
      <c r="J39" s="432">
        <v>0</v>
      </c>
      <c r="K39" s="524" t="s">
        <v>2618</v>
      </c>
    </row>
    <row r="40" spans="1:13" s="525" customFormat="1" ht="16">
      <c r="A40" s="517" t="s">
        <v>1012</v>
      </c>
      <c r="B40" s="507" t="s">
        <v>1013</v>
      </c>
      <c r="C40" s="507"/>
      <c r="D40" s="426">
        <f>SUMIF('VLookup Data'!$A:$A,A40,'VLookup Data'!$E:$E)</f>
        <v>14240.88</v>
      </c>
      <c r="E40" s="426">
        <f>-460.46-497.99</f>
        <v>-958.45</v>
      </c>
      <c r="F40" s="426">
        <v>0</v>
      </c>
      <c r="G40" s="426">
        <f>1780.11*4</f>
        <v>7120.44</v>
      </c>
      <c r="H40" s="426">
        <f t="shared" si="4"/>
        <v>20402.87</v>
      </c>
      <c r="I40" s="426">
        <v>24800</v>
      </c>
      <c r="J40" s="432">
        <f>21400+3400</f>
        <v>24800</v>
      </c>
      <c r="K40" s="524" t="s">
        <v>2619</v>
      </c>
    </row>
    <row r="41" spans="1:13" s="525" customFormat="1" ht="16">
      <c r="A41" s="517" t="s">
        <v>1014</v>
      </c>
      <c r="B41" s="507" t="s">
        <v>1015</v>
      </c>
      <c r="C41" s="507"/>
      <c r="D41" s="424">
        <f>SUMIF('VLookup Data'!$A:$A,A41,'VLookup Data'!$E:$E)-2120</f>
        <v>27696.959999999999</v>
      </c>
      <c r="E41" s="424">
        <v>0</v>
      </c>
      <c r="F41" s="424">
        <v>0</v>
      </c>
      <c r="G41" s="424">
        <f>3462.12*4</f>
        <v>13848.48</v>
      </c>
      <c r="H41" s="424">
        <f t="shared" si="4"/>
        <v>41545.440000000002</v>
      </c>
      <c r="I41" s="464">
        <v>39567.091199999995</v>
      </c>
      <c r="J41" s="440">
        <f>((3462.12*4%)+3462.12)*12</f>
        <v>43207.257599999997</v>
      </c>
      <c r="K41" s="524" t="s">
        <v>3179</v>
      </c>
    </row>
    <row r="42" spans="1:13" s="525" customFormat="1" ht="16" hidden="1">
      <c r="A42" s="517" t="s">
        <v>1016</v>
      </c>
      <c r="B42" s="507" t="s">
        <v>1017</v>
      </c>
      <c r="C42" s="507"/>
      <c r="D42" s="424">
        <f>SUMIF('VLookup Data'!$A:$A,A42,'VLookup Data'!$E:$E)</f>
        <v>0</v>
      </c>
      <c r="E42" s="424">
        <v>0</v>
      </c>
      <c r="F42" s="424">
        <v>0</v>
      </c>
      <c r="G42" s="424">
        <f t="shared" ref="G42:G54" si="5">SUM(D42:F42)/8*4</f>
        <v>0</v>
      </c>
      <c r="H42" s="424">
        <f t="shared" si="4"/>
        <v>0</v>
      </c>
      <c r="I42" s="464">
        <v>0</v>
      </c>
      <c r="J42" s="440">
        <v>0</v>
      </c>
      <c r="K42" s="524"/>
    </row>
    <row r="43" spans="1:13" s="525" customFormat="1" ht="16" hidden="1">
      <c r="A43" s="517" t="s">
        <v>1018</v>
      </c>
      <c r="B43" s="507" t="s">
        <v>1019</v>
      </c>
      <c r="C43" s="507"/>
      <c r="D43" s="424">
        <f>SUMIF('VLookup Data'!$A:$A,A43,'VLookup Data'!$E:$E)</f>
        <v>0</v>
      </c>
      <c r="E43" s="424">
        <v>0</v>
      </c>
      <c r="F43" s="424">
        <v>0</v>
      </c>
      <c r="G43" s="424">
        <f t="shared" si="5"/>
        <v>0</v>
      </c>
      <c r="H43" s="424">
        <f t="shared" si="4"/>
        <v>0</v>
      </c>
      <c r="I43" s="464">
        <v>0</v>
      </c>
      <c r="J43" s="440">
        <v>0</v>
      </c>
      <c r="K43" s="524"/>
    </row>
    <row r="44" spans="1:13" s="525" customFormat="1" ht="16">
      <c r="A44" s="517" t="s">
        <v>1020</v>
      </c>
      <c r="B44" s="507" t="s">
        <v>1021</v>
      </c>
      <c r="C44" s="507"/>
      <c r="D44" s="424">
        <f>SUMIF('VLookup Data'!$A:$A,A44,'VLookup Data'!$E:$E)</f>
        <v>0</v>
      </c>
      <c r="E44" s="424">
        <v>0</v>
      </c>
      <c r="F44" s="424">
        <f>2307.56</f>
        <v>2307.56</v>
      </c>
      <c r="G44" s="424">
        <f t="shared" si="5"/>
        <v>1153.78</v>
      </c>
      <c r="H44" s="424">
        <f t="shared" si="4"/>
        <v>3461.34</v>
      </c>
      <c r="I44" s="464">
        <v>3700</v>
      </c>
      <c r="J44" s="440">
        <v>3700</v>
      </c>
      <c r="K44" s="524" t="s">
        <v>2620</v>
      </c>
    </row>
    <row r="45" spans="1:13" s="525" customFormat="1" ht="16">
      <c r="A45" s="517" t="s">
        <v>1022</v>
      </c>
      <c r="B45" s="507" t="s">
        <v>1023</v>
      </c>
      <c r="C45" s="507"/>
      <c r="D45" s="424">
        <f>SUMIF('VLookup Data'!$A:$A,A45,'VLookup Data'!$E:$E)</f>
        <v>23690.799999999999</v>
      </c>
      <c r="E45" s="424">
        <f>-2478.5-400-400-400</f>
        <v>-3678.5</v>
      </c>
      <c r="F45" s="424">
        <v>0</v>
      </c>
      <c r="G45" s="424">
        <f t="shared" si="5"/>
        <v>10006.15</v>
      </c>
      <c r="H45" s="424">
        <f t="shared" si="4"/>
        <v>30018.449999999997</v>
      </c>
      <c r="I45" s="464">
        <v>20000</v>
      </c>
      <c r="J45" s="440">
        <v>30000</v>
      </c>
      <c r="K45" s="524" t="s">
        <v>3180</v>
      </c>
    </row>
    <row r="46" spans="1:13" s="525" customFormat="1" ht="16" hidden="1">
      <c r="A46" s="517" t="s">
        <v>1024</v>
      </c>
      <c r="B46" s="507" t="s">
        <v>1025</v>
      </c>
      <c r="C46" s="507"/>
      <c r="D46" s="424">
        <f>SUMIF('VLookup Data'!$A:$A,A46,'VLookup Data'!$E:$E)</f>
        <v>0</v>
      </c>
      <c r="E46" s="424">
        <v>0</v>
      </c>
      <c r="F46" s="424">
        <v>0</v>
      </c>
      <c r="G46" s="424">
        <f t="shared" si="5"/>
        <v>0</v>
      </c>
      <c r="H46" s="424">
        <f t="shared" si="4"/>
        <v>0</v>
      </c>
      <c r="I46" s="464">
        <v>0</v>
      </c>
      <c r="J46" s="440">
        <v>0</v>
      </c>
      <c r="K46" s="524"/>
    </row>
    <row r="47" spans="1:13" ht="16">
      <c r="A47" s="517" t="s">
        <v>1026</v>
      </c>
      <c r="B47" s="507" t="s">
        <v>1027</v>
      </c>
      <c r="C47" s="684"/>
      <c r="D47" s="424">
        <f>SUMIF('VLookup Data'!$A:$A,A47,'VLookup Data'!$E:$E)</f>
        <v>12906.22</v>
      </c>
      <c r="E47" s="424">
        <f>-653.25-471.97-212.31</f>
        <v>-1337.53</v>
      </c>
      <c r="F47" s="424">
        <f>481.41</f>
        <v>481.41</v>
      </c>
      <c r="G47" s="424">
        <f t="shared" si="5"/>
        <v>6025.0499999999993</v>
      </c>
      <c r="H47" s="424">
        <f t="shared" si="4"/>
        <v>18075.149999999998</v>
      </c>
      <c r="I47" s="464">
        <v>31000</v>
      </c>
      <c r="J47" s="440">
        <v>31000</v>
      </c>
      <c r="K47" s="524" t="s">
        <v>3208</v>
      </c>
    </row>
    <row r="48" spans="1:13" ht="16">
      <c r="A48" s="517" t="s">
        <v>1028</v>
      </c>
      <c r="B48" s="507" t="s">
        <v>1029</v>
      </c>
      <c r="C48" s="507"/>
      <c r="D48" s="424">
        <f>SUMIF('VLookup Data'!$A:$A,A48,'VLookup Data'!$E:$E)</f>
        <v>5217.28</v>
      </c>
      <c r="E48" s="424">
        <v>0</v>
      </c>
      <c r="F48" s="424">
        <v>0</v>
      </c>
      <c r="G48" s="424">
        <f t="shared" si="5"/>
        <v>2608.64</v>
      </c>
      <c r="H48" s="424">
        <f t="shared" si="4"/>
        <v>7825.92</v>
      </c>
      <c r="I48" s="464">
        <v>7933</v>
      </c>
      <c r="J48" s="440">
        <v>8293</v>
      </c>
      <c r="K48" s="524" t="s">
        <v>2621</v>
      </c>
    </row>
    <row r="49" spans="1:12" ht="16">
      <c r="A49" s="517" t="s">
        <v>1030</v>
      </c>
      <c r="B49" s="507" t="s">
        <v>1031</v>
      </c>
      <c r="C49" s="507"/>
      <c r="D49" s="424">
        <f>SUMIF('VLookup Data'!$A:$A,A49,'VLookup Data'!$E:$E)</f>
        <v>3375.13</v>
      </c>
      <c r="E49" s="424">
        <v>0</v>
      </c>
      <c r="F49" s="424">
        <v>0</v>
      </c>
      <c r="G49" s="424">
        <v>0</v>
      </c>
      <c r="H49" s="424">
        <f t="shared" si="4"/>
        <v>3375.13</v>
      </c>
      <c r="I49" s="464">
        <v>2500</v>
      </c>
      <c r="J49" s="440">
        <v>2500</v>
      </c>
      <c r="K49" s="524" t="s">
        <v>3182</v>
      </c>
    </row>
    <row r="50" spans="1:12" ht="16" hidden="1">
      <c r="A50" s="517" t="s">
        <v>1032</v>
      </c>
      <c r="B50" s="507" t="s">
        <v>2622</v>
      </c>
      <c r="C50" s="507"/>
      <c r="D50" s="424">
        <f>SUMIF('VLookup Data'!$A:$A,A50,'VLookup Data'!$E:$E)</f>
        <v>0</v>
      </c>
      <c r="E50" s="424">
        <v>0</v>
      </c>
      <c r="F50" s="424">
        <v>0</v>
      </c>
      <c r="G50" s="424">
        <f t="shared" si="5"/>
        <v>0</v>
      </c>
      <c r="H50" s="424">
        <f t="shared" si="4"/>
        <v>0</v>
      </c>
      <c r="I50" s="464">
        <v>0</v>
      </c>
      <c r="J50" s="440">
        <v>0</v>
      </c>
      <c r="K50" s="524"/>
    </row>
    <row r="51" spans="1:12" ht="16" hidden="1">
      <c r="A51" s="517" t="s">
        <v>1036</v>
      </c>
      <c r="B51" s="507" t="s">
        <v>1037</v>
      </c>
      <c r="C51" s="507"/>
      <c r="D51" s="424">
        <f>SUMIF('VLookup Data'!$A:$A,A51,'VLookup Data'!$E:$E)</f>
        <v>0</v>
      </c>
      <c r="E51" s="424">
        <v>0</v>
      </c>
      <c r="F51" s="424">
        <v>0</v>
      </c>
      <c r="G51" s="424">
        <f t="shared" si="5"/>
        <v>0</v>
      </c>
      <c r="H51" s="424">
        <f t="shared" si="4"/>
        <v>0</v>
      </c>
      <c r="I51" s="464">
        <v>0</v>
      </c>
      <c r="J51" s="440">
        <v>0</v>
      </c>
      <c r="K51" s="524"/>
    </row>
    <row r="52" spans="1:12" ht="16">
      <c r="A52" s="517" t="s">
        <v>1040</v>
      </c>
      <c r="B52" s="507" t="s">
        <v>1041</v>
      </c>
      <c r="C52" s="507"/>
      <c r="D52" s="424">
        <f>SUMIF('VLookup Data'!$A:$A,A52,'VLookup Data'!$E:$E)</f>
        <v>9018.1200000000008</v>
      </c>
      <c r="E52" s="424">
        <v>0</v>
      </c>
      <c r="F52" s="424">
        <v>598.80999999999995</v>
      </c>
      <c r="G52" s="424">
        <v>0</v>
      </c>
      <c r="H52" s="424">
        <f t="shared" si="4"/>
        <v>9616.93</v>
      </c>
      <c r="I52" s="464">
        <v>10000</v>
      </c>
      <c r="J52" s="440">
        <v>10000</v>
      </c>
      <c r="K52" s="524" t="s">
        <v>2623</v>
      </c>
    </row>
    <row r="53" spans="1:12" ht="16">
      <c r="A53" s="517" t="s">
        <v>1044</v>
      </c>
      <c r="B53" s="507" t="s">
        <v>2624</v>
      </c>
      <c r="C53" s="507"/>
      <c r="D53" s="424">
        <f>SUMIF('VLookup Data'!$A:$A,A53,'VLookup Data'!$E:$E)</f>
        <v>23605.32</v>
      </c>
      <c r="E53" s="424">
        <v>0</v>
      </c>
      <c r="F53" s="424">
        <v>0</v>
      </c>
      <c r="G53" s="424">
        <v>0</v>
      </c>
      <c r="H53" s="424">
        <f t="shared" si="4"/>
        <v>23605.32</v>
      </c>
      <c r="I53" s="464">
        <v>25000</v>
      </c>
      <c r="J53" s="440">
        <v>25000</v>
      </c>
      <c r="K53" s="524" t="s">
        <v>3209</v>
      </c>
    </row>
    <row r="54" spans="1:12" ht="16">
      <c r="A54" s="517" t="s">
        <v>1050</v>
      </c>
      <c r="B54" s="507" t="s">
        <v>1051</v>
      </c>
      <c r="C54" s="507"/>
      <c r="D54" s="424">
        <f>SUMIF('VLookup Data'!$A:$A,A54,'VLookup Data'!$E:$E)</f>
        <v>11411.79</v>
      </c>
      <c r="E54" s="424">
        <v>-2084.96</v>
      </c>
      <c r="F54" s="424">
        <v>0</v>
      </c>
      <c r="G54" s="424">
        <f t="shared" si="5"/>
        <v>4663.4150000000009</v>
      </c>
      <c r="H54" s="424">
        <f t="shared" si="4"/>
        <v>13990.245000000003</v>
      </c>
      <c r="I54" s="464">
        <v>10000</v>
      </c>
      <c r="J54" s="440">
        <v>15000</v>
      </c>
      <c r="K54" s="524" t="s">
        <v>3181</v>
      </c>
    </row>
    <row r="55" spans="1:12" ht="17" thickBot="1">
      <c r="D55" s="846">
        <f t="shared" ref="D55:J55" si="6">SUM(D39:D54)</f>
        <v>131162.5</v>
      </c>
      <c r="E55" s="846">
        <f t="shared" si="6"/>
        <v>-8059.44</v>
      </c>
      <c r="F55" s="846">
        <f t="shared" si="6"/>
        <v>3387.7799999999997</v>
      </c>
      <c r="G55" s="846">
        <f t="shared" si="6"/>
        <v>45425.954999999994</v>
      </c>
      <c r="H55" s="846">
        <f t="shared" si="6"/>
        <v>171916.79499999998</v>
      </c>
      <c r="I55" s="846">
        <f t="shared" si="6"/>
        <v>174500.0912</v>
      </c>
      <c r="J55" s="841">
        <f t="shared" si="6"/>
        <v>193500.25760000001</v>
      </c>
    </row>
    <row r="56" spans="1:12" ht="15" thickTop="1"/>
    <row r="57" spans="1:12" ht="15" thickBot="1">
      <c r="B57" s="446" t="s">
        <v>2625</v>
      </c>
      <c r="D57" s="848">
        <f>+D36+D55</f>
        <v>519828.14999999997</v>
      </c>
      <c r="E57" s="848">
        <f>+E36+E55</f>
        <v>-56872.460000000006</v>
      </c>
      <c r="F57" s="848">
        <f>+F36+F55</f>
        <v>6365.51</v>
      </c>
      <c r="G57" s="848">
        <f>+G36+G55</f>
        <v>173870.47999999998</v>
      </c>
      <c r="H57" s="848">
        <f>+H36+H55</f>
        <v>643191.67999999993</v>
      </c>
      <c r="I57" s="848">
        <v>461393.01120000001</v>
      </c>
      <c r="J57" s="848">
        <f>+J36+J55</f>
        <v>675000.25760000001</v>
      </c>
    </row>
    <row r="58" spans="1:12" ht="15" thickTop="1">
      <c r="D58" s="446"/>
      <c r="E58" s="446"/>
      <c r="F58" s="446"/>
      <c r="G58" s="446"/>
      <c r="H58" s="446"/>
      <c r="I58" s="446"/>
      <c r="J58" s="446"/>
      <c r="L58" s="876" t="s">
        <v>3204</v>
      </c>
    </row>
    <row r="59" spans="1:12">
      <c r="D59" s="446"/>
      <c r="F59" s="446"/>
      <c r="G59" s="446"/>
      <c r="H59" s="446"/>
      <c r="I59" s="446"/>
      <c r="J59" s="446"/>
      <c r="L59" s="446" t="s">
        <v>2626</v>
      </c>
    </row>
    <row r="60" spans="1:12">
      <c r="D60" s="446"/>
      <c r="E60" s="446"/>
      <c r="F60" s="446"/>
      <c r="G60" s="446"/>
      <c r="H60" s="446"/>
      <c r="I60" s="446"/>
      <c r="J60" s="446"/>
    </row>
    <row r="61" spans="1:12">
      <c r="D61" s="446"/>
      <c r="E61" s="446"/>
      <c r="F61" s="446"/>
      <c r="G61" s="446"/>
      <c r="H61" s="446"/>
      <c r="I61" s="446"/>
      <c r="J61" s="446"/>
    </row>
    <row r="62" spans="1:12">
      <c r="D62" s="446"/>
      <c r="E62" s="446"/>
      <c r="F62" s="446"/>
      <c r="G62" s="446"/>
      <c r="H62" s="446"/>
      <c r="I62" s="446"/>
      <c r="J62" s="446"/>
    </row>
    <row r="63" spans="1:12">
      <c r="D63" s="446"/>
      <c r="E63" s="446"/>
      <c r="F63" s="446"/>
      <c r="G63" s="446"/>
      <c r="H63" s="446"/>
      <c r="I63" s="446"/>
      <c r="J63" s="446"/>
    </row>
    <row r="64" spans="1:12">
      <c r="D64" s="446"/>
      <c r="E64" s="446"/>
      <c r="F64" s="446"/>
      <c r="G64" s="446"/>
      <c r="H64" s="446"/>
      <c r="I64" s="446"/>
      <c r="J64" s="446"/>
    </row>
    <row r="65" spans="6:6" s="446" customFormat="1"/>
    <row r="66" spans="6:6" s="446" customFormat="1"/>
    <row r="67" spans="6:6" s="446" customFormat="1"/>
    <row r="68" spans="6:6" s="446" customFormat="1"/>
    <row r="69" spans="6:6" s="446" customFormat="1"/>
    <row r="70" spans="6:6" s="446" customFormat="1"/>
    <row r="71" spans="6:6" s="446" customFormat="1"/>
    <row r="72" spans="6:6" s="446" customFormat="1"/>
    <row r="73" spans="6:6" s="446" customFormat="1"/>
    <row r="74" spans="6:6" s="446" customFormat="1"/>
    <row r="75" spans="6:6" s="446" customFormat="1"/>
    <row r="76" spans="6:6" s="446" customFormat="1"/>
    <row r="77" spans="6:6" s="446" customFormat="1"/>
    <row r="78" spans="6:6" s="446" customFormat="1">
      <c r="F78" s="446" t="s">
        <v>2627</v>
      </c>
    </row>
    <row r="79" spans="6:6" s="446" customFormat="1"/>
    <row r="80" spans="6:6" s="446" customFormat="1"/>
    <row r="81" s="446" customFormat="1"/>
    <row r="82" s="446" customFormat="1"/>
    <row r="83" s="446" customFormat="1"/>
    <row r="84" s="446" customFormat="1"/>
    <row r="85" s="446" customFormat="1"/>
    <row r="86" s="446" customFormat="1"/>
    <row r="87" s="446" customFormat="1"/>
    <row r="88" s="446" customFormat="1"/>
    <row r="89" s="446" customFormat="1"/>
    <row r="90" s="446" customFormat="1"/>
    <row r="105" s="446" customFormat="1"/>
    <row r="106" s="446" customFormat="1"/>
    <row r="107" s="446" customFormat="1"/>
  </sheetData>
  <phoneticPr fontId="30" type="noConversion"/>
  <printOptions horizontalCentered="1"/>
  <pageMargins left="0" right="0" top="0" bottom="0" header="0.3" footer="0.3"/>
  <pageSetup scale="76" fitToHeight="2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P78"/>
  <sheetViews>
    <sheetView zoomScale="90" zoomScaleNormal="90" zoomScaleSheetLayoutView="90" workbookViewId="0">
      <pane ySplit="7" topLeftCell="A47" activePane="bottomLeft" state="frozen"/>
      <selection activeCell="C35" sqref="C35"/>
      <selection pane="bottomLeft" activeCell="J64" sqref="J64:J66"/>
    </sheetView>
  </sheetViews>
  <sheetFormatPr baseColWidth="10" defaultColWidth="8.85546875" defaultRowHeight="16"/>
  <cols>
    <col min="1" max="1" width="10.28515625" style="297" customWidth="1"/>
    <col min="2" max="2" width="24.5703125" style="297" customWidth="1"/>
    <col min="3" max="3" width="3.28515625" style="297" customWidth="1"/>
    <col min="4" max="4" width="12.28515625" style="297" bestFit="1" customWidth="1"/>
    <col min="5" max="5" width="12" style="297" customWidth="1"/>
    <col min="6" max="6" width="9.42578125" style="297" customWidth="1"/>
    <col min="7" max="7" width="12.140625" style="297" customWidth="1"/>
    <col min="8" max="8" width="12.28515625" style="297" bestFit="1" customWidth="1"/>
    <col min="9" max="9" width="10.85546875" style="297" customWidth="1"/>
    <col min="10" max="10" width="13.28515625" style="297" customWidth="1"/>
    <col min="11" max="11" width="13.5703125" style="297" customWidth="1"/>
    <col min="12" max="15" width="8.85546875" style="297"/>
    <col min="16" max="16" width="11.42578125" style="297" bestFit="1" customWidth="1"/>
    <col min="17" max="16384" width="8.85546875" style="297"/>
  </cols>
  <sheetData>
    <row r="1" spans="1:16">
      <c r="B1" s="508" t="s">
        <v>2628</v>
      </c>
      <c r="C1" s="508"/>
      <c r="D1" s="510"/>
      <c r="E1" s="509" t="str">
        <f>+yrlycomp!H1</f>
        <v>444 East 86th Street Owners Corp.</v>
      </c>
    </row>
    <row r="2" spans="1:16">
      <c r="A2" s="507"/>
      <c r="D2" s="511"/>
      <c r="E2" s="508" t="s">
        <v>2629</v>
      </c>
    </row>
    <row r="3" spans="1:16">
      <c r="A3" s="507"/>
      <c r="D3" s="513"/>
      <c r="E3" s="512" t="str">
        <f>+yrlycomp!H3</f>
        <v>For Year Ending 12/31/2026</v>
      </c>
    </row>
    <row r="4" spans="1:16">
      <c r="A4" s="507"/>
      <c r="D4" s="513"/>
      <c r="E4" s="512"/>
    </row>
    <row r="5" spans="1:16">
      <c r="A5" s="507"/>
      <c r="D5" s="513"/>
      <c r="E5" s="512"/>
    </row>
    <row r="7" spans="1:16">
      <c r="A7" s="507"/>
      <c r="B7" s="507"/>
      <c r="C7" s="507"/>
      <c r="D7" s="460">
        <f>+yrlycomp!I7</f>
        <v>2025</v>
      </c>
      <c r="E7" s="461" t="s">
        <v>2607</v>
      </c>
      <c r="F7" s="461" t="s">
        <v>2608</v>
      </c>
      <c r="G7" s="460">
        <f>+D7</f>
        <v>2025</v>
      </c>
      <c r="H7" s="460">
        <f>+G7</f>
        <v>2025</v>
      </c>
      <c r="I7" s="460">
        <f>+H7</f>
        <v>2025</v>
      </c>
      <c r="J7" s="514">
        <f>+I7+1</f>
        <v>2026</v>
      </c>
      <c r="K7" s="514"/>
    </row>
    <row r="8" spans="1:16">
      <c r="A8" s="507"/>
      <c r="B8" s="507"/>
      <c r="C8" s="507"/>
      <c r="D8" s="461" t="s">
        <v>2305</v>
      </c>
      <c r="E8" s="461" t="s">
        <v>2609</v>
      </c>
      <c r="F8" s="897" t="str">
        <f>'Repairs &amp; Supplies'!F6</f>
        <v>@08/31/25</v>
      </c>
      <c r="G8" s="461" t="s">
        <v>2306</v>
      </c>
      <c r="H8" s="461" t="s">
        <v>2307</v>
      </c>
      <c r="I8" s="461" t="s">
        <v>1494</v>
      </c>
      <c r="J8" s="462" t="s">
        <v>1494</v>
      </c>
      <c r="K8" s="462"/>
    </row>
    <row r="9" spans="1:16">
      <c r="A9" s="515" t="s">
        <v>2611</v>
      </c>
      <c r="B9" s="516"/>
      <c r="C9" s="516"/>
      <c r="D9" s="667" t="s">
        <v>1496</v>
      </c>
      <c r="E9" s="667"/>
      <c r="F9" s="667"/>
      <c r="G9" s="667" t="s">
        <v>2309</v>
      </c>
      <c r="H9" s="667" t="s">
        <v>2310</v>
      </c>
      <c r="I9" s="667"/>
      <c r="J9" s="668"/>
      <c r="K9" s="462"/>
    </row>
    <row r="11" spans="1:16">
      <c r="A11" s="526"/>
      <c r="B11" s="516" t="s">
        <v>2221</v>
      </c>
      <c r="C11" s="516"/>
      <c r="D11" s="445"/>
      <c r="E11" s="445"/>
      <c r="F11" s="445"/>
      <c r="G11" s="445"/>
      <c r="H11" s="445"/>
      <c r="I11" s="445"/>
      <c r="J11" s="445"/>
      <c r="K11" s="445"/>
    </row>
    <row r="12" spans="1:16">
      <c r="A12" s="517" t="s">
        <v>1125</v>
      </c>
      <c r="B12" s="507" t="s">
        <v>1126</v>
      </c>
      <c r="C12" s="507"/>
      <c r="D12" s="426">
        <f>SUMIF('VLookup Data'!$A:$A,A12,'VLookup Data'!$E:$E)</f>
        <v>1500</v>
      </c>
      <c r="E12" s="426">
        <v>0</v>
      </c>
      <c r="F12" s="426">
        <v>750</v>
      </c>
      <c r="G12" s="426">
        <f>SUM(D12:F12)/8*4</f>
        <v>1125</v>
      </c>
      <c r="H12" s="426">
        <f t="shared" ref="H12:H17" si="0">SUM(D12:G12)</f>
        <v>3375</v>
      </c>
      <c r="I12" s="457">
        <v>5000</v>
      </c>
      <c r="J12" s="432">
        <v>5000</v>
      </c>
      <c r="K12" s="432"/>
      <c r="L12" s="343"/>
    </row>
    <row r="13" spans="1:16">
      <c r="A13" s="517" t="s">
        <v>1127</v>
      </c>
      <c r="B13" s="507" t="s">
        <v>592</v>
      </c>
      <c r="C13" s="507"/>
      <c r="D13" s="424">
        <f>SUMIF('VLookup Data'!$A:$A,A13,'VLookup Data'!$E:$E)</f>
        <v>93380.4</v>
      </c>
      <c r="E13" s="424">
        <v>0</v>
      </c>
      <c r="F13" s="424">
        <v>0</v>
      </c>
      <c r="G13" s="424">
        <f>11672.55*4</f>
        <v>46690.2</v>
      </c>
      <c r="H13" s="424">
        <f t="shared" si="0"/>
        <v>140070.59999999998</v>
      </c>
      <c r="I13" s="464">
        <v>140070.63</v>
      </c>
      <c r="J13" s="440">
        <f>11993.55*12</f>
        <v>143922.59999999998</v>
      </c>
    </row>
    <row r="14" spans="1:16">
      <c r="A14" s="517" t="s">
        <v>1128</v>
      </c>
      <c r="B14" s="507" t="s">
        <v>2630</v>
      </c>
      <c r="C14" s="507"/>
      <c r="D14" s="424">
        <f>SUMIF('VLookup Data'!$A:$A,A14,'VLookup Data'!$E:$E)</f>
        <v>1242.75</v>
      </c>
      <c r="E14" s="424">
        <v>-395</v>
      </c>
      <c r="F14" s="424">
        <v>0</v>
      </c>
      <c r="G14" s="424">
        <f t="shared" ref="G14:G15" si="1">SUM(D14:F14)/8*4</f>
        <v>423.875</v>
      </c>
      <c r="H14" s="424">
        <f t="shared" si="0"/>
        <v>1271.625</v>
      </c>
      <c r="I14" s="464">
        <v>10000</v>
      </c>
      <c r="J14" s="440">
        <v>10000</v>
      </c>
      <c r="K14" s="432"/>
    </row>
    <row r="15" spans="1:16">
      <c r="A15" s="517" t="s">
        <v>1131</v>
      </c>
      <c r="B15" s="507" t="s">
        <v>2631</v>
      </c>
      <c r="C15" s="507"/>
      <c r="D15" s="424">
        <f>SUMIF('VLookup Data'!$A:$A,A15,'VLookup Data'!$E:$E)</f>
        <v>500</v>
      </c>
      <c r="E15" s="424">
        <v>0</v>
      </c>
      <c r="F15" s="424">
        <v>0</v>
      </c>
      <c r="G15" s="424">
        <f t="shared" si="1"/>
        <v>250</v>
      </c>
      <c r="H15" s="424">
        <f t="shared" si="0"/>
        <v>750</v>
      </c>
      <c r="I15" s="464">
        <v>500</v>
      </c>
      <c r="J15" s="440">
        <v>500</v>
      </c>
      <c r="K15" s="426"/>
      <c r="L15" s="343"/>
      <c r="P15" s="387"/>
    </row>
    <row r="16" spans="1:16">
      <c r="A16" s="517" t="s">
        <v>1133</v>
      </c>
      <c r="B16" s="507" t="s">
        <v>731</v>
      </c>
      <c r="C16" s="507"/>
      <c r="D16" s="424">
        <f>SUMIF('VLookup Data'!$A:$A,A16,'VLookup Data'!$E:$E)</f>
        <v>17000</v>
      </c>
      <c r="E16" s="424">
        <v>0</v>
      </c>
      <c r="F16" s="424">
        <v>0</v>
      </c>
      <c r="G16" s="424">
        <v>0</v>
      </c>
      <c r="H16" s="424">
        <f t="shared" si="0"/>
        <v>17000</v>
      </c>
      <c r="I16" s="464">
        <v>16750</v>
      </c>
      <c r="J16" s="440">
        <v>16750</v>
      </c>
      <c r="K16" s="426" t="s">
        <v>3183</v>
      </c>
      <c r="L16" s="343"/>
    </row>
    <row r="17" spans="1:12">
      <c r="A17" s="517" t="s">
        <v>1136</v>
      </c>
      <c r="B17" s="507" t="s">
        <v>1137</v>
      </c>
      <c r="C17" s="507"/>
      <c r="D17" s="424">
        <f>SUMIF('VLookup Data'!$A:$A,A17,'VLookup Data'!$E:$E)-1905</f>
        <v>2600</v>
      </c>
      <c r="E17" s="424">
        <v>0</v>
      </c>
      <c r="F17" s="424">
        <v>0</v>
      </c>
      <c r="G17" s="424">
        <v>0</v>
      </c>
      <c r="H17" s="424">
        <f t="shared" si="0"/>
        <v>2600</v>
      </c>
      <c r="I17" s="464">
        <v>3500</v>
      </c>
      <c r="J17" s="440">
        <v>2600</v>
      </c>
      <c r="K17" s="426" t="s">
        <v>2632</v>
      </c>
      <c r="L17" s="343"/>
    </row>
    <row r="18" spans="1:12" ht="17" thickBot="1">
      <c r="A18" s="445"/>
      <c r="B18" s="446"/>
      <c r="C18" s="446"/>
      <c r="D18" s="846">
        <f t="shared" ref="D18:J18" si="2">SUM(D12:D17)</f>
        <v>116223.15</v>
      </c>
      <c r="E18" s="846">
        <f t="shared" si="2"/>
        <v>-395</v>
      </c>
      <c r="F18" s="846">
        <f t="shared" si="2"/>
        <v>750</v>
      </c>
      <c r="G18" s="846">
        <f>SUM(G12:G17)</f>
        <v>48489.074999999997</v>
      </c>
      <c r="H18" s="846">
        <f t="shared" si="2"/>
        <v>165067.22499999998</v>
      </c>
      <c r="I18" s="846">
        <f>SUM(I12:I17)</f>
        <v>175820.63</v>
      </c>
      <c r="J18" s="841">
        <f t="shared" si="2"/>
        <v>178772.59999999998</v>
      </c>
      <c r="K18" s="432"/>
    </row>
    <row r="19" spans="1:12" ht="17" thickTop="1">
      <c r="A19" s="445"/>
      <c r="B19" s="446"/>
      <c r="C19" s="446"/>
      <c r="D19" s="445"/>
      <c r="E19" s="445"/>
      <c r="F19" s="445"/>
      <c r="G19" s="445"/>
      <c r="H19" s="445"/>
      <c r="I19" s="445"/>
      <c r="J19" s="445"/>
      <c r="K19" s="445"/>
    </row>
    <row r="20" spans="1:12">
      <c r="A20" s="445"/>
      <c r="B20" s="527" t="s">
        <v>2222</v>
      </c>
      <c r="C20" s="527"/>
      <c r="D20" s="445"/>
      <c r="E20" s="445"/>
      <c r="F20" s="445"/>
      <c r="G20" s="445"/>
      <c r="H20" s="445"/>
      <c r="I20" s="445"/>
      <c r="J20" s="445"/>
      <c r="K20" s="445"/>
    </row>
    <row r="21" spans="1:12" hidden="1">
      <c r="A21" s="517" t="s">
        <v>1156</v>
      </c>
      <c r="B21" s="507" t="s">
        <v>1157</v>
      </c>
      <c r="C21" s="507"/>
      <c r="D21" s="424">
        <f>SUMIF('VLookup Data'!$A:$A,A21,'VLookup Data'!$E:$E)</f>
        <v>0</v>
      </c>
      <c r="E21" s="424">
        <v>0</v>
      </c>
      <c r="F21" s="424">
        <v>0</v>
      </c>
      <c r="G21" s="424">
        <f t="shared" ref="G21:G46" si="3">SUM(D21:F21)/8*4</f>
        <v>0</v>
      </c>
      <c r="H21" s="424">
        <f>SUM(D21:G21)</f>
        <v>0</v>
      </c>
      <c r="I21" s="464">
        <v>0</v>
      </c>
      <c r="J21" s="440">
        <v>0</v>
      </c>
      <c r="K21" s="432"/>
    </row>
    <row r="22" spans="1:12" hidden="1">
      <c r="A22" s="517" t="s">
        <v>1158</v>
      </c>
      <c r="B22" s="507" t="s">
        <v>2633</v>
      </c>
      <c r="C22" s="507"/>
      <c r="D22" s="424">
        <f>SUMIF('VLookup Data'!$A:$A,A22,'VLookup Data'!$E:$E)</f>
        <v>0</v>
      </c>
      <c r="E22" s="424">
        <v>0</v>
      </c>
      <c r="F22" s="424">
        <v>0</v>
      </c>
      <c r="G22" s="424">
        <f t="shared" si="3"/>
        <v>0</v>
      </c>
      <c r="H22" s="424">
        <f t="shared" ref="H22:H46" si="4">SUM(D22:G22)</f>
        <v>0</v>
      </c>
      <c r="I22" s="424">
        <v>0</v>
      </c>
      <c r="J22" s="440">
        <v>0</v>
      </c>
      <c r="K22" s="432"/>
    </row>
    <row r="23" spans="1:12">
      <c r="A23" s="517" t="s">
        <v>1159</v>
      </c>
      <c r="B23" s="507" t="s">
        <v>1160</v>
      </c>
      <c r="C23" s="507"/>
      <c r="D23" s="426">
        <f>SUMIF('VLookup Data'!$A:$A,A23,'VLookup Data'!$E:$E)</f>
        <v>1447.55</v>
      </c>
      <c r="E23" s="426">
        <v>0</v>
      </c>
      <c r="F23" s="426">
        <v>0</v>
      </c>
      <c r="G23" s="426">
        <f t="shared" si="3"/>
        <v>723.77499999999998</v>
      </c>
      <c r="H23" s="426">
        <f t="shared" si="4"/>
        <v>2171.3249999999998</v>
      </c>
      <c r="I23" s="426">
        <v>2400</v>
      </c>
      <c r="J23" s="432">
        <v>2400</v>
      </c>
      <c r="K23" s="432"/>
    </row>
    <row r="24" spans="1:12">
      <c r="A24" s="517" t="s">
        <v>1163</v>
      </c>
      <c r="B24" s="507" t="s">
        <v>1164</v>
      </c>
      <c r="C24" s="507"/>
      <c r="D24" s="424">
        <f>SUMIF('VLookup Data'!$A:$A,A24,'VLookup Data'!$E:$E)</f>
        <v>436.3</v>
      </c>
      <c r="E24" s="424">
        <f>-14.9-14.9</f>
        <v>-29.8</v>
      </c>
      <c r="F24" s="424">
        <v>0</v>
      </c>
      <c r="G24" s="424">
        <f t="shared" si="3"/>
        <v>203.25</v>
      </c>
      <c r="H24" s="424">
        <f t="shared" si="4"/>
        <v>609.75</v>
      </c>
      <c r="I24" s="464">
        <v>275</v>
      </c>
      <c r="J24" s="440">
        <v>275</v>
      </c>
      <c r="K24" s="432"/>
    </row>
    <row r="25" spans="1:12">
      <c r="A25" s="517" t="s">
        <v>1174</v>
      </c>
      <c r="B25" s="507" t="s">
        <v>1175</v>
      </c>
      <c r="C25" s="507"/>
      <c r="D25" s="424">
        <f>SUMIF('VLookup Data'!$A:$A,A25,'VLookup Data'!$E:$E)</f>
        <v>400</v>
      </c>
      <c r="E25" s="424">
        <v>0</v>
      </c>
      <c r="F25" s="424">
        <v>0</v>
      </c>
      <c r="G25" s="424">
        <f t="shared" si="3"/>
        <v>200</v>
      </c>
      <c r="H25" s="424">
        <f t="shared" si="4"/>
        <v>600</v>
      </c>
      <c r="I25" s="464">
        <v>1000</v>
      </c>
      <c r="J25" s="440">
        <v>1000</v>
      </c>
      <c r="K25" s="426" t="s">
        <v>2634</v>
      </c>
    </row>
    <row r="26" spans="1:12">
      <c r="A26" s="517" t="s">
        <v>1180</v>
      </c>
      <c r="B26" s="507" t="s">
        <v>1181</v>
      </c>
      <c r="C26" s="507"/>
      <c r="D26" s="424">
        <f>SUMIF('VLookup Data'!$A:$A,A26,'VLookup Data'!$E:$E)</f>
        <v>6353.92</v>
      </c>
      <c r="E26" s="424">
        <v>-87.87</v>
      </c>
      <c r="F26" s="424">
        <v>0</v>
      </c>
      <c r="G26" s="424">
        <f t="shared" si="3"/>
        <v>3133.0250000000001</v>
      </c>
      <c r="H26" s="424">
        <f t="shared" si="4"/>
        <v>9399.0750000000007</v>
      </c>
      <c r="I26" s="464">
        <v>8800</v>
      </c>
      <c r="J26" s="440">
        <v>9400</v>
      </c>
      <c r="K26" s="426" t="s">
        <v>2635</v>
      </c>
      <c r="L26" s="343"/>
    </row>
    <row r="27" spans="1:12">
      <c r="A27" s="517" t="s">
        <v>1182</v>
      </c>
      <c r="B27" s="507" t="s">
        <v>1183</v>
      </c>
      <c r="C27" s="507"/>
      <c r="D27" s="424">
        <f>SUMIF('VLookup Data'!$A:$A,A27,'VLookup Data'!$E:$E)</f>
        <v>2014.3</v>
      </c>
      <c r="E27" s="424">
        <v>0</v>
      </c>
      <c r="F27" s="424">
        <v>0</v>
      </c>
      <c r="G27" s="424">
        <f t="shared" si="3"/>
        <v>1007.15</v>
      </c>
      <c r="H27" s="424">
        <f t="shared" si="4"/>
        <v>3021.45</v>
      </c>
      <c r="I27" s="464">
        <v>4000</v>
      </c>
      <c r="J27" s="440">
        <v>3500</v>
      </c>
      <c r="K27" s="432"/>
    </row>
    <row r="28" spans="1:12">
      <c r="A28" s="517" t="s">
        <v>1186</v>
      </c>
      <c r="B28" s="507" t="s">
        <v>1187</v>
      </c>
      <c r="C28" s="507"/>
      <c r="D28" s="424">
        <f>SUMIF('VLookup Data'!$A:$A,A28,'VLookup Data'!$E:$E)</f>
        <v>17328.560000000001</v>
      </c>
      <c r="E28" s="424">
        <v>0</v>
      </c>
      <c r="F28" s="424">
        <v>0</v>
      </c>
      <c r="G28" s="424">
        <f>467.25*4</f>
        <v>1869</v>
      </c>
      <c r="H28" s="424">
        <f t="shared" si="4"/>
        <v>19197.560000000001</v>
      </c>
      <c r="I28" s="464">
        <v>16000</v>
      </c>
      <c r="J28" s="440">
        <v>20000</v>
      </c>
      <c r="K28" s="426" t="s">
        <v>3184</v>
      </c>
      <c r="L28" s="343"/>
    </row>
    <row r="29" spans="1:12">
      <c r="A29" s="517" t="s">
        <v>1188</v>
      </c>
      <c r="B29" s="507" t="s">
        <v>3185</v>
      </c>
      <c r="C29" s="507"/>
      <c r="D29" s="424">
        <f>SUMIF('VLookup Data'!$A:$A,A29,'VLookup Data'!$E:$E)</f>
        <v>0</v>
      </c>
      <c r="E29" s="424">
        <v>0</v>
      </c>
      <c r="F29" s="424">
        <v>0</v>
      </c>
      <c r="G29" s="424">
        <v>1500</v>
      </c>
      <c r="H29" s="424">
        <f t="shared" si="4"/>
        <v>1500</v>
      </c>
      <c r="I29" s="424">
        <v>1500</v>
      </c>
      <c r="J29" s="440">
        <v>1500</v>
      </c>
      <c r="K29" s="426" t="s">
        <v>2636</v>
      </c>
      <c r="L29" s="343"/>
    </row>
    <row r="30" spans="1:12">
      <c r="A30" s="517" t="s">
        <v>1192</v>
      </c>
      <c r="B30" s="507" t="s">
        <v>1193</v>
      </c>
      <c r="C30" s="507"/>
      <c r="D30" s="424">
        <f>SUMIF('VLookup Data'!$A:$A,A30,'VLookup Data'!$E:$E)+2120</f>
        <v>6359.1</v>
      </c>
      <c r="E30" s="424">
        <v>0</v>
      </c>
      <c r="F30" s="424">
        <v>0</v>
      </c>
      <c r="G30" s="424">
        <v>0</v>
      </c>
      <c r="H30" s="424">
        <f t="shared" si="4"/>
        <v>6359.1</v>
      </c>
      <c r="I30" s="464">
        <v>6000</v>
      </c>
      <c r="J30" s="440">
        <v>6000</v>
      </c>
      <c r="K30" s="457" t="s">
        <v>2637</v>
      </c>
    </row>
    <row r="31" spans="1:12">
      <c r="A31" s="517" t="s">
        <v>1194</v>
      </c>
      <c r="B31" s="507" t="s">
        <v>639</v>
      </c>
      <c r="C31" s="507"/>
      <c r="D31" s="424">
        <f>SUMIF('VLookup Data'!$A:$A,A31,'VLookup Data'!$E:$E)+1905</f>
        <v>4965</v>
      </c>
      <c r="E31" s="424">
        <v>0</v>
      </c>
      <c r="F31" s="424">
        <v>0</v>
      </c>
      <c r="G31" s="424">
        <v>0</v>
      </c>
      <c r="H31" s="424">
        <f t="shared" si="4"/>
        <v>4965</v>
      </c>
      <c r="I31" s="464">
        <v>11125</v>
      </c>
      <c r="J31" s="440">
        <v>5000</v>
      </c>
      <c r="K31" s="432"/>
    </row>
    <row r="32" spans="1:12">
      <c r="A32" s="517" t="s">
        <v>1197</v>
      </c>
      <c r="B32" s="507" t="s">
        <v>1198</v>
      </c>
      <c r="C32" s="507"/>
      <c r="D32" s="424">
        <f>SUMIF('VLookup Data'!$A:$A,A32,'VLookup Data'!$E:$E)</f>
        <v>690</v>
      </c>
      <c r="E32" s="424">
        <v>0</v>
      </c>
      <c r="F32" s="424">
        <v>0</v>
      </c>
      <c r="G32" s="424">
        <f t="shared" si="3"/>
        <v>345</v>
      </c>
      <c r="H32" s="424">
        <f t="shared" si="4"/>
        <v>1035</v>
      </c>
      <c r="I32" s="464">
        <v>1000</v>
      </c>
      <c r="J32" s="440">
        <v>1100</v>
      </c>
      <c r="K32" s="426" t="s">
        <v>3190</v>
      </c>
    </row>
    <row r="33" spans="1:14">
      <c r="A33" s="517" t="s">
        <v>1199</v>
      </c>
      <c r="B33" s="507" t="s">
        <v>1200</v>
      </c>
      <c r="C33" s="507"/>
      <c r="D33" s="424">
        <f>SUMIF('VLookup Data'!$A:$A,A33,'VLookup Data'!$E:$E)</f>
        <v>0</v>
      </c>
      <c r="E33" s="424">
        <v>0</v>
      </c>
      <c r="F33" s="424">
        <v>0</v>
      </c>
      <c r="G33" s="424">
        <v>1000</v>
      </c>
      <c r="H33" s="424">
        <f t="shared" si="4"/>
        <v>1000</v>
      </c>
      <c r="I33" s="464">
        <v>1000</v>
      </c>
      <c r="J33" s="440">
        <v>1000</v>
      </c>
      <c r="K33" s="426" t="s">
        <v>2638</v>
      </c>
    </row>
    <row r="34" spans="1:14" hidden="1">
      <c r="A34" s="517" t="s">
        <v>1201</v>
      </c>
      <c r="B34" s="507" t="s">
        <v>1202</v>
      </c>
      <c r="C34" s="507"/>
      <c r="D34" s="424">
        <f>SUMIF('VLookup Data'!$A:$A,A34,'VLookup Data'!$E:$E)</f>
        <v>0</v>
      </c>
      <c r="E34" s="424">
        <v>0</v>
      </c>
      <c r="F34" s="424">
        <v>0</v>
      </c>
      <c r="G34" s="424">
        <f t="shared" si="3"/>
        <v>0</v>
      </c>
      <c r="H34" s="424">
        <f t="shared" si="4"/>
        <v>0</v>
      </c>
      <c r="I34" s="464">
        <v>0</v>
      </c>
      <c r="J34" s="440">
        <v>0</v>
      </c>
      <c r="K34" s="432"/>
    </row>
    <row r="35" spans="1:14">
      <c r="A35" s="517" t="s">
        <v>1203</v>
      </c>
      <c r="B35" s="507" t="s">
        <v>1204</v>
      </c>
      <c r="C35" s="507"/>
      <c r="D35" s="424">
        <f>SUMIF('VLookup Data'!$A:$A,A35,'VLookup Data'!$E:$E)</f>
        <v>0</v>
      </c>
      <c r="E35" s="424">
        <v>0</v>
      </c>
      <c r="F35" s="424">
        <v>0</v>
      </c>
      <c r="G35" s="424">
        <v>1200</v>
      </c>
      <c r="H35" s="424">
        <f t="shared" si="4"/>
        <v>1200</v>
      </c>
      <c r="I35" s="464">
        <v>1200</v>
      </c>
      <c r="J35" s="440">
        <v>1200</v>
      </c>
      <c r="K35" s="426" t="s">
        <v>2639</v>
      </c>
    </row>
    <row r="36" spans="1:14" hidden="1">
      <c r="A36" s="517" t="s">
        <v>1205</v>
      </c>
      <c r="B36" s="507" t="s">
        <v>2640</v>
      </c>
      <c r="C36" s="507"/>
      <c r="D36" s="424">
        <f>SUMIF('VLookup Data'!$A:$A,A36,'VLookup Data'!$E:$E)</f>
        <v>0</v>
      </c>
      <c r="E36" s="424">
        <v>0</v>
      </c>
      <c r="F36" s="424">
        <v>0</v>
      </c>
      <c r="G36" s="424">
        <f t="shared" si="3"/>
        <v>0</v>
      </c>
      <c r="H36" s="424">
        <f t="shared" si="4"/>
        <v>0</v>
      </c>
      <c r="I36" s="464">
        <v>0</v>
      </c>
      <c r="J36" s="440">
        <v>0</v>
      </c>
      <c r="K36" s="432"/>
    </row>
    <row r="37" spans="1:14" hidden="1">
      <c r="A37" s="517" t="s">
        <v>1207</v>
      </c>
      <c r="B37" s="507" t="s">
        <v>1208</v>
      </c>
      <c r="C37" s="507"/>
      <c r="D37" s="424">
        <f>SUMIF('VLookup Data'!$A:$A,A37,'VLookup Data'!$E:$E)</f>
        <v>0</v>
      </c>
      <c r="E37" s="424">
        <v>0</v>
      </c>
      <c r="F37" s="424">
        <v>0</v>
      </c>
      <c r="G37" s="424">
        <f t="shared" si="3"/>
        <v>0</v>
      </c>
      <c r="H37" s="424">
        <f t="shared" si="4"/>
        <v>0</v>
      </c>
      <c r="I37" s="464">
        <v>0</v>
      </c>
      <c r="J37" s="440">
        <v>0</v>
      </c>
      <c r="K37" s="432"/>
    </row>
    <row r="38" spans="1:14">
      <c r="A38" s="517" t="s">
        <v>1221</v>
      </c>
      <c r="B38" s="507" t="s">
        <v>1222</v>
      </c>
      <c r="C38" s="507"/>
      <c r="D38" s="424">
        <f>SUMIF('VLookup Data'!$A:$A,A38,'VLookup Data'!$E:$E)</f>
        <v>2585.9</v>
      </c>
      <c r="E38" s="424">
        <f>-408.3-326.64</f>
        <v>-734.94</v>
      </c>
      <c r="F38" s="424">
        <f>435.52</f>
        <v>435.52</v>
      </c>
      <c r="G38" s="424">
        <f t="shared" si="3"/>
        <v>1143.24</v>
      </c>
      <c r="H38" s="424">
        <f t="shared" si="4"/>
        <v>3429.7200000000003</v>
      </c>
      <c r="I38" s="464">
        <v>4500</v>
      </c>
      <c r="J38" s="440">
        <v>4500</v>
      </c>
      <c r="K38" s="426" t="s">
        <v>2641</v>
      </c>
    </row>
    <row r="39" spans="1:14">
      <c r="A39" s="517" t="s">
        <v>1223</v>
      </c>
      <c r="B39" s="507" t="s">
        <v>1224</v>
      </c>
      <c r="C39" s="507"/>
      <c r="D39" s="424">
        <f>SUMIF('VLookup Data'!$A:$A,A39,'VLookup Data'!$E:$E)</f>
        <v>0</v>
      </c>
      <c r="E39" s="424">
        <v>0</v>
      </c>
      <c r="F39" s="424">
        <v>0</v>
      </c>
      <c r="G39" s="424">
        <f t="shared" si="3"/>
        <v>0</v>
      </c>
      <c r="H39" s="424">
        <f t="shared" si="4"/>
        <v>0</v>
      </c>
      <c r="I39" s="464">
        <v>500</v>
      </c>
      <c r="J39" s="440">
        <v>500</v>
      </c>
      <c r="K39" s="432"/>
    </row>
    <row r="40" spans="1:14">
      <c r="A40" s="517" t="s">
        <v>1229</v>
      </c>
      <c r="B40" s="507" t="s">
        <v>1230</v>
      </c>
      <c r="C40" s="507"/>
      <c r="D40" s="424">
        <f>SUMIF('VLookup Data'!$A:$A,A40,'VLookup Data'!$E:$E)</f>
        <v>0</v>
      </c>
      <c r="E40" s="424">
        <v>0</v>
      </c>
      <c r="F40" s="424">
        <v>0</v>
      </c>
      <c r="G40" s="424">
        <f t="shared" si="3"/>
        <v>0</v>
      </c>
      <c r="H40" s="424">
        <f t="shared" si="4"/>
        <v>0</v>
      </c>
      <c r="I40" s="464">
        <v>500</v>
      </c>
      <c r="J40" s="440">
        <v>500</v>
      </c>
      <c r="K40" s="432"/>
    </row>
    <row r="41" spans="1:14">
      <c r="A41" s="517" t="s">
        <v>1236</v>
      </c>
      <c r="B41" s="507" t="s">
        <v>3186</v>
      </c>
      <c r="C41" s="507"/>
      <c r="D41" s="424">
        <f>SUMIF('VLookup Data'!$A:$A,A41,'VLookup Data'!$E:$E)</f>
        <v>4965</v>
      </c>
      <c r="E41" s="424">
        <v>0</v>
      </c>
      <c r="F41" s="424">
        <v>0</v>
      </c>
      <c r="G41" s="424">
        <v>0</v>
      </c>
      <c r="H41" s="424">
        <f t="shared" si="4"/>
        <v>4965</v>
      </c>
      <c r="I41" s="464">
        <v>4965</v>
      </c>
      <c r="J41" s="440">
        <v>4965</v>
      </c>
      <c r="K41" s="432"/>
    </row>
    <row r="42" spans="1:14">
      <c r="A42" s="517" t="s">
        <v>1238</v>
      </c>
      <c r="B42" s="507" t="s">
        <v>2642</v>
      </c>
      <c r="C42" s="507"/>
      <c r="D42" s="424">
        <f>SUMIF('VLookup Data'!$A:$A,A42,'VLookup Data'!$E:$E)</f>
        <v>7584</v>
      </c>
      <c r="E42" s="424">
        <v>0</v>
      </c>
      <c r="F42" s="424">
        <v>0</v>
      </c>
      <c r="G42" s="424">
        <v>0</v>
      </c>
      <c r="H42" s="424">
        <f t="shared" si="4"/>
        <v>7584</v>
      </c>
      <c r="I42" s="464">
        <v>7560</v>
      </c>
      <c r="J42" s="440">
        <v>7560</v>
      </c>
      <c r="K42" s="457"/>
    </row>
    <row r="43" spans="1:14">
      <c r="A43" s="517" t="s">
        <v>1240</v>
      </c>
      <c r="B43" s="507" t="s">
        <v>2643</v>
      </c>
      <c r="C43" s="507"/>
      <c r="D43" s="424">
        <f>SUMIF('VLookup Data'!$A:$A,A43,'VLookup Data'!$E:$E)</f>
        <v>1575</v>
      </c>
      <c r="E43" s="424">
        <v>0</v>
      </c>
      <c r="F43" s="424">
        <v>0</v>
      </c>
      <c r="G43" s="424">
        <v>0</v>
      </c>
      <c r="H43" s="424">
        <f t="shared" si="4"/>
        <v>1575</v>
      </c>
      <c r="I43" s="464">
        <v>1575</v>
      </c>
      <c r="J43" s="440">
        <v>1575</v>
      </c>
      <c r="L43" s="432"/>
      <c r="N43" s="343"/>
    </row>
    <row r="44" spans="1:14">
      <c r="A44" s="517" t="s">
        <v>1243</v>
      </c>
      <c r="B44" s="507" t="s">
        <v>713</v>
      </c>
      <c r="C44" s="507"/>
      <c r="D44" s="424">
        <f>SUMIF('VLookup Data'!$A:$A,A44,'VLookup Data'!$E:$E)</f>
        <v>125</v>
      </c>
      <c r="E44" s="424">
        <v>0</v>
      </c>
      <c r="F44" s="424">
        <v>0</v>
      </c>
      <c r="G44" s="424">
        <f t="shared" si="3"/>
        <v>62.5</v>
      </c>
      <c r="H44" s="424">
        <f t="shared" si="4"/>
        <v>187.5</v>
      </c>
      <c r="I44" s="464">
        <v>500</v>
      </c>
      <c r="J44" s="440">
        <v>500</v>
      </c>
      <c r="K44" s="432"/>
    </row>
    <row r="45" spans="1:14">
      <c r="A45" s="517" t="s">
        <v>1248</v>
      </c>
      <c r="B45" s="507" t="s">
        <v>1249</v>
      </c>
      <c r="C45" s="507"/>
      <c r="D45" s="424">
        <f>SUMIF('VLookup Data'!$A:$A,A45,'VLookup Data'!$E:$E)</f>
        <v>880.83</v>
      </c>
      <c r="E45" s="424">
        <v>0</v>
      </c>
      <c r="F45" s="424">
        <v>0</v>
      </c>
      <c r="G45" s="424">
        <f t="shared" si="3"/>
        <v>440.41500000000002</v>
      </c>
      <c r="H45" s="424">
        <f t="shared" si="4"/>
        <v>1321.2450000000001</v>
      </c>
      <c r="I45" s="464">
        <v>1300</v>
      </c>
      <c r="J45" s="440">
        <v>1300</v>
      </c>
      <c r="K45" s="457"/>
    </row>
    <row r="46" spans="1:14">
      <c r="A46" s="517" t="s">
        <v>1268</v>
      </c>
      <c r="B46" s="507" t="s">
        <v>2644</v>
      </c>
      <c r="C46" s="507" t="s">
        <v>2206</v>
      </c>
      <c r="D46" s="424">
        <f>SUMIF('VLookup Data'!$A:$A,A46,'VLookup Data'!$E:$E)</f>
        <v>3547.09</v>
      </c>
      <c r="E46" s="424">
        <v>-252.84</v>
      </c>
      <c r="F46" s="424">
        <v>0</v>
      </c>
      <c r="G46" s="424">
        <f t="shared" si="3"/>
        <v>1647.125</v>
      </c>
      <c r="H46" s="424">
        <f t="shared" si="4"/>
        <v>4941.375</v>
      </c>
      <c r="I46" s="464">
        <v>1200</v>
      </c>
      <c r="J46" s="440">
        <f>1200+(315*40)</f>
        <v>13800</v>
      </c>
      <c r="K46" s="457" t="s">
        <v>2645</v>
      </c>
    </row>
    <row r="47" spans="1:14" ht="17" thickBot="1">
      <c r="A47" s="446"/>
      <c r="B47" s="446"/>
      <c r="C47" s="446"/>
      <c r="D47" s="846">
        <f t="shared" ref="D47:J47" si="5">SUM(D21:D46)</f>
        <v>61257.55</v>
      </c>
      <c r="E47" s="846">
        <f t="shared" si="5"/>
        <v>-1105.45</v>
      </c>
      <c r="F47" s="846">
        <f t="shared" si="5"/>
        <v>435.52</v>
      </c>
      <c r="G47" s="846">
        <f t="shared" si="5"/>
        <v>14474.480000000001</v>
      </c>
      <c r="H47" s="846">
        <f t="shared" si="5"/>
        <v>75062.100000000006</v>
      </c>
      <c r="I47" s="846">
        <f t="shared" si="5"/>
        <v>76900</v>
      </c>
      <c r="J47" s="841">
        <f t="shared" si="5"/>
        <v>87575</v>
      </c>
      <c r="K47" s="432" t="s">
        <v>3191</v>
      </c>
    </row>
    <row r="48" spans="1:14" ht="17" thickTop="1"/>
    <row r="49" spans="1:11">
      <c r="B49" s="467" t="s">
        <v>2217</v>
      </c>
      <c r="C49" s="467"/>
    </row>
    <row r="50" spans="1:11">
      <c r="A50" s="517" t="s">
        <v>1068</v>
      </c>
      <c r="B50" s="507" t="s">
        <v>1069</v>
      </c>
      <c r="C50" s="507"/>
      <c r="D50" s="426">
        <f>SUMIF('VLookup Data'!$A:$A,A50,'VLookup Data'!$E:$E)</f>
        <v>466099.93</v>
      </c>
      <c r="E50" s="426">
        <v>0</v>
      </c>
      <c r="F50" s="426">
        <v>0</v>
      </c>
      <c r="G50" s="426">
        <v>0</v>
      </c>
      <c r="H50" s="426">
        <f>SUM(D50:G50)</f>
        <v>466099.93</v>
      </c>
      <c r="I50" s="426">
        <v>425307.23200000002</v>
      </c>
      <c r="J50" s="432">
        <f>+' Insurance-Sched(No PDF)'!G8</f>
        <v>536014.91949999996</v>
      </c>
      <c r="K50" s="426"/>
    </row>
    <row r="51" spans="1:11">
      <c r="A51" s="517" t="s">
        <v>1070</v>
      </c>
      <c r="B51" s="507" t="s">
        <v>1071</v>
      </c>
      <c r="C51" s="507"/>
      <c r="D51" s="424">
        <f>SUMIF('VLookup Data'!$A:$A,A51,'VLookup Data'!$E:$E)</f>
        <v>14362.32</v>
      </c>
      <c r="E51" s="424">
        <v>0</v>
      </c>
      <c r="F51" s="424">
        <v>0</v>
      </c>
      <c r="G51" s="424">
        <v>0</v>
      </c>
      <c r="H51" s="424">
        <f>SUM(D51:G51)</f>
        <v>14362.32</v>
      </c>
      <c r="I51" s="424">
        <v>0</v>
      </c>
      <c r="J51" s="440">
        <f>' Insurance-Sched(No PDF)'!G29</f>
        <v>16516.667999999998</v>
      </c>
      <c r="K51" s="426"/>
    </row>
    <row r="52" spans="1:11">
      <c r="A52" s="517" t="s">
        <v>1074</v>
      </c>
      <c r="B52" s="507" t="s">
        <v>1075</v>
      </c>
      <c r="C52" s="507"/>
      <c r="D52" s="424">
        <f>SUMIF('VLookup Data'!$A:$A,A52,'VLookup Data'!$E:$E)</f>
        <v>63148.82</v>
      </c>
      <c r="E52" s="424">
        <v>0</v>
      </c>
      <c r="F52" s="424">
        <v>0</v>
      </c>
      <c r="G52" s="424">
        <v>0</v>
      </c>
      <c r="H52" s="424">
        <f t="shared" ref="H52:H56" si="6">SUM(D52:G52)</f>
        <v>63148.82</v>
      </c>
      <c r="I52" s="424">
        <v>55059.199999999997</v>
      </c>
      <c r="J52" s="440">
        <f>+' Insurance-Sched(No PDF)'!G10</f>
        <v>72621.142999999996</v>
      </c>
      <c r="K52" s="424"/>
    </row>
    <row r="53" spans="1:11">
      <c r="A53" s="517" t="s">
        <v>1076</v>
      </c>
      <c r="B53" s="507" t="s">
        <v>1077</v>
      </c>
      <c r="C53" s="507"/>
      <c r="D53" s="424">
        <f>SUMIF('VLookup Data'!$A:$A,A53,'VLookup Data'!$E:$E)</f>
        <v>12812</v>
      </c>
      <c r="E53" s="424">
        <v>0</v>
      </c>
      <c r="F53" s="424">
        <v>0</v>
      </c>
      <c r="G53" s="424">
        <v>0</v>
      </c>
      <c r="H53" s="424">
        <f t="shared" si="6"/>
        <v>12812</v>
      </c>
      <c r="I53" s="424">
        <v>15752.8</v>
      </c>
      <c r="J53" s="440">
        <f>+' Insurance-Sched(No PDF)'!G11</f>
        <v>14733.8</v>
      </c>
      <c r="K53" s="424"/>
    </row>
    <row r="54" spans="1:11">
      <c r="A54" s="517" t="s">
        <v>1078</v>
      </c>
      <c r="B54" s="507" t="s">
        <v>1079</v>
      </c>
      <c r="C54" s="507"/>
      <c r="D54" s="424">
        <f>SUMIF('VLookup Data'!$A:$A,A54,'VLookup Data'!$E:$E)</f>
        <v>1471</v>
      </c>
      <c r="E54" s="424">
        <v>0</v>
      </c>
      <c r="F54" s="424">
        <v>0</v>
      </c>
      <c r="G54" s="424">
        <v>0</v>
      </c>
      <c r="H54" s="424">
        <f t="shared" si="6"/>
        <v>1471</v>
      </c>
      <c r="I54" s="424">
        <v>1834</v>
      </c>
      <c r="J54" s="440">
        <f>+' Insurance-Sched(No PDF)'!G12</f>
        <v>1691.65</v>
      </c>
      <c r="K54" s="424"/>
    </row>
    <row r="55" spans="1:11">
      <c r="A55" s="517" t="s">
        <v>1082</v>
      </c>
      <c r="B55" s="507" t="s">
        <v>1083</v>
      </c>
      <c r="C55" s="507"/>
      <c r="D55" s="424">
        <f>SUMIF('VLookup Data'!$A:$A,A55,'VLookup Data'!$E:$E)</f>
        <v>0</v>
      </c>
      <c r="E55" s="424">
        <v>0</v>
      </c>
      <c r="F55" s="424">
        <v>0</v>
      </c>
      <c r="G55" s="424">
        <f t="shared" ref="G55:G56" si="7">SUM(D55:F55)/8*4</f>
        <v>0</v>
      </c>
      <c r="H55" s="424">
        <f t="shared" si="6"/>
        <v>0</v>
      </c>
      <c r="I55" s="424">
        <v>273.05599999999998</v>
      </c>
      <c r="J55" s="440">
        <f>+' Insurance-Sched(No PDF)'!G13</f>
        <v>0</v>
      </c>
      <c r="K55" s="424"/>
    </row>
    <row r="56" spans="1:11">
      <c r="A56" s="517" t="s">
        <v>1090</v>
      </c>
      <c r="B56" s="507" t="s">
        <v>1091</v>
      </c>
      <c r="C56" s="507"/>
      <c r="D56" s="424">
        <f>SUMIF('VLookup Data'!$A:$A,A56,'VLookup Data'!$E:$E)</f>
        <v>0</v>
      </c>
      <c r="E56" s="424">
        <v>0</v>
      </c>
      <c r="F56" s="424">
        <v>0</v>
      </c>
      <c r="G56" s="424">
        <f t="shared" si="7"/>
        <v>0</v>
      </c>
      <c r="H56" s="424">
        <f t="shared" si="6"/>
        <v>0</v>
      </c>
      <c r="I56" s="424">
        <v>3000</v>
      </c>
      <c r="J56" s="440">
        <f>+' Insurance-Sched(No PDF)'!G14</f>
        <v>0</v>
      </c>
      <c r="K56" s="424"/>
    </row>
    <row r="57" spans="1:11" ht="17" thickBot="1">
      <c r="A57" s="294"/>
      <c r="B57" s="294"/>
      <c r="C57" s="294"/>
      <c r="D57" s="849">
        <f>SUM(D50:D56)</f>
        <v>557894.06999999995</v>
      </c>
      <c r="E57" s="849">
        <f t="shared" ref="E57:J57" si="8">SUM(E50:E56)</f>
        <v>0</v>
      </c>
      <c r="F57" s="849">
        <f t="shared" si="8"/>
        <v>0</v>
      </c>
      <c r="G57" s="849">
        <f t="shared" si="8"/>
        <v>0</v>
      </c>
      <c r="H57" s="849">
        <f t="shared" si="8"/>
        <v>557894.06999999995</v>
      </c>
      <c r="I57" s="849">
        <f>SUM(I50:I56)</f>
        <v>501226.288</v>
      </c>
      <c r="J57" s="841">
        <f t="shared" si="8"/>
        <v>641578.18050000002</v>
      </c>
      <c r="K57" s="457"/>
    </row>
    <row r="58" spans="1:11" ht="17" thickTop="1">
      <c r="J58" s="3"/>
    </row>
    <row r="59" spans="1:11">
      <c r="B59" s="467" t="s">
        <v>2646</v>
      </c>
      <c r="C59" s="467"/>
      <c r="J59" s="3"/>
    </row>
    <row r="60" spans="1:11">
      <c r="A60" s="517" t="s">
        <v>1097</v>
      </c>
      <c r="B60" s="507" t="s">
        <v>2647</v>
      </c>
      <c r="C60" s="507"/>
      <c r="D60" s="426">
        <f>SUMIF('VLookup Data'!$A:$A,A60,'VLookup Data'!$E:$E)</f>
        <v>19550</v>
      </c>
      <c r="E60" s="426">
        <v>0</v>
      </c>
      <c r="F60" s="426">
        <v>0</v>
      </c>
      <c r="G60" s="426">
        <f>123+81+5460</f>
        <v>5664</v>
      </c>
      <c r="H60" s="426">
        <f>SUM(D60:G60)</f>
        <v>25214</v>
      </c>
      <c r="I60" s="426">
        <v>27300</v>
      </c>
      <c r="J60" s="432">
        <f>20000+4500</f>
        <v>24500</v>
      </c>
      <c r="K60" s="343" t="s">
        <v>3152</v>
      </c>
    </row>
    <row r="61" spans="1:11" ht="17" thickBot="1">
      <c r="D61" s="849">
        <f>SUM(D60)</f>
        <v>19550</v>
      </c>
      <c r="E61" s="849">
        <f t="shared" ref="E61:J61" si="9">SUM(E60)</f>
        <v>0</v>
      </c>
      <c r="F61" s="849">
        <f t="shared" si="9"/>
        <v>0</v>
      </c>
      <c r="G61" s="849">
        <f t="shared" si="9"/>
        <v>5664</v>
      </c>
      <c r="H61" s="849">
        <f t="shared" si="9"/>
        <v>25214</v>
      </c>
      <c r="I61" s="849">
        <f>SUM(I60)</f>
        <v>27300</v>
      </c>
      <c r="J61" s="841">
        <f t="shared" si="9"/>
        <v>24500</v>
      </c>
      <c r="K61" s="457"/>
    </row>
    <row r="62" spans="1:11" ht="17" thickTop="1">
      <c r="J62" s="3"/>
    </row>
    <row r="63" spans="1:11">
      <c r="B63" s="467" t="s">
        <v>2648</v>
      </c>
      <c r="C63" s="467"/>
      <c r="J63" s="3"/>
    </row>
    <row r="64" spans="1:11">
      <c r="A64" s="517" t="s">
        <v>1274</v>
      </c>
      <c r="B64" s="507" t="s">
        <v>3194</v>
      </c>
      <c r="C64" s="507" t="s">
        <v>2208</v>
      </c>
      <c r="D64" s="426">
        <f>SUMIF('VLookup Data'!$A:$A,A64,'VLookup Data'!$E:$E)</f>
        <v>382336.38</v>
      </c>
      <c r="E64" s="371">
        <v>0</v>
      </c>
      <c r="F64" s="371">
        <v>0</v>
      </c>
      <c r="G64" s="426">
        <f>SUM(D64:F64)/8*4</f>
        <v>191168.19</v>
      </c>
      <c r="H64" s="529">
        <f>SUM(D64:G64)</f>
        <v>573504.57000000007</v>
      </c>
      <c r="I64" s="529">
        <v>572950.63384108827</v>
      </c>
      <c r="J64" s="432">
        <f>SUM('Mortgage Info and Amort(NO PDF)'!G20:G31)</f>
        <v>564717.03057112056</v>
      </c>
      <c r="K64" s="375"/>
    </row>
    <row r="65" spans="1:11">
      <c r="A65" s="517" t="s">
        <v>323</v>
      </c>
      <c r="B65" s="507" t="s">
        <v>3195</v>
      </c>
      <c r="C65" s="507" t="s">
        <v>2208</v>
      </c>
      <c r="D65" s="424">
        <f>SUMIF('VLookup Data'!$A:$A,A65,'VLookup Data'!$E:$E)</f>
        <v>135585.94</v>
      </c>
      <c r="E65" s="424">
        <v>0</v>
      </c>
      <c r="F65" s="424">
        <v>0</v>
      </c>
      <c r="G65" s="424">
        <f t="shared" ref="G65:G66" si="10">SUM(D65:F65)/8*4</f>
        <v>67792.97</v>
      </c>
      <c r="H65" s="424">
        <f>SUM(D65:G65)</f>
        <v>203378.91</v>
      </c>
      <c r="I65" s="424">
        <v>203932.84615891177</v>
      </c>
      <c r="J65" s="440">
        <f>SUM('Mortgage Info and Amort(NO PDF)'!F20:F31)</f>
        <v>212166.44942887954</v>
      </c>
      <c r="K65" s="424"/>
    </row>
    <row r="66" spans="1:11">
      <c r="A66" s="517" t="s">
        <v>1302</v>
      </c>
      <c r="B66" s="507" t="s">
        <v>3193</v>
      </c>
      <c r="C66" s="507" t="s">
        <v>2208</v>
      </c>
      <c r="D66" s="424">
        <f>SUMIF('VLookup Data'!$A:$A,A66,'VLookup Data'!$E:$E)</f>
        <v>1250</v>
      </c>
      <c r="E66" s="424">
        <v>0</v>
      </c>
      <c r="F66" s="424">
        <v>0</v>
      </c>
      <c r="G66" s="424">
        <f t="shared" si="10"/>
        <v>625</v>
      </c>
      <c r="H66" s="424">
        <f>SUM(D66:G66)</f>
        <v>1875</v>
      </c>
      <c r="I66" s="424">
        <v>1250</v>
      </c>
      <c r="J66" s="440">
        <v>1250</v>
      </c>
      <c r="K66" s="424" t="s">
        <v>2649</v>
      </c>
    </row>
    <row r="67" spans="1:11">
      <c r="A67" s="517" t="s">
        <v>1284</v>
      </c>
      <c r="B67" s="507" t="s">
        <v>1285</v>
      </c>
      <c r="C67" s="507" t="s">
        <v>2231</v>
      </c>
      <c r="D67" s="424">
        <f>SUMIF('VLookup Data'!$A:$A,A67,'VLookup Data'!$E:$E)</f>
        <v>74857.759999999995</v>
      </c>
      <c r="E67" s="424">
        <v>0</v>
      </c>
      <c r="F67" s="424">
        <v>0</v>
      </c>
      <c r="G67" s="424">
        <f>9357.22*4</f>
        <v>37428.879999999997</v>
      </c>
      <c r="H67" s="424">
        <f>SUM(D67:G67)</f>
        <v>112286.63999999998</v>
      </c>
      <c r="I67" s="424">
        <v>112286.63999999998</v>
      </c>
      <c r="J67" s="440">
        <f>9357.22*12</f>
        <v>112286.63999999998</v>
      </c>
      <c r="K67" s="424" t="s">
        <v>2650</v>
      </c>
    </row>
    <row r="68" spans="1:11">
      <c r="D68" s="849">
        <f t="shared" ref="D68:J68" si="11">SUM(D64:D67)</f>
        <v>594030.07999999996</v>
      </c>
      <c r="E68" s="849">
        <f t="shared" si="11"/>
        <v>0</v>
      </c>
      <c r="F68" s="849">
        <f t="shared" si="11"/>
        <v>0</v>
      </c>
      <c r="G68" s="849">
        <f t="shared" si="11"/>
        <v>297015.03999999998</v>
      </c>
      <c r="H68" s="849">
        <f t="shared" si="11"/>
        <v>891045.12000000011</v>
      </c>
      <c r="I68" s="849">
        <f t="shared" si="11"/>
        <v>890420.12</v>
      </c>
      <c r="J68" s="841">
        <f t="shared" si="11"/>
        <v>890420.12000000011</v>
      </c>
      <c r="K68" s="457"/>
    </row>
    <row r="69" spans="1:11" ht="17" thickTop="1"/>
    <row r="70" spans="1:11">
      <c r="A70" s="343" t="s">
        <v>3187</v>
      </c>
      <c r="K70" s="297" t="s">
        <v>2651</v>
      </c>
    </row>
    <row r="71" spans="1:11">
      <c r="A71" s="343" t="s">
        <v>3188</v>
      </c>
      <c r="K71" s="297" t="s">
        <v>2652</v>
      </c>
    </row>
    <row r="72" spans="1:11">
      <c r="A72" s="343" t="s">
        <v>3189</v>
      </c>
      <c r="K72" s="343" t="s">
        <v>2653</v>
      </c>
    </row>
    <row r="73" spans="1:11">
      <c r="K73" s="343" t="s">
        <v>2654</v>
      </c>
    </row>
    <row r="75" spans="1:11">
      <c r="A75" s="343"/>
    </row>
    <row r="78" spans="1:11">
      <c r="F78" s="530" t="s">
        <v>2655</v>
      </c>
    </row>
  </sheetData>
  <printOptions horizontalCentered="1"/>
  <pageMargins left="0" right="0" top="0" bottom="0" header="0.3" footer="0.3"/>
  <pageSetup scale="6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B1:M32"/>
  <sheetViews>
    <sheetView zoomScaleNormal="100" workbookViewId="0">
      <selection activeCell="H18" sqref="H18"/>
    </sheetView>
  </sheetViews>
  <sheetFormatPr baseColWidth="10" defaultColWidth="8.85546875" defaultRowHeight="16"/>
  <cols>
    <col min="1" max="4" width="8.85546875" style="297"/>
    <col min="5" max="5" width="14.5703125" style="297" bestFit="1" customWidth="1"/>
    <col min="6" max="6" width="19.7109375" style="297" bestFit="1" customWidth="1"/>
    <col min="7" max="7" width="13.85546875" style="297" customWidth="1"/>
    <col min="8" max="8" width="18.140625" style="297" bestFit="1" customWidth="1"/>
    <col min="9" max="9" width="26.7109375" style="297" customWidth="1"/>
    <col min="10" max="10" width="11" style="297" bestFit="1" customWidth="1"/>
    <col min="11" max="16384" width="8.85546875" style="297"/>
  </cols>
  <sheetData>
    <row r="1" spans="2:12" ht="17" thickBot="1"/>
    <row r="2" spans="2:12">
      <c r="B2" s="721" t="s">
        <v>2656</v>
      </c>
      <c r="C2" s="722"/>
      <c r="D2" s="722"/>
      <c r="E2" s="723"/>
      <c r="G2" s="724"/>
      <c r="H2" s="294"/>
      <c r="I2" s="294"/>
      <c r="J2" s="294"/>
    </row>
    <row r="3" spans="2:12">
      <c r="B3" s="725" t="s">
        <v>2657</v>
      </c>
      <c r="C3" s="294"/>
      <c r="D3" s="294"/>
      <c r="E3" s="726"/>
      <c r="G3" s="727"/>
      <c r="H3" s="294"/>
      <c r="I3" s="294"/>
      <c r="J3" s="294"/>
    </row>
    <row r="4" spans="2:12">
      <c r="B4" s="728" t="s">
        <v>2658</v>
      </c>
      <c r="C4" s="2"/>
      <c r="D4" s="2"/>
      <c r="E4" s="726"/>
      <c r="G4" s="2"/>
      <c r="H4" s="2"/>
      <c r="I4" s="2"/>
      <c r="J4" s="294"/>
    </row>
    <row r="5" spans="2:12">
      <c r="B5" s="728" t="s">
        <v>2659</v>
      </c>
      <c r="C5" s="729"/>
      <c r="E5" s="556">
        <v>15700000</v>
      </c>
      <c r="G5" s="2"/>
      <c r="H5" s="729"/>
      <c r="J5" s="432"/>
      <c r="L5" s="399" t="s">
        <v>2660</v>
      </c>
    </row>
    <row r="6" spans="2:12">
      <c r="B6" s="728" t="s">
        <v>2661</v>
      </c>
      <c r="C6" s="729"/>
      <c r="E6" s="730">
        <v>3.9100000000000003E-2</v>
      </c>
      <c r="G6" s="2"/>
      <c r="H6" s="729"/>
      <c r="J6" s="769"/>
      <c r="L6" s="399" t="s">
        <v>2662</v>
      </c>
    </row>
    <row r="7" spans="2:12">
      <c r="B7" s="728" t="s">
        <v>2663</v>
      </c>
      <c r="C7" s="731"/>
      <c r="E7" s="732">
        <v>46874</v>
      </c>
      <c r="G7" s="2"/>
      <c r="H7" s="731"/>
      <c r="J7" s="770"/>
      <c r="L7" s="343" t="s">
        <v>2664</v>
      </c>
    </row>
    <row r="8" spans="2:12" ht="17" thickBot="1">
      <c r="B8" s="733" t="s">
        <v>2665</v>
      </c>
      <c r="C8" s="734"/>
      <c r="D8" s="735"/>
      <c r="E8" s="736">
        <v>64740.29</v>
      </c>
      <c r="G8" s="2"/>
      <c r="H8" s="729"/>
      <c r="J8" s="771"/>
    </row>
    <row r="11" spans="2:12">
      <c r="B11" s="467" t="s">
        <v>2666</v>
      </c>
    </row>
    <row r="12" spans="2:12">
      <c r="E12" s="737" t="s">
        <v>2667</v>
      </c>
      <c r="F12" s="737" t="s">
        <v>2668</v>
      </c>
      <c r="G12" s="737" t="s">
        <v>2669</v>
      </c>
      <c r="H12" s="737" t="s">
        <v>2670</v>
      </c>
    </row>
    <row r="13" spans="2:12">
      <c r="B13" s="738" t="s">
        <v>2332</v>
      </c>
      <c r="H13" s="871">
        <v>14410413.35</v>
      </c>
      <c r="I13" s="343" t="s">
        <v>2671</v>
      </c>
    </row>
    <row r="14" spans="2:12">
      <c r="B14" s="343" t="s">
        <v>2529</v>
      </c>
      <c r="E14" s="371">
        <f>+$E$8</f>
        <v>64740.29</v>
      </c>
      <c r="F14" s="739">
        <f>+E14-G14</f>
        <v>17786.359834583331</v>
      </c>
      <c r="G14" s="371">
        <f>+($E$6*H13)/360*30</f>
        <v>46953.93016541667</v>
      </c>
      <c r="H14" s="739">
        <f>+H13-F14</f>
        <v>14392626.990165416</v>
      </c>
    </row>
    <row r="15" spans="2:12">
      <c r="B15" s="343" t="s">
        <v>2551</v>
      </c>
      <c r="E15" s="371">
        <f>+$E$8</f>
        <v>64740.29</v>
      </c>
      <c r="F15" s="739">
        <f>+E15-G15</f>
        <v>17844.31372371102</v>
      </c>
      <c r="G15" s="371">
        <f>+($E$6*H14)/360*30</f>
        <v>46895.97627628898</v>
      </c>
      <c r="H15" s="739">
        <f>+H14-F15</f>
        <v>14374782.676441705</v>
      </c>
    </row>
    <row r="16" spans="2:12">
      <c r="B16" s="343" t="s">
        <v>2531</v>
      </c>
      <c r="E16" s="371">
        <f t="shared" ref="E16:E17" si="0">+$E$8</f>
        <v>64740.29</v>
      </c>
      <c r="F16" s="739">
        <f t="shared" ref="F16:F17" si="1">+E16-G16</f>
        <v>16281.114514501387</v>
      </c>
      <c r="G16" s="371">
        <f>+($E$6*H14)/360*31</f>
        <v>48459.175485498614</v>
      </c>
      <c r="H16" s="739">
        <f>+H14-F16</f>
        <v>14376345.875650914</v>
      </c>
    </row>
    <row r="17" spans="2:13">
      <c r="B17" s="343" t="s">
        <v>2532</v>
      </c>
      <c r="E17" s="371">
        <f t="shared" si="0"/>
        <v>64740.29</v>
      </c>
      <c r="F17" s="739">
        <f t="shared" si="1"/>
        <v>17897.363021837438</v>
      </c>
      <c r="G17" s="371">
        <f>+($E$6*H16)/360*30</f>
        <v>46842.926978162563</v>
      </c>
      <c r="H17" s="739">
        <v>14342052.32</v>
      </c>
    </row>
    <row r="18" spans="2:13">
      <c r="G18" s="371"/>
    </row>
    <row r="19" spans="2:13">
      <c r="B19" s="738" t="s">
        <v>2333</v>
      </c>
    </row>
    <row r="20" spans="2:13">
      <c r="B20" s="343" t="s">
        <v>2522</v>
      </c>
      <c r="E20" s="371">
        <f t="shared" ref="E20:E31" si="2">+$E$8</f>
        <v>64740.29</v>
      </c>
      <c r="F20" s="739">
        <f>+E20-G20</f>
        <v>16451.396619244442</v>
      </c>
      <c r="G20" s="371">
        <f>+($E$6*H17)/360*31</f>
        <v>48288.893380755559</v>
      </c>
      <c r="H20" s="739">
        <f>+H17-F20</f>
        <v>14325600.923380757</v>
      </c>
    </row>
    <row r="21" spans="2:13">
      <c r="B21" s="343" t="s">
        <v>2523</v>
      </c>
      <c r="E21" s="371">
        <f t="shared" si="2"/>
        <v>64740.29</v>
      </c>
      <c r="F21" s="739">
        <f>+E21-G21</f>
        <v>16506.787557694952</v>
      </c>
      <c r="G21" s="371">
        <f>+($E$6*H20)/360*31</f>
        <v>48233.502442305049</v>
      </c>
      <c r="H21" s="739">
        <f>+H20-F21</f>
        <v>14309094.135823062</v>
      </c>
    </row>
    <row r="22" spans="2:13">
      <c r="B22" s="343" t="s">
        <v>2524</v>
      </c>
      <c r="E22" s="371">
        <f t="shared" si="2"/>
        <v>64740.29</v>
      </c>
      <c r="F22" s="739">
        <f t="shared" ref="F22:F31" si="3">+E22-G22</f>
        <v>21224.744833613644</v>
      </c>
      <c r="G22" s="371">
        <f>+($E$6*H21)/360*28</f>
        <v>43515.545166386357</v>
      </c>
      <c r="H22" s="739">
        <f>+H21-F22</f>
        <v>14287869.390989449</v>
      </c>
    </row>
    <row r="23" spans="2:13">
      <c r="B23" s="343" t="s">
        <v>2525</v>
      </c>
      <c r="E23" s="371">
        <f t="shared" si="2"/>
        <v>64740.29</v>
      </c>
      <c r="F23" s="739">
        <f t="shared" si="3"/>
        <v>16633.82753106024</v>
      </c>
      <c r="G23" s="371">
        <f>+($E$6*H22)/360*31</f>
        <v>48106.462468939761</v>
      </c>
      <c r="H23" s="739">
        <f t="shared" ref="H23:H26" si="4">+H22-F23</f>
        <v>14271235.563458389</v>
      </c>
      <c r="M23" s="343" t="s">
        <v>2672</v>
      </c>
    </row>
    <row r="24" spans="2:13">
      <c r="B24" s="343" t="s">
        <v>2278</v>
      </c>
      <c r="E24" s="371">
        <f t="shared" si="2"/>
        <v>64740.29</v>
      </c>
      <c r="F24" s="739">
        <f t="shared" si="3"/>
        <v>18239.847455731411</v>
      </c>
      <c r="G24" s="371">
        <f>+($E$6*H23)/360*30</f>
        <v>46500.44254426859</v>
      </c>
      <c r="H24" s="739">
        <f>+H23-F24</f>
        <v>14252995.716002658</v>
      </c>
    </row>
    <row r="25" spans="2:13">
      <c r="B25" s="343" t="s">
        <v>2275</v>
      </c>
      <c r="E25" s="371">
        <f t="shared" si="2"/>
        <v>64740.29</v>
      </c>
      <c r="F25" s="739">
        <f t="shared" si="3"/>
        <v>16751.245257314375</v>
      </c>
      <c r="G25" s="371">
        <f t="shared" ref="G25:G28" si="5">+($E$6*H24)/360*31</f>
        <v>47989.044742685626</v>
      </c>
      <c r="H25" s="739">
        <f>+H24-F25</f>
        <v>14236244.470745344</v>
      </c>
    </row>
    <row r="26" spans="2:13">
      <c r="B26" s="343" t="s">
        <v>2527</v>
      </c>
      <c r="E26" s="371">
        <f t="shared" si="2"/>
        <v>64740.29</v>
      </c>
      <c r="F26" s="739">
        <f t="shared" si="3"/>
        <v>18353.860099488091</v>
      </c>
      <c r="G26" s="371">
        <f>+($E$6*H25)/360*30</f>
        <v>46386.42990051191</v>
      </c>
      <c r="H26" s="739">
        <f t="shared" si="4"/>
        <v>14217890.610645855</v>
      </c>
    </row>
    <row r="27" spans="2:13">
      <c r="B27" s="343" t="s">
        <v>2528</v>
      </c>
      <c r="E27" s="371">
        <f t="shared" si="2"/>
        <v>64740.29</v>
      </c>
      <c r="F27" s="739">
        <f t="shared" si="3"/>
        <v>16869.442196767108</v>
      </c>
      <c r="G27" s="371">
        <f>+($E$6*H26)/360*31</f>
        <v>47870.847803232893</v>
      </c>
      <c r="H27" s="739">
        <f>+H26-F27</f>
        <v>14201021.168449087</v>
      </c>
    </row>
    <row r="28" spans="2:13">
      <c r="B28" s="343" t="s">
        <v>2529</v>
      </c>
      <c r="E28" s="371">
        <f t="shared" si="2"/>
        <v>64740.29</v>
      </c>
      <c r="F28" s="739">
        <f t="shared" si="3"/>
        <v>16926.24067145239</v>
      </c>
      <c r="G28" s="371">
        <f t="shared" si="5"/>
        <v>47814.049328547611</v>
      </c>
      <c r="H28" s="739">
        <f>+H27-F28</f>
        <v>14184094.927777635</v>
      </c>
    </row>
    <row r="29" spans="2:13">
      <c r="B29" s="343" t="s">
        <v>2530</v>
      </c>
      <c r="E29" s="371">
        <f t="shared" si="2"/>
        <v>64740.29</v>
      </c>
      <c r="F29" s="739">
        <f t="shared" si="3"/>
        <v>18523.780693657878</v>
      </c>
      <c r="G29" s="371">
        <f>+($E$6*H28)/360*30</f>
        <v>46216.509306342123</v>
      </c>
      <c r="H29" s="739">
        <f>+H28-F29</f>
        <v>14165571.147083977</v>
      </c>
    </row>
    <row r="30" spans="2:13">
      <c r="B30" s="343" t="s">
        <v>2531</v>
      </c>
      <c r="E30" s="371">
        <f t="shared" si="2"/>
        <v>64740.29</v>
      </c>
      <c r="F30" s="739">
        <f t="shared" si="3"/>
        <v>17045.598923943086</v>
      </c>
      <c r="G30" s="371">
        <f>+($E$6*H29)/360*31</f>
        <v>47694.691076056915</v>
      </c>
      <c r="H30" s="739">
        <f>+H29-F30</f>
        <v>14148525.548160033</v>
      </c>
    </row>
    <row r="31" spans="2:13">
      <c r="B31" s="343" t="s">
        <v>2532</v>
      </c>
      <c r="E31" s="371">
        <f t="shared" si="2"/>
        <v>64740.29</v>
      </c>
      <c r="F31" s="739">
        <f t="shared" si="3"/>
        <v>18639.677588911887</v>
      </c>
      <c r="G31" s="371">
        <f>+($E$6*H30)/360*30</f>
        <v>46100.612411088114</v>
      </c>
      <c r="H31" s="739">
        <f>+H30-F31</f>
        <v>14129885.870571122</v>
      </c>
    </row>
    <row r="32" spans="2:13">
      <c r="F32" s="739">
        <f>SUM(F20:F31)</f>
        <v>212166.44942887954</v>
      </c>
      <c r="G32" s="739">
        <f>SUM(G20:G31)</f>
        <v>564717.03057112056</v>
      </c>
      <c r="I32" s="739">
        <f>G32+F32</f>
        <v>776883.4800000001</v>
      </c>
    </row>
  </sheetData>
  <printOptions horizontalCentered="1"/>
  <pageMargins left="0" right="0" top="0" bottom="0" header="0.3" footer="0.3"/>
  <pageSetup scale="51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K53"/>
  <sheetViews>
    <sheetView showOutlineSymbols="0" zoomScale="80" zoomScaleNormal="80" workbookViewId="0">
      <selection activeCell="N16" sqref="N16"/>
    </sheetView>
  </sheetViews>
  <sheetFormatPr baseColWidth="10" defaultColWidth="11.42578125" defaultRowHeight="16"/>
  <cols>
    <col min="1" max="1" width="11.42578125" style="294"/>
    <col min="2" max="2" width="21.85546875" style="294" bestFit="1" customWidth="1"/>
    <col min="3" max="3" width="17" style="294" customWidth="1"/>
    <col min="4" max="4" width="11" style="294" customWidth="1"/>
    <col min="5" max="5" width="10.85546875" style="294" customWidth="1"/>
    <col min="6" max="6" width="10.42578125" style="294" customWidth="1"/>
    <col min="7" max="8" width="11.7109375" style="294" customWidth="1"/>
    <col min="9" max="9" width="9" style="294" customWidth="1"/>
    <col min="10" max="10" width="2.140625" style="294" customWidth="1"/>
    <col min="11" max="16384" width="11.42578125" style="294"/>
  </cols>
  <sheetData>
    <row r="1" spans="1:10">
      <c r="B1" s="294" t="s">
        <v>2605</v>
      </c>
      <c r="C1" s="297"/>
      <c r="D1" s="740" t="str">
        <f>+COV!C23</f>
        <v>444 East 86th Street Owners Corp.</v>
      </c>
      <c r="F1" s="297"/>
      <c r="G1" s="297"/>
      <c r="H1" s="297"/>
      <c r="I1" s="297"/>
      <c r="J1" s="297"/>
    </row>
    <row r="2" spans="1:10">
      <c r="D2" s="741" t="s">
        <v>2217</v>
      </c>
      <c r="F2" s="742"/>
    </row>
    <row r="3" spans="1:10">
      <c r="B3" s="297"/>
      <c r="C3" s="297"/>
      <c r="D3" s="743" t="str">
        <f>yrlycomp!H3</f>
        <v>For Year Ending 12/31/2026</v>
      </c>
      <c r="F3" s="297"/>
      <c r="G3" s="297"/>
      <c r="H3" s="297"/>
      <c r="I3" s="297"/>
      <c r="J3" s="297"/>
    </row>
    <row r="4" spans="1:10">
      <c r="J4" s="294" t="s">
        <v>2137</v>
      </c>
    </row>
    <row r="5" spans="1:10">
      <c r="A5" s="294" t="s">
        <v>2137</v>
      </c>
      <c r="B5" s="724" t="s">
        <v>2673</v>
      </c>
      <c r="G5" s="294" t="s">
        <v>2137</v>
      </c>
    </row>
    <row r="6" spans="1:10">
      <c r="A6" s="724" t="s">
        <v>2184</v>
      </c>
      <c r="B6" s="727"/>
      <c r="C6" s="744" t="s">
        <v>2263</v>
      </c>
      <c r="D6" s="727"/>
      <c r="E6" s="727"/>
      <c r="F6" s="727"/>
      <c r="G6" s="745" t="s">
        <v>2674</v>
      </c>
    </row>
    <row r="7" spans="1:10">
      <c r="A7" s="742"/>
      <c r="B7" s="746" t="s">
        <v>2675</v>
      </c>
      <c r="C7" s="961">
        <f>'Gen &amp; Admin'!D7</f>
        <v>2025</v>
      </c>
      <c r="D7" s="727"/>
      <c r="E7" s="744" t="s">
        <v>2676</v>
      </c>
      <c r="F7" s="727"/>
      <c r="G7" s="962">
        <f>C7+1</f>
        <v>2026</v>
      </c>
    </row>
    <row r="8" spans="1:10">
      <c r="A8" s="517" t="s">
        <v>1068</v>
      </c>
      <c r="B8" s="747" t="s">
        <v>1069</v>
      </c>
      <c r="C8" s="426">
        <f>SUMIF('VLookup Data'!$A:$A,A8,'VLookup Data'!$E:$E)</f>
        <v>466099.93</v>
      </c>
      <c r="E8" s="748" t="s">
        <v>2677</v>
      </c>
      <c r="G8" s="432">
        <f>+C8*$G$19+C8</f>
        <v>536014.91949999996</v>
      </c>
      <c r="H8" s="759"/>
    </row>
    <row r="9" spans="1:10">
      <c r="A9" s="517" t="s">
        <v>1070</v>
      </c>
      <c r="B9" s="747" t="s">
        <v>3205</v>
      </c>
      <c r="C9" s="426">
        <f>SUMIF('VLookup Data'!$A:$A,A9,'VLookup Data'!$E:$E)</f>
        <v>14362.32</v>
      </c>
      <c r="E9" s="748"/>
      <c r="G9" s="432">
        <f>+C9*$G$19+C9</f>
        <v>16516.667999999998</v>
      </c>
      <c r="H9" s="759"/>
    </row>
    <row r="10" spans="1:10">
      <c r="A10" s="517" t="s">
        <v>1074</v>
      </c>
      <c r="B10" s="747" t="s">
        <v>1075</v>
      </c>
      <c r="C10" s="426">
        <f>SUMIF('VLookup Data'!$A:$A,A10,'VLookup Data'!$E:$E)</f>
        <v>63148.82</v>
      </c>
      <c r="E10" s="748" t="str">
        <f>E8</f>
        <v>12/31/23-12/31/24</v>
      </c>
      <c r="G10" s="432">
        <f>+C10*$G$19+C10</f>
        <v>72621.142999999996</v>
      </c>
    </row>
    <row r="11" spans="1:10">
      <c r="A11" s="517" t="s">
        <v>1076</v>
      </c>
      <c r="B11" s="747" t="s">
        <v>1077</v>
      </c>
      <c r="C11" s="426">
        <f>SUMIF('VLookup Data'!$A:$A,A11,'VLookup Data'!$E:$E)</f>
        <v>12812</v>
      </c>
      <c r="E11" s="748" t="str">
        <f t="shared" ref="E11:E14" si="0">E10</f>
        <v>12/31/23-12/31/24</v>
      </c>
      <c r="G11" s="432">
        <f>+C11*$G$19+C11</f>
        <v>14733.8</v>
      </c>
    </row>
    <row r="12" spans="1:10">
      <c r="A12" s="517" t="s">
        <v>1078</v>
      </c>
      <c r="B12" s="747" t="s">
        <v>1079</v>
      </c>
      <c r="C12" s="426">
        <f>SUMIF('VLookup Data'!$A:$A,A12,'VLookup Data'!$E:$E)</f>
        <v>1471</v>
      </c>
      <c r="E12" s="748" t="str">
        <f t="shared" si="0"/>
        <v>12/31/23-12/31/24</v>
      </c>
      <c r="G12" s="432">
        <f>+C12*$G$19+C12</f>
        <v>1691.65</v>
      </c>
    </row>
    <row r="13" spans="1:10">
      <c r="A13" s="517" t="s">
        <v>1082</v>
      </c>
      <c r="B13" s="747" t="s">
        <v>1083</v>
      </c>
      <c r="C13" s="426">
        <f>SUMIF('VLookup Data'!$A:$A,A13,'VLookup Data'!$E:$E)</f>
        <v>0</v>
      </c>
      <c r="D13" s="749"/>
      <c r="E13" s="748" t="str">
        <f t="shared" si="0"/>
        <v>12/31/23-12/31/24</v>
      </c>
      <c r="F13" s="749"/>
      <c r="G13" s="432">
        <f t="shared" ref="G13" si="1">+C13*$G$19+C13</f>
        <v>0</v>
      </c>
    </row>
    <row r="14" spans="1:10">
      <c r="A14" s="517" t="s">
        <v>1090</v>
      </c>
      <c r="B14" s="747" t="s">
        <v>1091</v>
      </c>
      <c r="C14" s="426">
        <f>SUMIF('VLookup Data'!$A:$A,A14,'VLookup Data'!$E:$E)</f>
        <v>0</v>
      </c>
      <c r="D14" s="749"/>
      <c r="E14" s="748" t="str">
        <f t="shared" si="0"/>
        <v>12/31/23-12/31/24</v>
      </c>
      <c r="F14" s="749"/>
      <c r="G14" s="432">
        <f>C14</f>
        <v>0</v>
      </c>
    </row>
    <row r="15" spans="1:10" hidden="1">
      <c r="B15" s="747" t="s">
        <v>2678</v>
      </c>
      <c r="C15" s="749">
        <v>0</v>
      </c>
      <c r="D15" s="750"/>
      <c r="G15" s="751"/>
    </row>
    <row r="16" spans="1:10" ht="17" thickBot="1">
      <c r="D16" s="750"/>
      <c r="E16" s="752"/>
      <c r="G16" s="751"/>
      <c r="J16" s="760"/>
    </row>
    <row r="17" spans="1:11">
      <c r="B17" s="753" t="s">
        <v>2679</v>
      </c>
      <c r="C17" s="772">
        <f>SUM(C8:C16)</f>
        <v>557894.06999999995</v>
      </c>
      <c r="D17" s="754"/>
      <c r="E17" s="755"/>
      <c r="F17" s="722"/>
      <c r="G17" s="756">
        <f>SUM(G8:G16)</f>
        <v>641578.18050000002</v>
      </c>
      <c r="H17" s="760"/>
      <c r="I17" s="760"/>
    </row>
    <row r="18" spans="1:11">
      <c r="B18" s="294" t="s">
        <v>2137</v>
      </c>
      <c r="E18" s="757"/>
      <c r="G18" s="742"/>
      <c r="I18" s="760"/>
    </row>
    <row r="19" spans="1:11">
      <c r="C19" s="294" t="s">
        <v>3166</v>
      </c>
      <c r="F19" s="758"/>
      <c r="G19" s="963">
        <v>0.15</v>
      </c>
      <c r="I19" s="760"/>
      <c r="K19" s="760"/>
    </row>
    <row r="20" spans="1:11">
      <c r="G20" s="742"/>
      <c r="I20" s="760"/>
    </row>
    <row r="21" spans="1:11">
      <c r="I21" s="760"/>
    </row>
    <row r="22" spans="1:11">
      <c r="A22" s="294" t="s">
        <v>2680</v>
      </c>
      <c r="I22" s="760"/>
    </row>
    <row r="23" spans="1:11">
      <c r="I23" s="760"/>
    </row>
    <row r="24" spans="1:11">
      <c r="C24" s="717">
        <f>+yrlycomp!H7</f>
        <v>2025</v>
      </c>
      <c r="D24" s="13">
        <f>+C24</f>
        <v>2025</v>
      </c>
      <c r="E24" s="13">
        <f>+D24</f>
        <v>2025</v>
      </c>
      <c r="F24" s="13">
        <f>+E24</f>
        <v>2025</v>
      </c>
      <c r="G24" s="718">
        <f>+F24+1</f>
        <v>2026</v>
      </c>
    </row>
    <row r="25" spans="1:11">
      <c r="C25" s="13" t="s">
        <v>2305</v>
      </c>
      <c r="D25" s="13" t="s">
        <v>2306</v>
      </c>
      <c r="E25" s="13" t="s">
        <v>2307</v>
      </c>
      <c r="F25" s="13" t="s">
        <v>1494</v>
      </c>
      <c r="G25" s="718" t="s">
        <v>2674</v>
      </c>
    </row>
    <row r="26" spans="1:11">
      <c r="C26" s="14" t="s">
        <v>1496</v>
      </c>
      <c r="D26" s="14" t="s">
        <v>2681</v>
      </c>
      <c r="E26" s="14" t="s">
        <v>2310</v>
      </c>
      <c r="F26" s="14"/>
      <c r="G26" s="719"/>
    </row>
    <row r="27" spans="1:11">
      <c r="A27" s="297"/>
      <c r="B27" s="467" t="s">
        <v>2217</v>
      </c>
      <c r="C27" s="297"/>
      <c r="D27" s="297"/>
      <c r="E27" s="297"/>
      <c r="F27" s="297"/>
      <c r="G27" s="297"/>
    </row>
    <row r="28" spans="1:11">
      <c r="A28" s="517" t="s">
        <v>1068</v>
      </c>
      <c r="B28" s="747" t="s">
        <v>1069</v>
      </c>
      <c r="C28" s="426">
        <f>SUMIF('VLookup Data'!$A:$A,A28,'VLookup Data'!$E:$E)</f>
        <v>466099.93</v>
      </c>
      <c r="D28" s="528">
        <v>0</v>
      </c>
      <c r="E28" s="426">
        <f t="shared" ref="E28:E34" si="2">SUM(C28:D28)</f>
        <v>466099.93</v>
      </c>
      <c r="F28" s="426">
        <v>425307.23200000002</v>
      </c>
      <c r="G28" s="426">
        <f t="shared" ref="G28:G34" si="3">+G8</f>
        <v>536014.91949999996</v>
      </c>
    </row>
    <row r="29" spans="1:11">
      <c r="A29" s="517" t="s">
        <v>1070</v>
      </c>
      <c r="B29" s="747" t="s">
        <v>3205</v>
      </c>
      <c r="C29" s="424">
        <f>SUMIF('VLookup Data'!$A:$A,A29,'VLookup Data'!$E:$E)</f>
        <v>14362.32</v>
      </c>
      <c r="D29" s="528"/>
      <c r="E29" s="424">
        <f t="shared" si="2"/>
        <v>14362.32</v>
      </c>
      <c r="F29" s="424">
        <v>0</v>
      </c>
      <c r="G29" s="424">
        <f t="shared" si="3"/>
        <v>16516.667999999998</v>
      </c>
    </row>
    <row r="30" spans="1:11">
      <c r="A30" s="517" t="s">
        <v>1074</v>
      </c>
      <c r="B30" s="747" t="s">
        <v>1075</v>
      </c>
      <c r="C30" s="424">
        <f>SUMIF('VLookup Data'!$A:$A,A30,'VLookup Data'!$E:$E)</f>
        <v>63148.82</v>
      </c>
      <c r="D30" s="424">
        <v>0</v>
      </c>
      <c r="E30" s="424">
        <f t="shared" si="2"/>
        <v>63148.82</v>
      </c>
      <c r="F30" s="424">
        <v>55059.199999999997</v>
      </c>
      <c r="G30" s="424">
        <f t="shared" si="3"/>
        <v>72621.142999999996</v>
      </c>
    </row>
    <row r="31" spans="1:11">
      <c r="A31" s="517" t="s">
        <v>1076</v>
      </c>
      <c r="B31" s="747" t="s">
        <v>1077</v>
      </c>
      <c r="C31" s="424">
        <f>SUMIF('VLookup Data'!$A:$A,A31,'VLookup Data'!$E:$E)</f>
        <v>12812</v>
      </c>
      <c r="D31" s="424">
        <v>0</v>
      </c>
      <c r="E31" s="424">
        <f t="shared" si="2"/>
        <v>12812</v>
      </c>
      <c r="F31" s="424">
        <v>15752.8</v>
      </c>
      <c r="G31" s="424">
        <f t="shared" si="3"/>
        <v>14733.8</v>
      </c>
    </row>
    <row r="32" spans="1:11">
      <c r="A32" s="517" t="s">
        <v>1078</v>
      </c>
      <c r="B32" s="747" t="s">
        <v>1079</v>
      </c>
      <c r="C32" s="424">
        <f>SUMIF('VLookup Data'!$A:$A,A32,'VLookup Data'!$E:$E)</f>
        <v>1471</v>
      </c>
      <c r="D32" s="424">
        <v>0</v>
      </c>
      <c r="E32" s="424">
        <f t="shared" si="2"/>
        <v>1471</v>
      </c>
      <c r="F32" s="424">
        <v>1834</v>
      </c>
      <c r="G32" s="424">
        <f t="shared" si="3"/>
        <v>1691.65</v>
      </c>
      <c r="K32" s="294" t="s">
        <v>2682</v>
      </c>
    </row>
    <row r="33" spans="1:11">
      <c r="A33" s="517" t="s">
        <v>1082</v>
      </c>
      <c r="B33" s="747" t="s">
        <v>1083</v>
      </c>
      <c r="C33" s="424">
        <f>SUMIF('VLookup Data'!$A:$A,A33,'VLookup Data'!$E:$E)</f>
        <v>0</v>
      </c>
      <c r="D33" s="424">
        <v>0</v>
      </c>
      <c r="E33" s="424">
        <f t="shared" si="2"/>
        <v>0</v>
      </c>
      <c r="F33" s="424">
        <v>273.05599999999998</v>
      </c>
      <c r="G33" s="424">
        <f t="shared" si="3"/>
        <v>0</v>
      </c>
      <c r="K33" s="294" t="s">
        <v>2683</v>
      </c>
    </row>
    <row r="34" spans="1:11">
      <c r="A34" s="517" t="s">
        <v>1090</v>
      </c>
      <c r="B34" s="747" t="s">
        <v>1091</v>
      </c>
      <c r="C34" s="424">
        <f>SUMIF('VLookup Data'!$A:$A,A34,'VLookup Data'!$E:$E)</f>
        <v>0</v>
      </c>
      <c r="D34" s="424">
        <v>0</v>
      </c>
      <c r="E34" s="424">
        <f t="shared" si="2"/>
        <v>0</v>
      </c>
      <c r="F34" s="424">
        <v>3000</v>
      </c>
      <c r="G34" s="424">
        <f t="shared" si="3"/>
        <v>0</v>
      </c>
    </row>
    <row r="35" spans="1:11" ht="17" thickBot="1">
      <c r="C35" s="849">
        <f>SUM(C28:C34)</f>
        <v>557894.06999999995</v>
      </c>
      <c r="D35" s="849">
        <f t="shared" ref="D35:E35" si="4">SUM(D28:D34)</f>
        <v>0</v>
      </c>
      <c r="E35" s="849">
        <f t="shared" si="4"/>
        <v>557894.06999999995</v>
      </c>
      <c r="F35" s="849">
        <f>SUM(F28:F34)</f>
        <v>501226.288</v>
      </c>
      <c r="G35" s="849">
        <f>SUM(G28:G34)</f>
        <v>641578.18050000002</v>
      </c>
    </row>
    <row r="36" spans="1:11" ht="17" thickTop="1">
      <c r="C36" s="653"/>
      <c r="D36" s="653"/>
      <c r="E36" s="653"/>
      <c r="F36" s="653"/>
      <c r="G36" s="653"/>
    </row>
    <row r="37" spans="1:11">
      <c r="C37" s="653"/>
      <c r="D37" s="653"/>
      <c r="E37" s="653"/>
      <c r="F37" s="653"/>
      <c r="G37" s="653"/>
    </row>
    <row r="38" spans="1:11">
      <c r="C38" s="653"/>
      <c r="D38" s="653"/>
      <c r="E38" s="653"/>
      <c r="F38" s="653"/>
      <c r="G38" s="653"/>
    </row>
    <row r="39" spans="1:11">
      <c r="C39" s="653"/>
      <c r="D39" s="653"/>
      <c r="E39" s="653"/>
      <c r="F39" s="653"/>
      <c r="G39" s="653"/>
    </row>
    <row r="40" spans="1:11">
      <c r="C40" s="653"/>
      <c r="D40" s="653"/>
      <c r="E40" s="653"/>
      <c r="F40" s="653"/>
      <c r="G40" s="653"/>
    </row>
    <row r="41" spans="1:11">
      <c r="C41" s="653"/>
      <c r="D41" s="653"/>
      <c r="E41" s="653"/>
      <c r="F41" s="653"/>
      <c r="G41" s="653"/>
    </row>
    <row r="42" spans="1:11">
      <c r="A42" s="294" t="s">
        <v>2684</v>
      </c>
      <c r="C42" s="653"/>
      <c r="D42" s="653"/>
      <c r="E42" s="653"/>
      <c r="F42" s="653"/>
      <c r="G42" s="653"/>
    </row>
    <row r="43" spans="1:11">
      <c r="C43" s="653"/>
      <c r="D43" s="653"/>
      <c r="E43" s="653"/>
      <c r="F43" s="653"/>
      <c r="G43" s="653"/>
    </row>
    <row r="44" spans="1:11">
      <c r="A44" s="294" t="s">
        <v>2684</v>
      </c>
      <c r="C44" s="653"/>
      <c r="D44" s="653"/>
      <c r="E44" s="653"/>
      <c r="F44" s="653"/>
      <c r="G44" s="653"/>
    </row>
    <row r="45" spans="1:11">
      <c r="C45" s="653"/>
      <c r="D45" s="653"/>
      <c r="E45" s="653"/>
      <c r="F45" s="653"/>
      <c r="G45" s="653"/>
    </row>
    <row r="46" spans="1:11">
      <c r="C46" s="653"/>
      <c r="D46" s="653"/>
      <c r="E46" s="653"/>
      <c r="F46" s="653"/>
      <c r="G46" s="653"/>
    </row>
    <row r="47" spans="1:11">
      <c r="C47" s="653"/>
      <c r="D47" s="653"/>
      <c r="E47" s="653"/>
      <c r="F47" s="653"/>
      <c r="G47" s="653"/>
    </row>
    <row r="48" spans="1:11">
      <c r="C48" s="653"/>
      <c r="D48" s="653"/>
      <c r="E48" s="653"/>
      <c r="F48" s="653"/>
      <c r="G48" s="653"/>
    </row>
    <row r="53" spans="2:9">
      <c r="B53" s="1010" t="s">
        <v>2568</v>
      </c>
      <c r="C53" s="1010"/>
      <c r="D53" s="1010"/>
      <c r="E53" s="1010"/>
      <c r="F53" s="1010"/>
      <c r="G53" s="1010"/>
      <c r="H53" s="1010"/>
      <c r="I53" s="1010"/>
    </row>
  </sheetData>
  <mergeCells count="1">
    <mergeCell ref="B53:I53"/>
  </mergeCells>
  <phoneticPr fontId="30" type="noConversion"/>
  <printOptions horizontalCentered="1"/>
  <pageMargins left="0" right="0" top="0" bottom="0" header="0.3" footer="0.3"/>
  <pageSetup scale="74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N181"/>
  <sheetViews>
    <sheetView showOutlineSymbols="0" view="pageBreakPreview" topLeftCell="A5" zoomScale="85" zoomScaleNormal="80" zoomScaleSheetLayoutView="85" workbookViewId="0">
      <selection activeCell="O17" sqref="O17"/>
    </sheetView>
  </sheetViews>
  <sheetFormatPr baseColWidth="10" defaultColWidth="11.42578125" defaultRowHeight="16"/>
  <cols>
    <col min="1" max="2" width="11.42578125" style="531"/>
    <col min="3" max="3" width="15.5703125" style="531" customWidth="1"/>
    <col min="4" max="4" width="10.140625" style="531" customWidth="1"/>
    <col min="5" max="5" width="11.42578125" style="531"/>
    <col min="6" max="6" width="13.85546875" style="531" customWidth="1"/>
    <col min="7" max="7" width="12.28515625" style="531" customWidth="1"/>
    <col min="8" max="8" width="12.140625" style="531" customWidth="1"/>
    <col min="9" max="9" width="12.140625" style="531" bestFit="1" customWidth="1"/>
    <col min="10" max="10" width="4.85546875" style="531" customWidth="1"/>
    <col min="11" max="11" width="9.28515625" style="531" customWidth="1"/>
    <col min="12" max="12" width="22.7109375" style="531" customWidth="1"/>
    <col min="13" max="16384" width="11.42578125" style="531"/>
  </cols>
  <sheetData>
    <row r="1" spans="2:12">
      <c r="E1" s="532" t="str">
        <f>' Insurance-Sched(No PDF)'!D1</f>
        <v>444 East 86th Street Owners Corp.</v>
      </c>
    </row>
    <row r="2" spans="2:12">
      <c r="B2" s="533" t="s">
        <v>2685</v>
      </c>
      <c r="E2" s="533" t="s">
        <v>685</v>
      </c>
      <c r="L2" s="531" t="s">
        <v>2686</v>
      </c>
    </row>
    <row r="3" spans="2:12">
      <c r="E3" s="534" t="str">
        <f>wtrswr!C3</f>
        <v>For Year Ending 12/31/2026</v>
      </c>
    </row>
    <row r="4" spans="2:12">
      <c r="L4" s="761">
        <v>45658</v>
      </c>
    </row>
    <row r="5" spans="2:12">
      <c r="B5" s="898"/>
      <c r="C5" s="898"/>
      <c r="D5" s="898"/>
      <c r="E5" s="898"/>
      <c r="F5" s="898"/>
      <c r="G5" s="899">
        <f>'Gen &amp; Admin'!D7</f>
        <v>2025</v>
      </c>
      <c r="H5" s="900"/>
      <c r="I5" s="899">
        <f>G5+1</f>
        <v>2026</v>
      </c>
    </row>
    <row r="6" spans="2:12">
      <c r="B6" s="901" t="s">
        <v>2687</v>
      </c>
      <c r="C6" s="898"/>
      <c r="D6" s="535"/>
      <c r="E6" s="898"/>
      <c r="F6" s="898"/>
      <c r="G6" s="902" t="s">
        <v>2688</v>
      </c>
      <c r="H6" s="900"/>
      <c r="I6" s="902" t="s">
        <v>1494</v>
      </c>
    </row>
    <row r="8" spans="2:12">
      <c r="B8" s="536" t="s">
        <v>2689</v>
      </c>
      <c r="C8" s="898"/>
      <c r="D8" s="898"/>
      <c r="E8" s="898"/>
      <c r="F8" s="898"/>
      <c r="G8" s="903"/>
      <c r="H8" s="898"/>
      <c r="I8" s="898"/>
    </row>
    <row r="9" spans="2:12">
      <c r="B9" s="904"/>
      <c r="C9" s="133"/>
      <c r="D9" s="898"/>
      <c r="E9" s="905" t="s">
        <v>2690</v>
      </c>
      <c r="F9" s="906"/>
      <c r="G9" s="903"/>
      <c r="H9" s="903"/>
      <c r="I9" s="903"/>
      <c r="L9" s="850" t="s">
        <v>2691</v>
      </c>
    </row>
    <row r="10" spans="2:12">
      <c r="B10" s="907" t="s">
        <v>2692</v>
      </c>
      <c r="C10" s="908" t="s">
        <v>2693</v>
      </c>
      <c r="D10" s="908" t="s">
        <v>2694</v>
      </c>
      <c r="E10" s="905"/>
      <c r="F10" s="898"/>
      <c r="G10" s="898"/>
      <c r="H10" s="898"/>
      <c r="I10" s="898"/>
      <c r="L10" s="762"/>
    </row>
    <row r="11" spans="2:12">
      <c r="B11" s="907"/>
      <c r="C11" s="909"/>
      <c r="D11" s="909"/>
      <c r="E11" s="909"/>
      <c r="F11" s="898"/>
      <c r="G11" s="898"/>
      <c r="H11" s="898"/>
      <c r="I11" s="898"/>
      <c r="L11" s="762"/>
    </row>
    <row r="12" spans="2:12">
      <c r="B12" s="910">
        <v>45608</v>
      </c>
      <c r="C12" s="910">
        <v>45637</v>
      </c>
      <c r="D12" s="911">
        <v>15007.75</v>
      </c>
      <c r="E12" s="912">
        <f>C12-B12</f>
        <v>29</v>
      </c>
      <c r="F12" s="537">
        <f>D12/E12</f>
        <v>517.50862068965512</v>
      </c>
      <c r="G12" s="537">
        <f>F12*(E12-29)</f>
        <v>0</v>
      </c>
      <c r="H12" s="898"/>
      <c r="I12" s="898"/>
      <c r="L12" s="762">
        <f>E12</f>
        <v>29</v>
      </c>
    </row>
    <row r="13" spans="2:12">
      <c r="B13" s="910">
        <v>45637</v>
      </c>
      <c r="C13" s="910">
        <v>45669</v>
      </c>
      <c r="D13" s="911">
        <v>19423.93</v>
      </c>
      <c r="E13" s="912">
        <f>C13-B13</f>
        <v>32</v>
      </c>
      <c r="F13" s="537">
        <f>D13/E13</f>
        <v>606.99781250000001</v>
      </c>
      <c r="G13" s="537">
        <f>F13*(E13-L13)</f>
        <v>6676.9759375000003</v>
      </c>
      <c r="H13" s="913"/>
      <c r="I13" s="903"/>
      <c r="L13" s="762">
        <f>+L4-B13</f>
        <v>21</v>
      </c>
    </row>
    <row r="14" spans="2:12">
      <c r="B14" s="910">
        <v>45669</v>
      </c>
      <c r="C14" s="910">
        <v>45699</v>
      </c>
      <c r="D14" s="911">
        <v>17232.400000000001</v>
      </c>
      <c r="E14" s="912">
        <f t="shared" ref="E14:E19" si="0">C14-B14</f>
        <v>30</v>
      </c>
      <c r="F14" s="537">
        <f t="shared" ref="F14:F15" si="1">D14/E14</f>
        <v>574.41333333333341</v>
      </c>
      <c r="G14" s="537">
        <f>+E14*F14</f>
        <v>17232.400000000001</v>
      </c>
      <c r="H14" s="903"/>
      <c r="I14" s="903"/>
      <c r="L14" s="762"/>
    </row>
    <row r="15" spans="2:12">
      <c r="B15" s="910">
        <v>45699</v>
      </c>
      <c r="C15" s="910">
        <v>45728</v>
      </c>
      <c r="D15" s="911">
        <v>15562.74</v>
      </c>
      <c r="E15" s="912">
        <f t="shared" si="0"/>
        <v>29</v>
      </c>
      <c r="F15" s="537">
        <f t="shared" si="1"/>
        <v>536.64620689655169</v>
      </c>
      <c r="G15" s="537">
        <f t="shared" ref="G15:G19" si="2">+E15*F15</f>
        <v>15562.74</v>
      </c>
      <c r="H15" s="903"/>
      <c r="I15" s="903"/>
      <c r="L15" s="762"/>
    </row>
    <row r="16" spans="2:12">
      <c r="B16" s="910">
        <v>45728</v>
      </c>
      <c r="C16" s="910">
        <v>45757</v>
      </c>
      <c r="D16" s="911">
        <v>15335.7</v>
      </c>
      <c r="E16" s="912">
        <f t="shared" si="0"/>
        <v>29</v>
      </c>
      <c r="F16" s="537">
        <f>D16/E16</f>
        <v>528.81724137931042</v>
      </c>
      <c r="G16" s="537">
        <f t="shared" si="2"/>
        <v>15335.700000000003</v>
      </c>
      <c r="H16" s="903"/>
      <c r="I16" s="903"/>
      <c r="L16" s="762"/>
    </row>
    <row r="17" spans="2:14">
      <c r="B17" s="910">
        <v>45757</v>
      </c>
      <c r="C17" s="910">
        <v>45788</v>
      </c>
      <c r="D17" s="911">
        <v>16623.97</v>
      </c>
      <c r="E17" s="912">
        <f t="shared" si="0"/>
        <v>31</v>
      </c>
      <c r="F17" s="537">
        <f>D17/E17</f>
        <v>536.25709677419354</v>
      </c>
      <c r="G17" s="537">
        <f t="shared" si="2"/>
        <v>16623.97</v>
      </c>
      <c r="H17" s="903"/>
      <c r="I17" s="903"/>
      <c r="L17" s="762"/>
    </row>
    <row r="18" spans="2:14">
      <c r="B18" s="910">
        <v>45788</v>
      </c>
      <c r="C18" s="910">
        <v>45817</v>
      </c>
      <c r="D18" s="911">
        <v>17381.03</v>
      </c>
      <c r="E18" s="912">
        <f t="shared" si="0"/>
        <v>29</v>
      </c>
      <c r="F18" s="537">
        <f>D18/E18</f>
        <v>599.34586206896552</v>
      </c>
      <c r="G18" s="537">
        <f t="shared" si="2"/>
        <v>17381.03</v>
      </c>
      <c r="H18" s="903"/>
      <c r="I18" s="903"/>
      <c r="L18" s="762"/>
    </row>
    <row r="19" spans="2:14">
      <c r="B19" s="910">
        <v>45817</v>
      </c>
      <c r="C19" s="910">
        <v>45847</v>
      </c>
      <c r="D19" s="911">
        <v>19713.38</v>
      </c>
      <c r="E19" s="912">
        <f t="shared" si="0"/>
        <v>30</v>
      </c>
      <c r="F19" s="537">
        <f>D19/E19</f>
        <v>657.11266666666666</v>
      </c>
      <c r="G19" s="537">
        <f t="shared" si="2"/>
        <v>19713.38</v>
      </c>
      <c r="H19" s="903"/>
      <c r="I19" s="903"/>
      <c r="L19" s="762"/>
    </row>
    <row r="20" spans="2:14">
      <c r="B20" s="910"/>
      <c r="C20" s="910"/>
      <c r="D20" s="911"/>
      <c r="E20" s="912"/>
      <c r="F20" s="537"/>
      <c r="G20" s="537"/>
      <c r="H20" s="903"/>
      <c r="I20" s="903"/>
      <c r="L20" s="762"/>
      <c r="N20" s="538" t="s">
        <v>2695</v>
      </c>
    </row>
    <row r="21" spans="2:14">
      <c r="B21" s="910"/>
      <c r="C21" s="910"/>
      <c r="D21" s="911"/>
      <c r="E21" s="912"/>
      <c r="F21" s="537"/>
      <c r="G21" s="537"/>
      <c r="H21" s="903"/>
      <c r="I21" s="903"/>
      <c r="N21" s="539" t="s">
        <v>2696</v>
      </c>
    </row>
    <row r="22" spans="2:14">
      <c r="B22" s="914"/>
      <c r="C22" s="914"/>
      <c r="D22" s="911"/>
      <c r="E22" s="912"/>
      <c r="F22" s="915"/>
      <c r="G22" s="903"/>
      <c r="H22" s="903"/>
      <c r="I22" s="903"/>
    </row>
    <row r="23" spans="2:14">
      <c r="B23" s="914"/>
      <c r="C23" s="916">
        <v>2025</v>
      </c>
      <c r="D23" s="911" t="s">
        <v>2697</v>
      </c>
      <c r="E23" s="912">
        <f>365-SUM(E14:E19)-11</f>
        <v>176</v>
      </c>
      <c r="F23" s="537">
        <f>AVERAGE(F12:F19)</f>
        <v>569.63735503858459</v>
      </c>
      <c r="G23" s="537">
        <f>F23*E23</f>
        <v>100256.17448679089</v>
      </c>
      <c r="H23" s="903"/>
      <c r="I23" s="903"/>
    </row>
    <row r="24" spans="2:14">
      <c r="B24" s="914"/>
      <c r="C24" s="916"/>
      <c r="D24" s="911"/>
      <c r="E24" s="912"/>
      <c r="F24" s="915"/>
      <c r="G24" s="540"/>
      <c r="H24" s="903"/>
      <c r="I24" s="903"/>
    </row>
    <row r="25" spans="2:14">
      <c r="B25" s="914"/>
      <c r="C25" s="916"/>
      <c r="D25" s="911"/>
      <c r="E25" s="912"/>
      <c r="F25" s="915"/>
      <c r="G25" s="540"/>
      <c r="H25" s="903"/>
      <c r="I25" s="903"/>
    </row>
    <row r="26" spans="2:14">
      <c r="B26" s="914"/>
      <c r="C26" s="916"/>
      <c r="D26" s="911"/>
      <c r="E26" s="912"/>
      <c r="F26" s="915"/>
      <c r="G26" s="540"/>
      <c r="H26" s="903"/>
      <c r="I26" s="903"/>
    </row>
    <row r="27" spans="2:14">
      <c r="B27" s="914"/>
      <c r="C27" s="916"/>
      <c r="D27" s="911"/>
      <c r="E27" s="912"/>
      <c r="F27" s="537"/>
      <c r="G27" s="537"/>
      <c r="H27" s="903"/>
      <c r="I27" s="903"/>
    </row>
    <row r="28" spans="2:14">
      <c r="B28" s="914"/>
      <c r="C28" s="917"/>
      <c r="D28" s="918"/>
      <c r="E28" s="898"/>
      <c r="F28" s="898"/>
      <c r="G28" s="903"/>
      <c r="H28" s="903"/>
      <c r="I28" s="919"/>
    </row>
    <row r="29" spans="2:14">
      <c r="B29" s="904"/>
      <c r="C29" s="920"/>
      <c r="D29" s="921"/>
      <c r="E29" s="922"/>
      <c r="F29" s="923"/>
      <c r="G29" s="924"/>
      <c r="H29" s="925"/>
      <c r="I29" s="924"/>
    </row>
    <row r="30" spans="2:14" ht="17" thickBot="1">
      <c r="B30" s="926"/>
      <c r="C30" s="900" t="s">
        <v>2698</v>
      </c>
      <c r="D30" s="898"/>
      <c r="E30" s="911"/>
      <c r="F30" s="898"/>
      <c r="G30" s="541">
        <f>SUM(G11:G29)</f>
        <v>208782.37042429089</v>
      </c>
      <c r="H30" s="927"/>
      <c r="I30" s="541">
        <f>G30*G34+G30</f>
        <v>216507.31812998964</v>
      </c>
      <c r="L30" s="375"/>
    </row>
    <row r="31" spans="2:14" ht="17" thickTop="1">
      <c r="B31" s="926"/>
      <c r="C31" s="900"/>
      <c r="D31" s="898"/>
      <c r="E31" s="911"/>
      <c r="F31" s="898"/>
      <c r="G31" s="903"/>
      <c r="H31" s="927"/>
      <c r="I31" s="903"/>
      <c r="L31" s="542"/>
    </row>
    <row r="32" spans="2:14">
      <c r="B32" s="928"/>
      <c r="C32" s="900"/>
      <c r="D32" s="898"/>
      <c r="E32" s="911"/>
      <c r="F32" s="898"/>
      <c r="G32" s="903"/>
      <c r="H32" s="927"/>
      <c r="I32" s="903"/>
    </row>
    <row r="33" spans="2:9">
      <c r="B33" s="928"/>
      <c r="C33" s="900"/>
      <c r="D33" s="898"/>
      <c r="E33" s="911"/>
      <c r="F33" s="898"/>
      <c r="G33" s="903"/>
      <c r="H33" s="927"/>
      <c r="I33" s="903"/>
    </row>
    <row r="34" spans="2:9">
      <c r="B34" s="929"/>
      <c r="C34" s="930" t="s">
        <v>2699</v>
      </c>
      <c r="D34" s="931"/>
      <c r="E34" s="932"/>
      <c r="G34" s="933">
        <v>3.6999999999999998E-2</v>
      </c>
      <c r="H34" s="903"/>
      <c r="I34" s="903"/>
    </row>
    <row r="35" spans="2:9">
      <c r="B35" s="929"/>
      <c r="C35" s="923"/>
      <c r="D35" s="923"/>
      <c r="E35" s="934"/>
      <c r="F35" s="923"/>
      <c r="G35" s="925"/>
      <c r="H35" s="903"/>
      <c r="I35" s="903"/>
    </row>
    <row r="36" spans="2:9">
      <c r="D36" s="460">
        <f>+yrlycomp!H7</f>
        <v>2025</v>
      </c>
      <c r="E36" s="461" t="s">
        <v>2607</v>
      </c>
      <c r="F36" s="460">
        <f>+D36</f>
        <v>2025</v>
      </c>
      <c r="G36" s="460">
        <f>+F36</f>
        <v>2025</v>
      </c>
      <c r="H36" s="460">
        <f>+G36</f>
        <v>2025</v>
      </c>
      <c r="I36" s="514">
        <f>+H36+1</f>
        <v>2026</v>
      </c>
    </row>
    <row r="37" spans="2:9">
      <c r="D37" s="461" t="s">
        <v>2305</v>
      </c>
      <c r="E37" s="461" t="s">
        <v>2609</v>
      </c>
      <c r="F37" s="461" t="s">
        <v>2306</v>
      </c>
      <c r="G37" s="461" t="s">
        <v>2307</v>
      </c>
      <c r="H37" s="461" t="s">
        <v>1494</v>
      </c>
      <c r="I37" s="462" t="s">
        <v>1494</v>
      </c>
    </row>
    <row r="38" spans="2:9">
      <c r="B38" s="543" t="s">
        <v>2184</v>
      </c>
      <c r="D38" s="667" t="s">
        <v>1496</v>
      </c>
      <c r="E38" s="667"/>
      <c r="F38" s="667" t="s">
        <v>2309</v>
      </c>
      <c r="G38" s="667" t="s">
        <v>2310</v>
      </c>
      <c r="H38" s="667"/>
      <c r="I38" s="668"/>
    </row>
    <row r="39" spans="2:9">
      <c r="B39" s="514" t="s">
        <v>1096</v>
      </c>
      <c r="C39" s="460" t="s">
        <v>685</v>
      </c>
      <c r="D39" s="426">
        <f>SUMIF('VLookup Data'!$A:$A,B39,'VLookup Data'!$E:$E)</f>
        <v>136280.9</v>
      </c>
      <c r="E39" s="426">
        <f>-F13*L13-L12*F12</f>
        <v>-27754.704062500001</v>
      </c>
      <c r="F39" s="371">
        <f>+G23</f>
        <v>100256.17448679089</v>
      </c>
      <c r="G39" s="375">
        <f>SUM(D39:F39)</f>
        <v>208782.37042429089</v>
      </c>
      <c r="H39" s="375">
        <v>217796.60750002172</v>
      </c>
      <c r="I39" s="544">
        <f>+I30</f>
        <v>216507.31812998964</v>
      </c>
    </row>
    <row r="64" spans="5:5">
      <c r="E64" s="545" t="s">
        <v>2700</v>
      </c>
    </row>
    <row r="81" spans="1:6">
      <c r="A81" s="536" t="s">
        <v>2689</v>
      </c>
      <c r="B81" s="898"/>
      <c r="C81" s="898"/>
      <c r="D81" s="898"/>
      <c r="E81" s="898"/>
      <c r="F81" s="903"/>
    </row>
    <row r="82" spans="1:6">
      <c r="A82" s="904"/>
      <c r="B82" s="133"/>
      <c r="C82" s="898"/>
      <c r="D82" s="905" t="s">
        <v>2690</v>
      </c>
      <c r="E82" s="906"/>
      <c r="F82" s="903"/>
    </row>
    <row r="83" spans="1:6">
      <c r="A83" s="907" t="s">
        <v>2692</v>
      </c>
      <c r="B83" s="908" t="s">
        <v>2693</v>
      </c>
      <c r="C83" s="908" t="s">
        <v>2694</v>
      </c>
      <c r="D83" s="905"/>
      <c r="E83" s="898"/>
      <c r="F83" s="898"/>
    </row>
    <row r="84" spans="1:6">
      <c r="A84" s="907"/>
      <c r="B84" s="909"/>
      <c r="C84" s="909"/>
      <c r="D84" s="909"/>
      <c r="E84" s="898"/>
      <c r="F84" s="898"/>
    </row>
    <row r="85" spans="1:6">
      <c r="A85" s="910">
        <v>42328</v>
      </c>
      <c r="B85" s="910">
        <v>42356</v>
      </c>
      <c r="C85" s="935">
        <v>14049.91</v>
      </c>
      <c r="D85" s="912">
        <v>29</v>
      </c>
      <c r="E85" s="537">
        <f t="shared" ref="E85:E95" si="3">C85/D85</f>
        <v>484.4796551724138</v>
      </c>
      <c r="F85" s="537">
        <f>E85*(D85-29)</f>
        <v>0</v>
      </c>
    </row>
    <row r="86" spans="1:6">
      <c r="A86" s="914">
        <v>42357</v>
      </c>
      <c r="B86" s="910">
        <v>42389</v>
      </c>
      <c r="C86" s="911">
        <v>16344.1</v>
      </c>
      <c r="D86" s="912">
        <v>33</v>
      </c>
      <c r="E86" s="537">
        <f t="shared" si="3"/>
        <v>495.27575757575761</v>
      </c>
      <c r="F86" s="537">
        <f>+E86*(D86-12)</f>
        <v>10400.790909090911</v>
      </c>
    </row>
    <row r="87" spans="1:6">
      <c r="A87" s="910">
        <v>42390</v>
      </c>
      <c r="B87" s="910">
        <v>42419</v>
      </c>
      <c r="C87" s="911">
        <v>14833.16</v>
      </c>
      <c r="D87" s="912">
        <v>30</v>
      </c>
      <c r="E87" s="537">
        <f t="shared" si="3"/>
        <v>494.43866666666668</v>
      </c>
      <c r="F87" s="537">
        <f>+E87*(D87)</f>
        <v>14833.16</v>
      </c>
    </row>
    <row r="88" spans="1:6">
      <c r="A88" s="910">
        <v>42420</v>
      </c>
      <c r="B88" s="910">
        <v>42450</v>
      </c>
      <c r="C88" s="911">
        <v>14521.05</v>
      </c>
      <c r="D88" s="912">
        <v>31</v>
      </c>
      <c r="E88" s="537">
        <f t="shared" si="3"/>
        <v>468.42096774193544</v>
      </c>
      <c r="F88" s="537">
        <f>+E88*(D88)</f>
        <v>14521.05</v>
      </c>
    </row>
    <row r="89" spans="1:6">
      <c r="A89" s="910">
        <v>42451</v>
      </c>
      <c r="B89" s="910">
        <v>42480</v>
      </c>
      <c r="C89" s="911">
        <v>15967.97</v>
      </c>
      <c r="D89" s="912">
        <v>30</v>
      </c>
      <c r="E89" s="537">
        <f t="shared" si="3"/>
        <v>532.26566666666668</v>
      </c>
      <c r="F89" s="537">
        <f>+E89*(D89)</f>
        <v>15967.970000000001</v>
      </c>
    </row>
    <row r="90" spans="1:6">
      <c r="A90" s="910">
        <v>42481</v>
      </c>
      <c r="B90" s="910">
        <v>42510</v>
      </c>
      <c r="C90" s="911">
        <v>14673.12</v>
      </c>
      <c r="D90" s="912">
        <v>30</v>
      </c>
      <c r="E90" s="537">
        <f t="shared" si="3"/>
        <v>489.10400000000004</v>
      </c>
      <c r="F90" s="537">
        <f>+E90*(D90)</f>
        <v>14673.12</v>
      </c>
    </row>
    <row r="91" spans="1:6">
      <c r="A91" s="910">
        <v>42511</v>
      </c>
      <c r="B91" s="910">
        <v>42533</v>
      </c>
      <c r="C91" s="911">
        <v>17906.330000000002</v>
      </c>
      <c r="D91" s="912">
        <v>31</v>
      </c>
      <c r="E91" s="537">
        <f t="shared" si="3"/>
        <v>577.62354838709678</v>
      </c>
      <c r="F91" s="537">
        <f>+E91*(D91)</f>
        <v>17906.330000000002</v>
      </c>
    </row>
    <row r="92" spans="1:6">
      <c r="A92" s="910">
        <v>42542</v>
      </c>
      <c r="B92" s="910">
        <v>42571</v>
      </c>
      <c r="C92" s="911">
        <v>17145.509999999998</v>
      </c>
      <c r="D92" s="912">
        <v>30</v>
      </c>
      <c r="E92" s="537">
        <f t="shared" si="3"/>
        <v>571.51699999999994</v>
      </c>
      <c r="F92" s="537">
        <f t="shared" ref="F92:F95" si="4">+E92*(D92)</f>
        <v>17145.509999999998</v>
      </c>
    </row>
    <row r="93" spans="1:6">
      <c r="A93" s="910">
        <v>42572</v>
      </c>
      <c r="B93" s="910">
        <v>42600</v>
      </c>
      <c r="C93" s="911">
        <v>16431.77</v>
      </c>
      <c r="D93" s="912">
        <v>29</v>
      </c>
      <c r="E93" s="537">
        <f t="shared" si="3"/>
        <v>566.61275862068965</v>
      </c>
      <c r="F93" s="537">
        <f t="shared" si="4"/>
        <v>16431.77</v>
      </c>
    </row>
    <row r="94" spans="1:6">
      <c r="A94" s="910">
        <v>42601</v>
      </c>
      <c r="B94" s="910">
        <v>42632</v>
      </c>
      <c r="C94" s="911">
        <v>19393.669999999998</v>
      </c>
      <c r="D94" s="912">
        <v>32</v>
      </c>
      <c r="E94" s="537">
        <f t="shared" si="3"/>
        <v>606.05218749999995</v>
      </c>
      <c r="F94" s="537">
        <f t="shared" si="4"/>
        <v>19393.669999999998</v>
      </c>
    </row>
    <row r="95" spans="1:6">
      <c r="A95" s="910">
        <v>42625</v>
      </c>
      <c r="B95" s="910">
        <v>42656</v>
      </c>
      <c r="C95" s="911">
        <v>20571.05</v>
      </c>
      <c r="D95" s="912">
        <v>31</v>
      </c>
      <c r="E95" s="537">
        <f t="shared" si="3"/>
        <v>663.58225806451605</v>
      </c>
      <c r="F95" s="537">
        <f t="shared" si="4"/>
        <v>20571.05</v>
      </c>
    </row>
    <row r="97" spans="1:6">
      <c r="A97" s="536" t="s">
        <v>2689</v>
      </c>
      <c r="B97" s="898"/>
      <c r="C97" s="898"/>
      <c r="D97" s="898"/>
      <c r="E97" s="898"/>
      <c r="F97" s="903"/>
    </row>
    <row r="98" spans="1:6">
      <c r="A98" s="904"/>
      <c r="B98" s="133"/>
      <c r="C98" s="898"/>
      <c r="D98" s="905" t="s">
        <v>2690</v>
      </c>
      <c r="E98" s="906"/>
      <c r="F98" s="903"/>
    </row>
    <row r="99" spans="1:6">
      <c r="A99" s="907" t="s">
        <v>2692</v>
      </c>
      <c r="B99" s="908" t="s">
        <v>2693</v>
      </c>
      <c r="C99" s="908" t="s">
        <v>2694</v>
      </c>
      <c r="D99" s="905"/>
      <c r="E99" s="898"/>
      <c r="F99" s="898"/>
    </row>
    <row r="100" spans="1:6">
      <c r="A100" s="907"/>
      <c r="B100" s="909"/>
      <c r="C100" s="909"/>
      <c r="D100" s="909"/>
      <c r="E100" s="898"/>
      <c r="F100" s="898"/>
    </row>
    <row r="101" spans="1:6">
      <c r="A101" s="910">
        <v>42687</v>
      </c>
      <c r="B101" s="910">
        <v>42717</v>
      </c>
      <c r="C101" s="911">
        <v>16302.3</v>
      </c>
      <c r="D101" s="912">
        <v>30</v>
      </c>
      <c r="E101" s="537">
        <f>C101/D101</f>
        <v>543.41</v>
      </c>
      <c r="F101" s="537">
        <f>+E101*(D101-30)</f>
        <v>0</v>
      </c>
    </row>
    <row r="102" spans="1:6">
      <c r="A102" s="914">
        <v>42717</v>
      </c>
      <c r="B102" s="910">
        <v>42747</v>
      </c>
      <c r="C102" s="911">
        <v>16633.09</v>
      </c>
      <c r="D102" s="912">
        <v>30</v>
      </c>
      <c r="E102" s="537">
        <f t="shared" ref="E102:E112" si="5">C102/D102</f>
        <v>554.43633333333332</v>
      </c>
      <c r="F102" s="537">
        <f>+E102*(D102-17)</f>
        <v>7207.672333333333</v>
      </c>
    </row>
    <row r="103" spans="1:6">
      <c r="A103" s="910">
        <v>42747</v>
      </c>
      <c r="B103" s="910">
        <v>42778</v>
      </c>
      <c r="C103" s="911">
        <v>17277.02</v>
      </c>
      <c r="D103" s="912">
        <v>31</v>
      </c>
      <c r="E103" s="537">
        <f t="shared" si="5"/>
        <v>557.32322580645166</v>
      </c>
      <c r="F103" s="537">
        <f>+E103*(D103)</f>
        <v>17277.02</v>
      </c>
    </row>
    <row r="104" spans="1:6">
      <c r="A104" s="910">
        <v>42778</v>
      </c>
      <c r="B104" s="910">
        <v>42807</v>
      </c>
      <c r="C104" s="911">
        <v>15320.66</v>
      </c>
      <c r="D104" s="912">
        <v>29</v>
      </c>
      <c r="E104" s="537">
        <f t="shared" si="5"/>
        <v>528.29862068965519</v>
      </c>
      <c r="F104" s="537">
        <f>+E104*(D104)</f>
        <v>15320.66</v>
      </c>
    </row>
    <row r="105" spans="1:6">
      <c r="A105" s="910">
        <v>42807</v>
      </c>
      <c r="B105" s="910">
        <v>42837</v>
      </c>
      <c r="C105" s="911">
        <v>15806.7</v>
      </c>
      <c r="D105" s="912">
        <v>30</v>
      </c>
      <c r="E105" s="537">
        <f t="shared" si="5"/>
        <v>526.89</v>
      </c>
      <c r="F105" s="537">
        <f>+E105*(D105)</f>
        <v>15806.699999999999</v>
      </c>
    </row>
    <row r="106" spans="1:6">
      <c r="A106" s="910">
        <v>42837</v>
      </c>
      <c r="B106" s="910">
        <v>42865</v>
      </c>
      <c r="C106" s="911">
        <v>14220.97</v>
      </c>
      <c r="D106" s="912">
        <v>28</v>
      </c>
      <c r="E106" s="537">
        <f t="shared" si="5"/>
        <v>507.89178571428567</v>
      </c>
      <c r="F106" s="537">
        <f>+E106*(D106)</f>
        <v>14220.97</v>
      </c>
    </row>
    <row r="107" spans="1:6">
      <c r="A107" s="910">
        <v>42865</v>
      </c>
      <c r="B107" s="910">
        <v>42898</v>
      </c>
      <c r="C107" s="911">
        <v>18556.57</v>
      </c>
      <c r="D107" s="912">
        <v>33</v>
      </c>
      <c r="E107" s="537">
        <f t="shared" si="5"/>
        <v>562.32030303030297</v>
      </c>
      <c r="F107" s="537">
        <f>+E107*(D107)</f>
        <v>18556.57</v>
      </c>
    </row>
    <row r="108" spans="1:6">
      <c r="A108" s="910">
        <v>42898</v>
      </c>
      <c r="B108" s="910">
        <v>42934</v>
      </c>
      <c r="C108" s="911">
        <v>17561.37</v>
      </c>
      <c r="D108" s="912">
        <v>36</v>
      </c>
      <c r="E108" s="537">
        <f t="shared" si="5"/>
        <v>487.81583333333333</v>
      </c>
      <c r="F108" s="537">
        <f t="shared" ref="F108:F112" si="6">+E108*(D108)</f>
        <v>17561.37</v>
      </c>
    </row>
    <row r="109" spans="1:6">
      <c r="A109" s="910">
        <v>42929</v>
      </c>
      <c r="B109" s="910">
        <v>42957</v>
      </c>
      <c r="C109" s="911">
        <v>16107.86</v>
      </c>
      <c r="D109" s="912">
        <v>28</v>
      </c>
      <c r="E109" s="537">
        <f t="shared" si="5"/>
        <v>575.28071428571434</v>
      </c>
      <c r="F109" s="537">
        <f t="shared" si="6"/>
        <v>16107.86</v>
      </c>
    </row>
    <row r="110" spans="1:6">
      <c r="A110" s="910">
        <v>42957</v>
      </c>
      <c r="B110" s="910">
        <v>42991</v>
      </c>
      <c r="C110" s="911">
        <v>21052.14</v>
      </c>
      <c r="D110" s="912">
        <v>28</v>
      </c>
      <c r="E110" s="537">
        <f t="shared" si="5"/>
        <v>751.86214285714289</v>
      </c>
      <c r="F110" s="537">
        <f t="shared" si="6"/>
        <v>21052.14</v>
      </c>
    </row>
    <row r="111" spans="1:6">
      <c r="A111" s="910">
        <v>42998</v>
      </c>
      <c r="B111" s="910">
        <v>43027</v>
      </c>
      <c r="C111" s="911">
        <v>17714.11</v>
      </c>
      <c r="D111" s="912">
        <v>30</v>
      </c>
      <c r="E111" s="537">
        <f t="shared" si="5"/>
        <v>590.47033333333331</v>
      </c>
      <c r="F111" s="537">
        <f t="shared" si="6"/>
        <v>17714.11</v>
      </c>
    </row>
    <row r="112" spans="1:6">
      <c r="A112" s="910">
        <v>43028</v>
      </c>
      <c r="B112" s="910">
        <v>43059</v>
      </c>
      <c r="C112" s="911">
        <v>18639.88</v>
      </c>
      <c r="D112" s="912">
        <v>32</v>
      </c>
      <c r="E112" s="537">
        <f t="shared" si="5"/>
        <v>582.49625000000003</v>
      </c>
      <c r="F112" s="537">
        <f t="shared" si="6"/>
        <v>18639.88</v>
      </c>
    </row>
    <row r="113" spans="1:6">
      <c r="A113" s="910">
        <v>43060</v>
      </c>
      <c r="B113" s="910">
        <v>43088</v>
      </c>
      <c r="C113" s="911">
        <v>16369.17</v>
      </c>
      <c r="D113" s="912">
        <v>29</v>
      </c>
      <c r="E113" s="537">
        <f>C113/D113</f>
        <v>564.45413793103444</v>
      </c>
      <c r="F113" s="537">
        <f>+E113*(D113-29)</f>
        <v>0</v>
      </c>
    </row>
    <row r="114" spans="1:6">
      <c r="A114" s="914">
        <v>43089</v>
      </c>
      <c r="B114" s="910">
        <v>43118</v>
      </c>
      <c r="C114" s="911">
        <v>17083.34</v>
      </c>
      <c r="D114" s="912">
        <v>30</v>
      </c>
      <c r="E114" s="537">
        <f t="shared" ref="E114:E124" si="7">C114/D114</f>
        <v>569.44466666666665</v>
      </c>
      <c r="F114" s="537">
        <f>+E114*(D114-12)</f>
        <v>10250.003999999999</v>
      </c>
    </row>
    <row r="115" spans="1:6">
      <c r="A115" s="910">
        <v>43119</v>
      </c>
      <c r="B115" s="910">
        <v>43147</v>
      </c>
      <c r="C115" s="911">
        <v>16408.64</v>
      </c>
      <c r="D115" s="912">
        <v>29</v>
      </c>
      <c r="E115" s="537">
        <f t="shared" si="7"/>
        <v>565.81517241379311</v>
      </c>
      <c r="F115" s="537">
        <f>+E115*(D115)</f>
        <v>16408.64</v>
      </c>
    </row>
    <row r="116" spans="1:6">
      <c r="A116" s="910">
        <v>43148</v>
      </c>
      <c r="B116" s="910">
        <v>43179</v>
      </c>
      <c r="C116" s="911">
        <v>14564.53</v>
      </c>
      <c r="D116" s="912">
        <v>32</v>
      </c>
      <c r="E116" s="537">
        <f t="shared" si="7"/>
        <v>455.14156250000002</v>
      </c>
      <c r="F116" s="537">
        <f>+E116*(D116)</f>
        <v>14564.53</v>
      </c>
    </row>
    <row r="117" spans="1:6">
      <c r="A117" s="910">
        <v>43180</v>
      </c>
      <c r="B117" s="910">
        <v>43209</v>
      </c>
      <c r="C117" s="911">
        <v>13856.53</v>
      </c>
      <c r="D117" s="912">
        <v>30</v>
      </c>
      <c r="E117" s="537">
        <f t="shared" si="7"/>
        <v>461.88433333333336</v>
      </c>
      <c r="F117" s="537">
        <f>+E117*(D117)</f>
        <v>13856.53</v>
      </c>
    </row>
    <row r="118" spans="1:6">
      <c r="A118" s="910">
        <v>43210</v>
      </c>
      <c r="B118" s="910">
        <v>43238</v>
      </c>
      <c r="C118" s="911">
        <v>14985.07</v>
      </c>
      <c r="D118" s="912">
        <v>29</v>
      </c>
      <c r="E118" s="537">
        <f t="shared" si="7"/>
        <v>516.72655172413795</v>
      </c>
      <c r="F118" s="537">
        <f>+E118*(D118)</f>
        <v>14985.07</v>
      </c>
    </row>
    <row r="119" spans="1:6">
      <c r="A119" s="910">
        <v>43239</v>
      </c>
      <c r="B119" s="910">
        <v>43269</v>
      </c>
      <c r="C119" s="911">
        <v>15957.97</v>
      </c>
      <c r="D119" s="912">
        <v>31</v>
      </c>
      <c r="E119" s="537">
        <f t="shared" si="7"/>
        <v>514.77322580645159</v>
      </c>
      <c r="F119" s="537">
        <f>+E119*(D119)</f>
        <v>15957.97</v>
      </c>
    </row>
    <row r="120" spans="1:6">
      <c r="A120" s="910">
        <v>43270</v>
      </c>
      <c r="B120" s="910">
        <v>43299</v>
      </c>
      <c r="C120" s="911">
        <v>19929.419999999998</v>
      </c>
      <c r="D120" s="912">
        <v>30</v>
      </c>
      <c r="E120" s="537">
        <f t="shared" si="7"/>
        <v>664.31399999999996</v>
      </c>
      <c r="F120" s="537">
        <f t="shared" ref="F120:F124" si="8">+E120*(D120)</f>
        <v>19929.419999999998</v>
      </c>
    </row>
    <row r="121" spans="1:6">
      <c r="A121" s="910">
        <v>43300</v>
      </c>
      <c r="B121" s="910">
        <v>43324</v>
      </c>
      <c r="C121" s="911">
        <v>14163.94</v>
      </c>
      <c r="D121" s="912">
        <v>25</v>
      </c>
      <c r="E121" s="537">
        <f t="shared" si="7"/>
        <v>566.55759999999998</v>
      </c>
      <c r="F121" s="537">
        <f t="shared" si="8"/>
        <v>14163.939999999999</v>
      </c>
    </row>
    <row r="122" spans="1:6">
      <c r="A122" s="910">
        <v>43324</v>
      </c>
      <c r="B122" s="910">
        <v>43356</v>
      </c>
      <c r="C122" s="911">
        <v>18899.78</v>
      </c>
      <c r="D122" s="531">
        <v>32</v>
      </c>
      <c r="E122" s="537">
        <f t="shared" si="7"/>
        <v>590.61812499999996</v>
      </c>
      <c r="F122" s="537">
        <f t="shared" si="8"/>
        <v>18899.78</v>
      </c>
    </row>
    <row r="123" spans="1:6">
      <c r="A123" s="910">
        <v>43356</v>
      </c>
      <c r="B123" s="910">
        <v>43387</v>
      </c>
      <c r="C123" s="911">
        <v>17481.7</v>
      </c>
      <c r="D123" s="531">
        <v>31</v>
      </c>
      <c r="E123" s="537">
        <f t="shared" si="7"/>
        <v>563.92580645161297</v>
      </c>
      <c r="F123" s="537">
        <f t="shared" si="8"/>
        <v>17481.7</v>
      </c>
    </row>
    <row r="124" spans="1:6">
      <c r="A124" s="910">
        <v>43387</v>
      </c>
      <c r="B124" s="910">
        <v>43418</v>
      </c>
      <c r="C124" s="911">
        <v>15284.06</v>
      </c>
      <c r="D124" s="531">
        <v>31</v>
      </c>
      <c r="E124" s="537">
        <f t="shared" si="7"/>
        <v>493.03419354838707</v>
      </c>
      <c r="F124" s="537">
        <f t="shared" si="8"/>
        <v>15284.06</v>
      </c>
    </row>
    <row r="125" spans="1:6">
      <c r="A125" s="910">
        <v>43418</v>
      </c>
      <c r="B125" s="910">
        <v>43446</v>
      </c>
      <c r="C125" s="911">
        <v>14401.88</v>
      </c>
      <c r="D125" s="912">
        <v>28</v>
      </c>
      <c r="E125" s="537">
        <f>C125/D125</f>
        <v>514.35285714285715</v>
      </c>
      <c r="F125" s="537">
        <f>+E125*(D125-28)</f>
        <v>0</v>
      </c>
    </row>
    <row r="126" spans="1:6">
      <c r="A126" s="914">
        <v>43446</v>
      </c>
      <c r="B126" s="910">
        <v>43478</v>
      </c>
      <c r="C126" s="911">
        <v>15456.58</v>
      </c>
      <c r="D126" s="912">
        <v>32</v>
      </c>
      <c r="E126" s="537">
        <f t="shared" ref="E126:E127" si="9">C126/D126</f>
        <v>483.018125</v>
      </c>
      <c r="F126" s="537">
        <f>+E126*(D126-12)</f>
        <v>9660.3624999999993</v>
      </c>
    </row>
    <row r="127" spans="1:6">
      <c r="A127" s="910">
        <v>43478</v>
      </c>
      <c r="B127" s="910">
        <v>43508</v>
      </c>
      <c r="C127" s="911">
        <v>14706.55</v>
      </c>
      <c r="D127" s="912">
        <v>30</v>
      </c>
      <c r="E127" s="537">
        <f t="shared" si="9"/>
        <v>490.21833333333331</v>
      </c>
      <c r="F127" s="537">
        <f>+E127*(D127)</f>
        <v>14706.55</v>
      </c>
    </row>
    <row r="128" spans="1:6">
      <c r="A128" s="910">
        <v>43508</v>
      </c>
      <c r="B128" s="910">
        <v>43537</v>
      </c>
      <c r="C128" s="911">
        <v>13776.05</v>
      </c>
      <c r="D128" s="912">
        <v>29</v>
      </c>
      <c r="E128" s="537">
        <f>C128/D128</f>
        <v>475.03620689655168</v>
      </c>
      <c r="F128" s="537">
        <f>+E128*(D128)</f>
        <v>13776.05</v>
      </c>
    </row>
    <row r="129" spans="1:6">
      <c r="A129" s="910">
        <v>43537</v>
      </c>
      <c r="B129" s="910">
        <v>43566</v>
      </c>
      <c r="C129" s="911">
        <v>14169.99</v>
      </c>
      <c r="D129" s="912">
        <v>29</v>
      </c>
      <c r="E129" s="537">
        <f>C129/D129</f>
        <v>488.62034482758622</v>
      </c>
      <c r="F129" s="537">
        <f>+E129*(D129)</f>
        <v>14169.99</v>
      </c>
    </row>
    <row r="130" spans="1:6">
      <c r="A130" s="910">
        <v>43566</v>
      </c>
      <c r="B130" s="910">
        <v>43597</v>
      </c>
      <c r="C130" s="911">
        <v>17627.599999999999</v>
      </c>
      <c r="D130" s="912">
        <v>31</v>
      </c>
      <c r="E130" s="537">
        <f>C130/D130</f>
        <v>568.63225806451612</v>
      </c>
      <c r="F130" s="537">
        <f>+E130*(D130)</f>
        <v>17627.599999999999</v>
      </c>
    </row>
    <row r="131" spans="1:6">
      <c r="A131" s="910">
        <v>43597</v>
      </c>
      <c r="B131" s="910">
        <v>43633</v>
      </c>
      <c r="C131" s="911">
        <v>15525.67</v>
      </c>
      <c r="D131" s="912">
        <v>36</v>
      </c>
      <c r="E131" s="537">
        <f t="shared" ref="E131:E136" si="10">C131/D131</f>
        <v>431.26861111111111</v>
      </c>
      <c r="F131" s="537">
        <f>+E131*(D131)</f>
        <v>15525.67</v>
      </c>
    </row>
    <row r="132" spans="1:6">
      <c r="A132" s="910">
        <v>43633</v>
      </c>
      <c r="B132" s="910">
        <v>43677</v>
      </c>
      <c r="C132" s="911">
        <v>30559.03</v>
      </c>
      <c r="D132" s="912">
        <v>44</v>
      </c>
      <c r="E132" s="537">
        <f t="shared" si="10"/>
        <v>694.52340909090901</v>
      </c>
      <c r="F132" s="537">
        <f t="shared" ref="F132:F136" si="11">+E132*(D132)</f>
        <v>30559.029999999995</v>
      </c>
    </row>
    <row r="133" spans="1:6">
      <c r="A133" s="910">
        <v>43677</v>
      </c>
      <c r="B133" s="910">
        <v>43689</v>
      </c>
      <c r="C133" s="911">
        <v>7790.86</v>
      </c>
      <c r="D133" s="912">
        <v>24</v>
      </c>
      <c r="E133" s="537">
        <f t="shared" si="10"/>
        <v>324.61916666666667</v>
      </c>
      <c r="F133" s="537">
        <f t="shared" si="11"/>
        <v>7790.8600000000006</v>
      </c>
    </row>
    <row r="134" spans="1:6">
      <c r="A134" s="910">
        <v>43689</v>
      </c>
      <c r="B134" s="910">
        <v>43720</v>
      </c>
      <c r="C134" s="911">
        <v>19637.3</v>
      </c>
      <c r="D134" s="531">
        <v>31</v>
      </c>
      <c r="E134" s="537">
        <f t="shared" si="10"/>
        <v>633.46129032258057</v>
      </c>
      <c r="F134" s="537">
        <f t="shared" si="11"/>
        <v>19637.3</v>
      </c>
    </row>
    <row r="135" spans="1:6">
      <c r="A135" s="910">
        <v>43720</v>
      </c>
      <c r="B135" s="910">
        <v>43752</v>
      </c>
      <c r="C135" s="911">
        <v>19648.93</v>
      </c>
      <c r="D135" s="531">
        <v>32</v>
      </c>
      <c r="E135" s="537">
        <f t="shared" si="10"/>
        <v>614.02906250000001</v>
      </c>
      <c r="F135" s="537">
        <f t="shared" si="11"/>
        <v>19648.93</v>
      </c>
    </row>
    <row r="136" spans="1:6">
      <c r="A136" s="910">
        <v>43752</v>
      </c>
      <c r="B136" s="910">
        <v>43783</v>
      </c>
      <c r="C136" s="911">
        <v>16529.599999999999</v>
      </c>
      <c r="D136" s="531">
        <v>31</v>
      </c>
      <c r="E136" s="537">
        <f t="shared" si="10"/>
        <v>533.21290322580637</v>
      </c>
      <c r="F136" s="537">
        <f t="shared" si="11"/>
        <v>16529.599999999999</v>
      </c>
    </row>
    <row r="137" spans="1:6">
      <c r="A137" s="910">
        <v>43783</v>
      </c>
      <c r="B137" s="910">
        <v>43811</v>
      </c>
      <c r="C137" s="911">
        <v>14992.71</v>
      </c>
      <c r="D137" s="912">
        <v>28</v>
      </c>
      <c r="E137" s="537">
        <f>C137/D137</f>
        <v>535.45392857142849</v>
      </c>
      <c r="F137" s="537">
        <f>+E137*(D137-28)</f>
        <v>0</v>
      </c>
    </row>
    <row r="138" spans="1:6">
      <c r="A138" s="914">
        <v>43811</v>
      </c>
      <c r="B138" s="910">
        <v>43843</v>
      </c>
      <c r="C138" s="911">
        <v>15580.97</v>
      </c>
      <c r="D138" s="912">
        <v>32</v>
      </c>
      <c r="E138" s="537">
        <f t="shared" ref="E138:E139" si="12">C138/D138</f>
        <v>486.90531249999998</v>
      </c>
      <c r="F138" s="537">
        <f>+E138*(D138-21)</f>
        <v>5355.9584374999995</v>
      </c>
    </row>
    <row r="139" spans="1:6">
      <c r="A139" s="910">
        <v>43843</v>
      </c>
      <c r="B139" s="910">
        <v>43873</v>
      </c>
      <c r="C139" s="911">
        <v>14417.85</v>
      </c>
      <c r="D139" s="912">
        <v>30</v>
      </c>
      <c r="E139" s="537">
        <f t="shared" si="12"/>
        <v>480.59500000000003</v>
      </c>
      <c r="F139" s="537">
        <f>+E139*(D139)</f>
        <v>14417.85</v>
      </c>
    </row>
    <row r="140" spans="1:6">
      <c r="A140" s="910">
        <v>43873</v>
      </c>
      <c r="B140" s="910">
        <v>43902</v>
      </c>
      <c r="C140" s="911">
        <v>14124.65</v>
      </c>
      <c r="D140" s="912">
        <v>29</v>
      </c>
      <c r="E140" s="537">
        <f>C140/D140</f>
        <v>487.05689655172415</v>
      </c>
      <c r="F140" s="537">
        <f>+E140*(D140)</f>
        <v>14124.65</v>
      </c>
    </row>
    <row r="141" spans="1:6">
      <c r="A141" s="910">
        <v>43902</v>
      </c>
      <c r="B141" s="910">
        <v>43934</v>
      </c>
      <c r="C141" s="911">
        <v>14339.02</v>
      </c>
      <c r="D141" s="912">
        <v>32</v>
      </c>
      <c r="E141" s="537">
        <f>C141/D141</f>
        <v>448.09437500000001</v>
      </c>
      <c r="F141" s="537">
        <f>+E141*(D141)</f>
        <v>14339.02</v>
      </c>
    </row>
    <row r="142" spans="1:6">
      <c r="A142" s="910">
        <v>43934</v>
      </c>
      <c r="B142" s="910">
        <v>43963</v>
      </c>
      <c r="C142" s="911">
        <v>12801.88</v>
      </c>
      <c r="D142" s="912">
        <v>29</v>
      </c>
      <c r="E142" s="537">
        <f>C142/D142</f>
        <v>441.44413793103445</v>
      </c>
      <c r="F142" s="537">
        <f>+E142*(D142)</f>
        <v>12801.88</v>
      </c>
    </row>
    <row r="143" spans="1:6">
      <c r="A143" s="910">
        <v>43963</v>
      </c>
      <c r="B143" s="910">
        <v>43993</v>
      </c>
      <c r="C143" s="911">
        <v>14007.55</v>
      </c>
      <c r="D143" s="912">
        <v>30</v>
      </c>
      <c r="E143" s="537">
        <f t="shared" ref="E143:E160" si="13">C143/D143</f>
        <v>466.91833333333329</v>
      </c>
      <c r="F143" s="537">
        <f>+E143*(D143)</f>
        <v>14007.55</v>
      </c>
    </row>
    <row r="144" spans="1:6">
      <c r="A144" s="910">
        <v>43993</v>
      </c>
      <c r="B144" s="910">
        <v>44025</v>
      </c>
      <c r="C144" s="911">
        <v>24559.68</v>
      </c>
      <c r="D144" s="912">
        <v>33</v>
      </c>
      <c r="E144" s="537">
        <f t="shared" si="13"/>
        <v>744.23272727272729</v>
      </c>
      <c r="F144" s="537">
        <f t="shared" ref="F144:F160" si="14">+E144*(D144)</f>
        <v>24559.68</v>
      </c>
    </row>
    <row r="145" spans="1:7">
      <c r="A145" s="910">
        <v>44025</v>
      </c>
      <c r="B145" s="910">
        <v>44056</v>
      </c>
      <c r="C145" s="911">
        <f>28981.11+19.29</f>
        <v>29000.400000000001</v>
      </c>
      <c r="D145" s="912">
        <v>31</v>
      </c>
      <c r="E145" s="537">
        <f t="shared" si="13"/>
        <v>935.49677419354839</v>
      </c>
      <c r="F145" s="537">
        <f t="shared" si="14"/>
        <v>29000.400000000001</v>
      </c>
    </row>
    <row r="146" spans="1:7">
      <c r="A146" s="910">
        <v>44062</v>
      </c>
      <c r="B146" s="910">
        <v>44092</v>
      </c>
      <c r="C146" s="911">
        <v>22602.38</v>
      </c>
      <c r="D146" s="531">
        <v>31</v>
      </c>
      <c r="E146" s="537">
        <f t="shared" si="13"/>
        <v>729.10903225806453</v>
      </c>
      <c r="F146" s="537">
        <f t="shared" si="14"/>
        <v>22602.38</v>
      </c>
    </row>
    <row r="147" spans="1:7">
      <c r="A147" s="910">
        <v>44093</v>
      </c>
      <c r="B147" s="910">
        <v>44124</v>
      </c>
      <c r="C147" s="911">
        <v>16021.57</v>
      </c>
      <c r="D147" s="531">
        <v>32</v>
      </c>
      <c r="E147" s="537">
        <f t="shared" si="13"/>
        <v>500.67406249999999</v>
      </c>
      <c r="F147" s="537">
        <f t="shared" si="14"/>
        <v>16021.57</v>
      </c>
    </row>
    <row r="148" spans="1:7">
      <c r="A148" s="910">
        <v>44125</v>
      </c>
      <c r="B148" s="910">
        <v>44154</v>
      </c>
      <c r="C148" s="911">
        <v>14366.5</v>
      </c>
      <c r="D148" s="531">
        <v>30</v>
      </c>
      <c r="E148" s="537">
        <f t="shared" si="13"/>
        <v>478.88333333333333</v>
      </c>
      <c r="F148" s="537">
        <f t="shared" si="14"/>
        <v>14366.5</v>
      </c>
    </row>
    <row r="149" spans="1:7">
      <c r="A149" s="910">
        <v>44147</v>
      </c>
      <c r="B149" s="910">
        <v>44178</v>
      </c>
      <c r="C149" s="911">
        <v>16212.45</v>
      </c>
      <c r="D149" s="912">
        <v>31</v>
      </c>
      <c r="E149" s="537">
        <f>C149/D149</f>
        <v>522.98225806451615</v>
      </c>
      <c r="F149" s="537">
        <f>+E149*(D149-31)</f>
        <v>0</v>
      </c>
    </row>
    <row r="150" spans="1:7">
      <c r="A150" s="914">
        <v>44178</v>
      </c>
      <c r="B150" s="910">
        <v>44208</v>
      </c>
      <c r="C150" s="911">
        <v>15318.48</v>
      </c>
      <c r="D150" s="912">
        <v>30</v>
      </c>
      <c r="E150" s="537">
        <f t="shared" ref="E150:E151" si="15">C150/D150</f>
        <v>510.61599999999999</v>
      </c>
      <c r="F150" s="537">
        <f>+E150*(D150-19)</f>
        <v>5616.7759999999998</v>
      </c>
    </row>
    <row r="151" spans="1:7">
      <c r="A151" s="910">
        <v>44208</v>
      </c>
      <c r="B151" s="910">
        <v>44238</v>
      </c>
      <c r="C151" s="911">
        <v>15830.09</v>
      </c>
      <c r="D151" s="912">
        <v>30</v>
      </c>
      <c r="E151" s="537">
        <f t="shared" si="15"/>
        <v>527.66966666666667</v>
      </c>
      <c r="F151" s="537">
        <f>+E151*(D151)</f>
        <v>15830.09</v>
      </c>
    </row>
    <row r="152" spans="1:7">
      <c r="A152" s="910">
        <v>44238</v>
      </c>
      <c r="B152" s="910">
        <v>44269</v>
      </c>
      <c r="C152" s="911">
        <v>16610.09</v>
      </c>
      <c r="D152" s="912">
        <v>31</v>
      </c>
      <c r="E152" s="537">
        <f>C152/D152</f>
        <v>535.80935483870974</v>
      </c>
      <c r="F152" s="537">
        <f>+E152*(D152)</f>
        <v>16610.09</v>
      </c>
    </row>
    <row r="153" spans="1:7">
      <c r="A153" s="910">
        <v>44269</v>
      </c>
      <c r="B153" s="910">
        <v>44298</v>
      </c>
      <c r="C153" s="911">
        <v>16096.15</v>
      </c>
      <c r="D153" s="912">
        <v>29</v>
      </c>
      <c r="E153" s="537">
        <f>C153/D153</f>
        <v>555.03965517241375</v>
      </c>
      <c r="F153" s="537">
        <f>+E153*(D153)</f>
        <v>16096.149999999998</v>
      </c>
    </row>
    <row r="154" spans="1:7">
      <c r="A154" s="910">
        <v>44298</v>
      </c>
      <c r="B154" s="910">
        <v>44328</v>
      </c>
      <c r="C154" s="911">
        <v>15986.23</v>
      </c>
      <c r="D154" s="912">
        <v>30</v>
      </c>
      <c r="E154" s="537">
        <f>C154/D154</f>
        <v>532.87433333333331</v>
      </c>
      <c r="F154" s="537">
        <f>+E154*(D154)</f>
        <v>15986.23</v>
      </c>
    </row>
    <row r="155" spans="1:7">
      <c r="A155" s="910">
        <v>44328</v>
      </c>
      <c r="B155" s="910">
        <v>44360</v>
      </c>
      <c r="C155" s="911">
        <v>18663.740000000002</v>
      </c>
      <c r="D155" s="912">
        <v>32</v>
      </c>
      <c r="E155" s="537">
        <f t="shared" ref="E155:E157" si="16">C155/D155</f>
        <v>583.24187500000005</v>
      </c>
      <c r="F155" s="537">
        <f>+E155*(D155)</f>
        <v>18663.740000000002</v>
      </c>
    </row>
    <row r="156" spans="1:7">
      <c r="A156" s="910">
        <v>44360</v>
      </c>
      <c r="B156" s="910">
        <v>44390</v>
      </c>
      <c r="C156" s="911">
        <v>17679.16</v>
      </c>
      <c r="D156" s="912">
        <v>30</v>
      </c>
      <c r="E156" s="537">
        <f t="shared" si="16"/>
        <v>589.30533333333335</v>
      </c>
      <c r="F156" s="537">
        <f t="shared" ref="F156:F157" si="17">+E156*(D156)</f>
        <v>17679.16</v>
      </c>
    </row>
    <row r="157" spans="1:7">
      <c r="A157" s="910">
        <v>44390</v>
      </c>
      <c r="B157" s="910">
        <v>44419</v>
      </c>
      <c r="C157" s="911">
        <v>17852.900000000001</v>
      </c>
      <c r="D157" s="912">
        <v>29</v>
      </c>
      <c r="E157" s="537">
        <f t="shared" si="16"/>
        <v>615.61724137931037</v>
      </c>
      <c r="F157" s="537">
        <f t="shared" si="17"/>
        <v>17852.900000000001</v>
      </c>
    </row>
    <row r="158" spans="1:7">
      <c r="A158" s="910"/>
      <c r="B158" s="910"/>
      <c r="C158" s="911"/>
      <c r="E158" s="537" t="e">
        <f t="shared" si="13"/>
        <v>#DIV/0!</v>
      </c>
      <c r="F158" s="537" t="e">
        <f t="shared" si="14"/>
        <v>#DIV/0!</v>
      </c>
    </row>
    <row r="159" spans="1:7">
      <c r="A159" s="910"/>
      <c r="B159" s="910"/>
      <c r="C159" s="911"/>
      <c r="E159" s="537" t="e">
        <f t="shared" si="13"/>
        <v>#DIV/0!</v>
      </c>
      <c r="F159" s="537" t="e">
        <f t="shared" si="14"/>
        <v>#DIV/0!</v>
      </c>
    </row>
    <row r="160" spans="1:7">
      <c r="A160" s="910"/>
      <c r="B160" s="910"/>
      <c r="C160" s="911"/>
      <c r="E160" s="537" t="e">
        <f t="shared" si="13"/>
        <v>#DIV/0!</v>
      </c>
      <c r="F160" s="537" t="e">
        <f t="shared" si="14"/>
        <v>#DIV/0!</v>
      </c>
      <c r="G160" s="672" t="s">
        <v>2701</v>
      </c>
    </row>
    <row r="161" spans="1:7">
      <c r="A161" s="910">
        <v>44510</v>
      </c>
      <c r="B161" s="910">
        <v>44542</v>
      </c>
      <c r="C161" s="911">
        <v>20122.48</v>
      </c>
      <c r="D161" s="912">
        <v>32</v>
      </c>
      <c r="E161" s="537">
        <f>C161/D161</f>
        <v>628.82749999999999</v>
      </c>
      <c r="F161" s="537">
        <f>+E161*(D161-32)</f>
        <v>0</v>
      </c>
      <c r="G161" s="531">
        <v>1883</v>
      </c>
    </row>
    <row r="162" spans="1:7">
      <c r="A162" s="914">
        <v>44542</v>
      </c>
      <c r="B162" s="910">
        <v>44572</v>
      </c>
      <c r="C162" s="911">
        <v>17279.259999999998</v>
      </c>
      <c r="D162" s="912">
        <v>30</v>
      </c>
      <c r="E162" s="537">
        <f t="shared" ref="E162:E163" si="18">C162/D162</f>
        <v>575.97533333333331</v>
      </c>
      <c r="F162" s="537">
        <f>+E162*(D162-19)</f>
        <v>6335.728666666666</v>
      </c>
      <c r="G162" s="531">
        <v>1616</v>
      </c>
    </row>
    <row r="163" spans="1:7">
      <c r="A163" s="910">
        <v>44572</v>
      </c>
      <c r="B163" s="910">
        <v>44600</v>
      </c>
      <c r="C163" s="911">
        <v>16007.21</v>
      </c>
      <c r="D163" s="912">
        <v>28</v>
      </c>
      <c r="E163" s="537">
        <f t="shared" si="18"/>
        <v>571.68607142857138</v>
      </c>
      <c r="F163" s="537">
        <f>+E163*(D163)</f>
        <v>16007.21</v>
      </c>
      <c r="G163" s="531">
        <v>1498</v>
      </c>
    </row>
    <row r="164" spans="1:7">
      <c r="A164" s="910">
        <v>44600</v>
      </c>
      <c r="B164" s="910">
        <v>44633</v>
      </c>
      <c r="C164" s="911">
        <v>18618.55</v>
      </c>
      <c r="D164" s="912">
        <v>33</v>
      </c>
      <c r="E164" s="537">
        <f>C164/D164</f>
        <v>564.19848484848478</v>
      </c>
      <c r="F164" s="537">
        <f>+E164*(D164)</f>
        <v>18618.55</v>
      </c>
      <c r="G164" s="531">
        <v>1741</v>
      </c>
    </row>
    <row r="165" spans="1:7">
      <c r="A165" s="910">
        <v>44633</v>
      </c>
      <c r="B165" s="910">
        <v>44663</v>
      </c>
      <c r="C165" s="911">
        <v>16482.84</v>
      </c>
      <c r="D165" s="912">
        <v>30</v>
      </c>
      <c r="E165" s="537">
        <f>C165/D165</f>
        <v>549.428</v>
      </c>
      <c r="F165" s="537">
        <f>+E165*(D165)</f>
        <v>16482.84</v>
      </c>
      <c r="G165" s="531">
        <v>1541</v>
      </c>
    </row>
    <row r="166" spans="1:7">
      <c r="A166" s="910">
        <v>44663</v>
      </c>
      <c r="B166" s="910">
        <v>44692</v>
      </c>
      <c r="C166" s="911">
        <v>17677.419999999998</v>
      </c>
      <c r="D166" s="912">
        <v>29</v>
      </c>
      <c r="E166" s="537">
        <f>C166/D166</f>
        <v>609.56620689655165</v>
      </c>
      <c r="F166" s="537">
        <f>+E166*(D166)</f>
        <v>17677.419999999998</v>
      </c>
      <c r="G166" s="531">
        <v>1669</v>
      </c>
    </row>
    <row r="167" spans="1:7">
      <c r="A167" s="910">
        <v>44692</v>
      </c>
      <c r="B167" s="910">
        <v>44721</v>
      </c>
      <c r="C167" s="911">
        <v>18247.32</v>
      </c>
      <c r="D167" s="912">
        <v>29</v>
      </c>
      <c r="E167" s="537">
        <f t="shared" ref="E167:E169" si="19">C167/D167</f>
        <v>629.21793103448272</v>
      </c>
      <c r="F167" s="537">
        <f>+E167*(D167)</f>
        <v>18247.32</v>
      </c>
      <c r="G167" s="531">
        <v>1898</v>
      </c>
    </row>
    <row r="168" spans="1:7">
      <c r="A168" s="910">
        <v>44721</v>
      </c>
      <c r="B168" s="910">
        <v>44753</v>
      </c>
      <c r="C168" s="911">
        <v>20379.169999999998</v>
      </c>
      <c r="D168" s="912">
        <v>32</v>
      </c>
      <c r="E168" s="537">
        <f t="shared" si="19"/>
        <v>636.84906249999995</v>
      </c>
      <c r="F168" s="537">
        <f t="shared" ref="F168:F169" si="20">+E168*(D168)</f>
        <v>20379.169999999998</v>
      </c>
      <c r="G168" s="531">
        <v>2169</v>
      </c>
    </row>
    <row r="169" spans="1:7">
      <c r="A169" s="910">
        <v>44753</v>
      </c>
      <c r="B169" s="910">
        <v>44783</v>
      </c>
      <c r="C169" s="911">
        <v>19154.87</v>
      </c>
      <c r="D169" s="912">
        <v>30</v>
      </c>
      <c r="E169" s="537">
        <f t="shared" si="19"/>
        <v>638.49566666666658</v>
      </c>
      <c r="F169" s="537">
        <f t="shared" si="20"/>
        <v>19154.87</v>
      </c>
      <c r="G169" s="531">
        <v>2086</v>
      </c>
    </row>
    <row r="170" spans="1:7">
      <c r="G170" s="531">
        <f>SUM(G161:G169)</f>
        <v>16101</v>
      </c>
    </row>
    <row r="172" spans="1:7">
      <c r="A172" s="910">
        <v>44874</v>
      </c>
      <c r="B172" s="910">
        <v>44906</v>
      </c>
      <c r="C172" s="911">
        <v>16092.43</v>
      </c>
      <c r="D172" s="912">
        <v>32</v>
      </c>
      <c r="E172" s="537">
        <f>C172/D172</f>
        <v>502.88843750000001</v>
      </c>
      <c r="F172" s="537">
        <f>+E172*(D172-32)</f>
        <v>0</v>
      </c>
      <c r="G172" s="531">
        <v>1433</v>
      </c>
    </row>
    <row r="173" spans="1:7">
      <c r="A173" s="914">
        <v>44906</v>
      </c>
      <c r="B173" s="910">
        <v>44935</v>
      </c>
      <c r="C173" s="911">
        <v>13696.64</v>
      </c>
      <c r="D173" s="912">
        <v>29</v>
      </c>
      <c r="E173" s="537">
        <f t="shared" ref="E173:E174" si="21">C173/D173</f>
        <v>472.29793103448276</v>
      </c>
      <c r="F173" s="537">
        <f>+E173*(D173-21)</f>
        <v>3778.3834482758621</v>
      </c>
      <c r="G173" s="531">
        <v>1219</v>
      </c>
    </row>
    <row r="174" spans="1:7">
      <c r="A174" s="910">
        <v>44935</v>
      </c>
      <c r="B174" s="910">
        <v>44965</v>
      </c>
      <c r="C174" s="911">
        <v>15527.57</v>
      </c>
      <c r="D174" s="912">
        <v>30</v>
      </c>
      <c r="E174" s="537">
        <f t="shared" si="21"/>
        <v>517.58566666666661</v>
      </c>
      <c r="F174" s="537">
        <f>+E174*(D174)</f>
        <v>15527.569999999998</v>
      </c>
      <c r="G174" s="531">
        <v>1383</v>
      </c>
    </row>
    <row r="175" spans="1:7">
      <c r="A175" s="910">
        <v>44965</v>
      </c>
      <c r="B175" s="910">
        <v>44997</v>
      </c>
      <c r="C175" s="911">
        <v>17384.32</v>
      </c>
      <c r="D175" s="912">
        <v>32</v>
      </c>
      <c r="E175" s="537">
        <f>C175/D175</f>
        <v>543.26</v>
      </c>
      <c r="F175" s="537">
        <f>+E175*(D175)</f>
        <v>17384.32</v>
      </c>
      <c r="G175" s="531">
        <v>1549</v>
      </c>
    </row>
    <row r="176" spans="1:7">
      <c r="A176" s="910">
        <v>44997</v>
      </c>
      <c r="B176" s="910">
        <v>45027</v>
      </c>
      <c r="C176" s="911">
        <v>14536.08</v>
      </c>
      <c r="D176" s="912">
        <v>30</v>
      </c>
      <c r="E176" s="537">
        <f>C176/D176</f>
        <v>484.536</v>
      </c>
      <c r="F176" s="537">
        <f>+E176*(D176)</f>
        <v>14536.08</v>
      </c>
      <c r="G176" s="531">
        <v>1294</v>
      </c>
    </row>
    <row r="177" spans="1:8">
      <c r="A177" s="910">
        <v>45027</v>
      </c>
      <c r="B177" s="910">
        <v>45057</v>
      </c>
      <c r="C177" s="911">
        <v>15319.49</v>
      </c>
      <c r="D177" s="912">
        <v>30</v>
      </c>
      <c r="E177" s="537">
        <f>C177/D177</f>
        <v>510.64966666666663</v>
      </c>
      <c r="F177" s="537">
        <f>+E177*(D177)</f>
        <v>15319.49</v>
      </c>
      <c r="G177" s="531">
        <v>1392</v>
      </c>
    </row>
    <row r="178" spans="1:8">
      <c r="A178" s="910">
        <v>45057</v>
      </c>
      <c r="B178" s="910">
        <v>45089</v>
      </c>
      <c r="C178" s="911">
        <v>18341.29</v>
      </c>
      <c r="D178" s="912">
        <v>32</v>
      </c>
      <c r="E178" s="537">
        <f t="shared" ref="E178:E180" si="22">C178/D178</f>
        <v>573.16531250000003</v>
      </c>
      <c r="F178" s="537">
        <f>+E178*(D178)</f>
        <v>18341.29</v>
      </c>
      <c r="G178" s="531">
        <v>1828</v>
      </c>
    </row>
    <row r="179" spans="1:8">
      <c r="A179" s="910">
        <v>45089</v>
      </c>
      <c r="B179" s="910">
        <v>45119</v>
      </c>
      <c r="C179" s="911">
        <v>18749.05</v>
      </c>
      <c r="D179" s="912">
        <v>30</v>
      </c>
      <c r="E179" s="537">
        <f t="shared" si="22"/>
        <v>624.96833333333336</v>
      </c>
      <c r="F179" s="537">
        <f t="shared" ref="F179:F180" si="23">+E179*(D179)</f>
        <v>18749.05</v>
      </c>
      <c r="G179" s="531">
        <v>1946</v>
      </c>
    </row>
    <row r="180" spans="1:8">
      <c r="A180" s="910">
        <v>45119</v>
      </c>
      <c r="B180" s="910">
        <v>45151</v>
      </c>
      <c r="C180" s="911">
        <v>21777.65</v>
      </c>
      <c r="D180" s="912">
        <v>32</v>
      </c>
      <c r="E180" s="537">
        <f t="shared" si="22"/>
        <v>680.55156250000005</v>
      </c>
      <c r="F180" s="537">
        <f t="shared" si="23"/>
        <v>21777.65</v>
      </c>
      <c r="G180" s="531">
        <v>2285</v>
      </c>
    </row>
    <row r="181" spans="1:8">
      <c r="G181" s="531">
        <f>SUM(G172:G180)</f>
        <v>14329</v>
      </c>
      <c r="H181" s="531">
        <f>G170-G181</f>
        <v>1772</v>
      </c>
    </row>
  </sheetData>
  <printOptions horizontalCentered="1"/>
  <pageMargins left="0" right="0" top="0" bottom="0" header="0.3" footer="0.3"/>
  <pageSetup scale="7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71"/>
  <sheetViews>
    <sheetView view="pageBreakPreview" topLeftCell="A9" zoomScale="85" zoomScaleNormal="100" zoomScaleSheetLayoutView="85" workbookViewId="0">
      <selection activeCell="H42" sqref="H42:H45"/>
    </sheetView>
  </sheetViews>
  <sheetFormatPr baseColWidth="10" defaultColWidth="8.85546875" defaultRowHeight="16"/>
  <cols>
    <col min="1" max="1" width="9.5703125" style="297" customWidth="1"/>
    <col min="2" max="2" width="8.85546875" style="297"/>
    <col min="3" max="3" width="16.7109375" style="297" customWidth="1"/>
    <col min="4" max="8" width="14.5703125" style="297" customWidth="1"/>
    <col min="9" max="9" width="22.140625" style="297" customWidth="1"/>
    <col min="10" max="10" width="15.85546875" style="297" bestFit="1" customWidth="1"/>
    <col min="11" max="11" width="11" style="297" bestFit="1" customWidth="1"/>
    <col min="12" max="12" width="12.5703125" style="297" bestFit="1" customWidth="1"/>
    <col min="13" max="13" width="11.42578125" style="297" bestFit="1" customWidth="1"/>
    <col min="14" max="16384" width="8.85546875" style="297"/>
  </cols>
  <sheetData>
    <row r="1" spans="2:10">
      <c r="E1" s="532" t="str">
        <f>+yrlycomp!H1</f>
        <v>444 East 86th Street Owners Corp.</v>
      </c>
    </row>
    <row r="2" spans="2:10">
      <c r="E2" s="533" t="s">
        <v>2218</v>
      </c>
    </row>
    <row r="3" spans="2:10">
      <c r="B3" s="546" t="s">
        <v>2702</v>
      </c>
      <c r="E3" s="534" t="str">
        <f>+yrlycomp!H3</f>
        <v>For Year Ending 12/31/2026</v>
      </c>
    </row>
    <row r="7" spans="2:10" ht="6" customHeight="1"/>
    <row r="8" spans="2:10" ht="31.5" customHeight="1"/>
    <row r="9" spans="2:10" ht="17" thickBot="1"/>
    <row r="10" spans="2:10">
      <c r="B10" s="547" t="s">
        <v>2703</v>
      </c>
      <c r="C10" s="548"/>
      <c r="D10" s="549"/>
      <c r="E10" s="549"/>
      <c r="F10" s="549"/>
      <c r="G10" s="549"/>
      <c r="H10" s="549"/>
      <c r="I10" s="550"/>
    </row>
    <row r="11" spans="2:10">
      <c r="B11" s="551" t="s">
        <v>3148</v>
      </c>
      <c r="C11" s="552"/>
      <c r="D11" s="553"/>
      <c r="E11" s="554"/>
      <c r="G11" s="432">
        <v>39979620</v>
      </c>
      <c r="H11" s="555" t="s">
        <v>2704</v>
      </c>
      <c r="I11" s="556">
        <f>(+G11*G12)/2</f>
        <v>2474338.6817999999</v>
      </c>
    </row>
    <row r="12" spans="2:10">
      <c r="B12" s="557"/>
      <c r="C12" s="554" t="s">
        <v>3206</v>
      </c>
      <c r="D12" s="415"/>
      <c r="E12" s="554"/>
      <c r="G12" s="670">
        <v>0.12378</v>
      </c>
      <c r="H12" s="415"/>
      <c r="I12" s="558"/>
    </row>
    <row r="13" spans="2:10" hidden="1">
      <c r="B13" s="557"/>
      <c r="C13" s="554" t="s">
        <v>2705</v>
      </c>
      <c r="D13" s="415"/>
      <c r="E13" s="554"/>
      <c r="G13" s="670">
        <v>0</v>
      </c>
      <c r="H13" s="415"/>
      <c r="I13" s="556">
        <f>+(G11*G13)/2</f>
        <v>0</v>
      </c>
    </row>
    <row r="14" spans="2:10">
      <c r="B14" s="557"/>
      <c r="C14" s="415"/>
      <c r="D14" s="415"/>
      <c r="E14" s="415"/>
      <c r="G14" s="415"/>
      <c r="H14" s="415"/>
      <c r="I14" s="556"/>
      <c r="J14" s="343"/>
    </row>
    <row r="15" spans="2:10">
      <c r="B15" s="551" t="s">
        <v>2706</v>
      </c>
      <c r="C15" s="415"/>
      <c r="D15" s="415"/>
      <c r="E15" s="415"/>
      <c r="G15" s="415"/>
      <c r="H15" s="415"/>
      <c r="I15" s="556"/>
      <c r="J15" s="343"/>
    </row>
    <row r="16" spans="2:10">
      <c r="B16" s="557" t="s">
        <v>2707</v>
      </c>
      <c r="D16" s="427">
        <v>4.3167650000000002E-2</v>
      </c>
      <c r="E16" s="559" t="s">
        <v>2708</v>
      </c>
      <c r="G16" s="432">
        <f>G11*D16+G11</f>
        <v>41705446.243293002</v>
      </c>
      <c r="H16" s="560" t="s">
        <v>2709</v>
      </c>
      <c r="I16" s="556">
        <f>(+G16*G17)/2</f>
        <v>2632656.2941078707</v>
      </c>
    </row>
    <row r="17" spans="2:10">
      <c r="B17" s="551" t="s">
        <v>2710</v>
      </c>
      <c r="D17" s="427">
        <f>G17-G12</f>
        <v>2.47E-3</v>
      </c>
      <c r="E17" s="559" t="s">
        <v>2711</v>
      </c>
      <c r="G17" s="670">
        <v>0.12625</v>
      </c>
      <c r="H17" s="415"/>
      <c r="I17" s="556"/>
    </row>
    <row r="18" spans="2:10" ht="17" thickBot="1">
      <c r="B18" s="557"/>
      <c r="C18" s="554" t="s">
        <v>2712</v>
      </c>
      <c r="D18" s="561"/>
      <c r="E18" s="559"/>
      <c r="G18" s="427"/>
      <c r="H18" s="415"/>
      <c r="I18" s="562">
        <f>SUM(I11:I17)</f>
        <v>5106994.9759078706</v>
      </c>
    </row>
    <row r="19" spans="2:10" ht="18" thickTop="1" thickBot="1">
      <c r="B19" s="563"/>
      <c r="C19" s="564"/>
      <c r="D19" s="565"/>
      <c r="E19" s="566"/>
      <c r="F19" s="567"/>
      <c r="G19" s="564"/>
      <c r="H19" s="568"/>
      <c r="I19" s="569"/>
    </row>
    <row r="23" spans="2:10" ht="22.5" customHeight="1"/>
    <row r="24" spans="2:10">
      <c r="D24" s="467" t="s">
        <v>2713</v>
      </c>
      <c r="F24" s="964" t="s">
        <v>2714</v>
      </c>
      <c r="G24" s="964" t="s">
        <v>2715</v>
      </c>
      <c r="H24" s="964" t="s">
        <v>2716</v>
      </c>
    </row>
    <row r="25" spans="2:10">
      <c r="D25" s="343" t="s">
        <v>2717</v>
      </c>
      <c r="F25" s="570">
        <v>21362.39</v>
      </c>
      <c r="G25" s="570">
        <f>+F25*1.02</f>
        <v>21789.6378</v>
      </c>
      <c r="H25" s="570">
        <f>+G25*1.02</f>
        <v>22225.430555999999</v>
      </c>
    </row>
    <row r="26" spans="2:10">
      <c r="D26" s="343" t="s">
        <v>2718</v>
      </c>
      <c r="F26" s="571">
        <v>19282.63</v>
      </c>
      <c r="G26" s="571">
        <f>+F26*1.02</f>
        <v>19668.282600000002</v>
      </c>
      <c r="H26" s="571">
        <f>+G26*1.02</f>
        <v>20061.648252000003</v>
      </c>
    </row>
    <row r="27" spans="2:10">
      <c r="D27" s="343" t="s">
        <v>2719</v>
      </c>
      <c r="F27" s="571">
        <v>17369.25</v>
      </c>
      <c r="G27" s="571">
        <f>+F27*1.03</f>
        <v>17890.327499999999</v>
      </c>
      <c r="H27" s="571">
        <f>+G27*1.02</f>
        <v>18248.134050000001</v>
      </c>
    </row>
    <row r="28" spans="2:10">
      <c r="D28" s="343" t="s">
        <v>2720</v>
      </c>
      <c r="F28" s="571">
        <v>750029.91</v>
      </c>
      <c r="G28" s="571">
        <f>+((I11*2)*17.5%)*89%</f>
        <v>770756.49938069994</v>
      </c>
      <c r="H28" s="389">
        <f>+G28*1.02</f>
        <v>786171.62936831394</v>
      </c>
      <c r="J28" s="297" t="s">
        <v>3212</v>
      </c>
    </row>
    <row r="29" spans="2:10" ht="17" thickBot="1">
      <c r="F29" s="851">
        <f>SUM(F25:F28)</f>
        <v>808044.18</v>
      </c>
      <c r="G29" s="851">
        <f>SUM(G25:G28)</f>
        <v>830104.7472806999</v>
      </c>
      <c r="H29" s="851">
        <f>SUM(H25:H28)</f>
        <v>846706.84222631389</v>
      </c>
    </row>
    <row r="30" spans="2:10" ht="17" thickTop="1"/>
    <row r="32" spans="2:10" ht="33.75" customHeight="1"/>
    <row r="35" spans="1:10">
      <c r="A35" s="507"/>
      <c r="B35" s="516"/>
      <c r="C35" s="507"/>
      <c r="D35" s="460">
        <f>+yrlycomp!H7</f>
        <v>2025</v>
      </c>
      <c r="E35" s="460">
        <f>+D35</f>
        <v>2025</v>
      </c>
      <c r="F35" s="460">
        <f>+E35</f>
        <v>2025</v>
      </c>
      <c r="G35" s="460">
        <f>+F35</f>
        <v>2025</v>
      </c>
      <c r="H35" s="514">
        <f>+G35+1</f>
        <v>2026</v>
      </c>
    </row>
    <row r="36" spans="1:10">
      <c r="D36" s="461" t="s">
        <v>2305</v>
      </c>
      <c r="E36" s="461" t="s">
        <v>2306</v>
      </c>
      <c r="F36" s="461" t="s">
        <v>2307</v>
      </c>
      <c r="G36" s="461" t="s">
        <v>1494</v>
      </c>
      <c r="H36" s="462" t="s">
        <v>1494</v>
      </c>
    </row>
    <row r="37" spans="1:10">
      <c r="D37" s="667" t="s">
        <v>1496</v>
      </c>
      <c r="E37" s="667" t="s">
        <v>2309</v>
      </c>
      <c r="F37" s="667" t="s">
        <v>2310</v>
      </c>
      <c r="G37" s="667"/>
      <c r="H37" s="668"/>
    </row>
    <row r="38" spans="1:10">
      <c r="D38" s="507"/>
    </row>
    <row r="39" spans="1:10">
      <c r="D39" s="507"/>
      <c r="J39" s="343"/>
    </row>
    <row r="40" spans="1:10">
      <c r="D40" s="507"/>
      <c r="J40" s="343"/>
    </row>
    <row r="41" spans="1:10">
      <c r="A41" s="525" t="s">
        <v>1099</v>
      </c>
      <c r="B41" s="459" t="s">
        <v>2721</v>
      </c>
      <c r="C41" s="525"/>
      <c r="D41" s="426">
        <f>SUMIF('VLookup Data'!$A:$A,A41,'VLookup Data'!$E:$E)</f>
        <v>3724147.75</v>
      </c>
      <c r="E41" s="529">
        <v>1249363.3799999999</v>
      </c>
      <c r="F41" s="529">
        <f>SUM(D41:E41)</f>
        <v>4973511.13</v>
      </c>
      <c r="G41" s="529">
        <v>5087406.0661982242</v>
      </c>
      <c r="H41" s="432">
        <f>+I18</f>
        <v>5106994.9759078706</v>
      </c>
    </row>
    <row r="42" spans="1:10">
      <c r="A42" s="525" t="s">
        <v>1101</v>
      </c>
      <c r="B42" s="459" t="s">
        <v>2722</v>
      </c>
      <c r="C42" s="525"/>
      <c r="D42" s="424">
        <f>SUMIF('VLookup Data'!$A:$A,A42,'VLookup Data'!$E:$E)</f>
        <v>-561767.96</v>
      </c>
      <c r="E42" s="389">
        <v>-186753</v>
      </c>
      <c r="F42" s="389">
        <f>SUM(D42:E42)</f>
        <v>-748520.95999999996</v>
      </c>
      <c r="G42" s="389">
        <v>-790273.67967187497</v>
      </c>
      <c r="H42" s="440">
        <f>+G28/2*-1+H28/2*-1</f>
        <v>-778464.06437450694</v>
      </c>
      <c r="J42" s="456" t="s">
        <v>2723</v>
      </c>
    </row>
    <row r="43" spans="1:10">
      <c r="A43" s="525" t="s">
        <v>1102</v>
      </c>
      <c r="B43" s="459" t="s">
        <v>2724</v>
      </c>
      <c r="C43" s="525"/>
      <c r="D43" s="424">
        <f>SUMIF('VLookup Data'!$A:$A,A43,'VLookup Data'!$E:$E)</f>
        <v>-12828.64</v>
      </c>
      <c r="E43" s="389">
        <v>-4144</v>
      </c>
      <c r="F43" s="389">
        <f>SUM(D43:E43)</f>
        <v>-16972.64</v>
      </c>
      <c r="G43" s="389">
        <v>-22667.816062500002</v>
      </c>
      <c r="H43" s="440">
        <f>+G27*-0.5+H27/2*-1</f>
        <v>-18069.230775</v>
      </c>
    </row>
    <row r="44" spans="1:10">
      <c r="A44" s="525" t="s">
        <v>1103</v>
      </c>
      <c r="B44" s="459" t="s">
        <v>2725</v>
      </c>
      <c r="C44" s="525"/>
      <c r="D44" s="424">
        <f>SUMIF('VLookup Data'!$A:$A,A44,'VLookup Data'!$E:$E)</f>
        <v>-16072.74</v>
      </c>
      <c r="E44" s="389">
        <v>-5391.56</v>
      </c>
      <c r="F44" s="389">
        <f>SUM(D44:E44)</f>
        <v>-21464.3</v>
      </c>
      <c r="G44" s="389">
        <v>-13857.966585000002</v>
      </c>
      <c r="H44" s="440">
        <f>+G25/2*-1+H25/2*-1</f>
        <v>-22007.534178000002</v>
      </c>
    </row>
    <row r="45" spans="1:10">
      <c r="A45" s="525" t="s">
        <v>1107</v>
      </c>
      <c r="B45" s="459" t="s">
        <v>2726</v>
      </c>
      <c r="C45" s="525"/>
      <c r="D45" s="424">
        <f>SUMIF('VLookup Data'!$A:$A,A45,'VLookup Data'!$E:$E)</f>
        <v>-17613.509999999998</v>
      </c>
      <c r="E45" s="389">
        <v>-7972.19</v>
      </c>
      <c r="F45" s="389">
        <f>SUM(D45:E45)</f>
        <v>-25585.699999999997</v>
      </c>
      <c r="G45" s="389">
        <v>-19193.120496</v>
      </c>
      <c r="H45" s="440">
        <f>+G26/2*-1+H26/2*-1</f>
        <v>-19864.965426000002</v>
      </c>
    </row>
    <row r="46" spans="1:10" ht="17" thickBot="1">
      <c r="D46" s="852">
        <f>SUM(D41:D45)</f>
        <v>3115864.9</v>
      </c>
      <c r="E46" s="852">
        <f>SUM(E41:E45)</f>
        <v>1045102.6299999999</v>
      </c>
      <c r="F46" s="852">
        <f>SUM(F41:F45)</f>
        <v>4160967.5300000003</v>
      </c>
      <c r="G46" s="852">
        <f>SUM(G41:G45)</f>
        <v>4241413.483382849</v>
      </c>
      <c r="H46" s="841">
        <f>SUM(H41:H45)</f>
        <v>4268589.1811543638</v>
      </c>
    </row>
    <row r="47" spans="1:10" ht="17" thickTop="1"/>
    <row r="48" spans="1:10" hidden="1">
      <c r="A48" s="671"/>
      <c r="J48" s="343"/>
    </row>
    <row r="49" spans="1:10" hidden="1"/>
    <row r="50" spans="1:10" hidden="1"/>
    <row r="52" spans="1:10">
      <c r="A52" s="345" t="s">
        <v>3167</v>
      </c>
    </row>
    <row r="53" spans="1:10">
      <c r="A53" s="345" t="s">
        <v>2730</v>
      </c>
      <c r="J53" s="345" t="s">
        <v>2731</v>
      </c>
    </row>
    <row r="55" spans="1:10">
      <c r="J55" s="671" t="s">
        <v>2727</v>
      </c>
    </row>
    <row r="56" spans="1:10">
      <c r="J56" s="671" t="s">
        <v>2728</v>
      </c>
    </row>
    <row r="57" spans="1:10">
      <c r="J57" s="671" t="s">
        <v>2729</v>
      </c>
    </row>
    <row r="71" spans="6:6">
      <c r="F71" s="343" t="s">
        <v>2732</v>
      </c>
    </row>
  </sheetData>
  <printOptions horizontalCentered="1"/>
  <pageMargins left="0" right="0" top="0" bottom="0" header="0.3" footer="0.3"/>
  <pageSetup scale="67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N51"/>
  <sheetViews>
    <sheetView showOutlineSymbols="0" workbookViewId="0">
      <selection sqref="A1:IV65536"/>
    </sheetView>
  </sheetViews>
  <sheetFormatPr baseColWidth="10" defaultColWidth="11.42578125" defaultRowHeight="14"/>
  <cols>
    <col min="1" max="1" width="21" style="133" customWidth="1"/>
    <col min="2" max="2" width="9.5703125" style="133" customWidth="1"/>
    <col min="3" max="3" width="9.28515625" style="133" customWidth="1"/>
    <col min="4" max="4" width="9" style="133" customWidth="1"/>
    <col min="5" max="5" width="9.85546875" style="133" customWidth="1"/>
    <col min="6" max="6" width="10.28515625" style="133" customWidth="1"/>
    <col min="7" max="7" width="9.7109375" style="133" customWidth="1"/>
    <col min="8" max="8" width="9.85546875" style="133" customWidth="1"/>
    <col min="9" max="16384" width="11.42578125" style="133"/>
  </cols>
  <sheetData>
    <row r="1" spans="1:8">
      <c r="A1" s="133" t="s">
        <v>2685</v>
      </c>
      <c r="C1" s="134" t="str">
        <f>+COV!C23</f>
        <v>444 East 86th Street Owners Corp.</v>
      </c>
    </row>
    <row r="2" spans="1:8">
      <c r="C2" s="135" t="s">
        <v>685</v>
      </c>
    </row>
    <row r="3" spans="1:8">
      <c r="C3" s="136" t="str">
        <f>yrlycomp!H3</f>
        <v>For Year Ending 12/31/2026</v>
      </c>
    </row>
    <row r="6" spans="1:8">
      <c r="A6" s="135" t="s">
        <v>2733</v>
      </c>
    </row>
    <row r="8" spans="1:8">
      <c r="B8" s="46" t="s">
        <v>2734</v>
      </c>
      <c r="C8" s="13"/>
      <c r="D8" s="13"/>
      <c r="E8" s="46" t="s">
        <v>2735</v>
      </c>
      <c r="F8" s="46">
        <v>2012</v>
      </c>
      <c r="G8" s="46">
        <v>2012</v>
      </c>
      <c r="H8" s="153" t="s">
        <v>2736</v>
      </c>
    </row>
    <row r="9" spans="1:8">
      <c r="B9" s="46" t="s">
        <v>2737</v>
      </c>
      <c r="C9" s="37" t="s">
        <v>2608</v>
      </c>
      <c r="D9" s="37" t="s">
        <v>2738</v>
      </c>
      <c r="E9" s="46" t="s">
        <v>2739</v>
      </c>
      <c r="F9" s="46" t="s">
        <v>2740</v>
      </c>
      <c r="G9" s="46" t="s">
        <v>2741</v>
      </c>
      <c r="H9" s="153" t="s">
        <v>2741</v>
      </c>
    </row>
    <row r="10" spans="1:8">
      <c r="A10" s="137" t="s">
        <v>2742</v>
      </c>
      <c r="B10" s="138" t="s">
        <v>2743</v>
      </c>
      <c r="C10" s="38" t="s">
        <v>2744</v>
      </c>
      <c r="D10" s="39" t="s">
        <v>2745</v>
      </c>
      <c r="E10" s="138" t="s">
        <v>2746</v>
      </c>
      <c r="F10" s="138" t="s">
        <v>2747</v>
      </c>
      <c r="G10" s="138"/>
      <c r="H10" s="138"/>
    </row>
    <row r="11" spans="1:8">
      <c r="A11" s="133" t="s">
        <v>2748</v>
      </c>
      <c r="B11" s="139">
        <f>+C23</f>
        <v>17542.59</v>
      </c>
      <c r="C11" s="139">
        <f>+C38</f>
        <v>3167.31</v>
      </c>
      <c r="D11" s="139">
        <f>-C21</f>
        <v>-8763.8173684210524</v>
      </c>
      <c r="E11" s="140">
        <f>+C27*D35</f>
        <v>8988.2221739130437</v>
      </c>
      <c r="F11" s="139">
        <f>SUM(B11:E11)</f>
        <v>20934.304805491993</v>
      </c>
      <c r="G11" s="167">
        <v>44943</v>
      </c>
      <c r="H11" s="170">
        <f>365*E45</f>
        <v>30897.982281249999</v>
      </c>
    </row>
    <row r="12" spans="1:8">
      <c r="A12" s="133" t="s">
        <v>2749</v>
      </c>
      <c r="B12" s="141">
        <v>0</v>
      </c>
      <c r="C12" s="141">
        <v>0</v>
      </c>
      <c r="D12" s="160">
        <f>+N47</f>
        <v>7804.4600000000009</v>
      </c>
      <c r="E12" s="141">
        <v>0</v>
      </c>
      <c r="F12" s="160">
        <f>SUM(B12:E12)</f>
        <v>7804.4600000000009</v>
      </c>
      <c r="G12" s="141">
        <v>0</v>
      </c>
      <c r="H12" s="142">
        <v>0</v>
      </c>
    </row>
    <row r="13" spans="1:8">
      <c r="A13" s="133" t="s">
        <v>2750</v>
      </c>
      <c r="B13" s="141">
        <v>0</v>
      </c>
      <c r="C13" s="141">
        <v>0</v>
      </c>
      <c r="D13" s="141">
        <v>0</v>
      </c>
      <c r="E13" s="141">
        <v>0</v>
      </c>
      <c r="F13" s="141">
        <f>+B13+E13</f>
        <v>0</v>
      </c>
      <c r="G13" s="168">
        <v>57</v>
      </c>
      <c r="H13" s="169">
        <v>4102</v>
      </c>
    </row>
    <row r="14" spans="1:8" ht="15" thickBot="1">
      <c r="A14" s="143" t="s">
        <v>2751</v>
      </c>
      <c r="B14" s="853">
        <f t="shared" ref="B14:H14" si="0">SUM(B11:B13)</f>
        <v>17542.59</v>
      </c>
      <c r="C14" s="853">
        <f t="shared" si="0"/>
        <v>3167.31</v>
      </c>
      <c r="D14" s="853">
        <f t="shared" si="0"/>
        <v>-959.35736842105143</v>
      </c>
      <c r="E14" s="853">
        <f t="shared" si="0"/>
        <v>8988.2221739130437</v>
      </c>
      <c r="F14" s="853">
        <f t="shared" si="0"/>
        <v>28738.764805491992</v>
      </c>
      <c r="G14" s="853">
        <f t="shared" si="0"/>
        <v>45000</v>
      </c>
      <c r="H14" s="854">
        <f t="shared" si="0"/>
        <v>34999.982281249999</v>
      </c>
    </row>
    <row r="15" spans="1:8" ht="15" thickTop="1">
      <c r="H15" s="135"/>
    </row>
    <row r="17" spans="1:13">
      <c r="A17" s="133" t="s">
        <v>2752</v>
      </c>
      <c r="D17" s="144"/>
    </row>
    <row r="18" spans="1:13">
      <c r="A18" s="133" t="s">
        <v>2753</v>
      </c>
      <c r="D18" s="144"/>
    </row>
    <row r="19" spans="1:13">
      <c r="B19" s="145"/>
      <c r="C19" s="138" t="str">
        <f>+A10</f>
        <v>A/C # 80009-80127-001</v>
      </c>
      <c r="D19" s="146"/>
    </row>
    <row r="20" spans="1:13">
      <c r="C20" s="43"/>
    </row>
    <row r="21" spans="1:13">
      <c r="B21" s="133" t="s">
        <v>2754</v>
      </c>
      <c r="C21" s="167">
        <f>+K40</f>
        <v>8763.8173684210524</v>
      </c>
    </row>
    <row r="22" spans="1:13">
      <c r="B22" s="133" t="s">
        <v>2755</v>
      </c>
      <c r="C22" s="168">
        <f>+M40</f>
        <v>8778.7726315789478</v>
      </c>
    </row>
    <row r="23" spans="1:13" ht="15" thickBot="1">
      <c r="B23" s="133" t="s">
        <v>2756</v>
      </c>
      <c r="C23" s="855">
        <f>SUM(C21:C22)</f>
        <v>17542.59</v>
      </c>
    </row>
    <row r="24" spans="1:13" ht="15" thickTop="1">
      <c r="D24" s="144"/>
    </row>
    <row r="25" spans="1:13">
      <c r="D25" s="144"/>
    </row>
    <row r="26" spans="1:13">
      <c r="A26" s="133" t="s">
        <v>2757</v>
      </c>
    </row>
    <row r="27" spans="1:13">
      <c r="A27" s="133" t="s">
        <v>2758</v>
      </c>
      <c r="C27" s="171">
        <f>30-6+31+30+31</f>
        <v>116</v>
      </c>
      <c r="D27" s="133" t="s">
        <v>2759</v>
      </c>
    </row>
    <row r="28" spans="1:13">
      <c r="A28" s="133" t="s">
        <v>2760</v>
      </c>
      <c r="D28" s="144"/>
    </row>
    <row r="29" spans="1:13">
      <c r="D29" s="144"/>
    </row>
    <row r="30" spans="1:13">
      <c r="C30" s="137" t="s">
        <v>2761</v>
      </c>
      <c r="J30" s="1011" t="s">
        <v>2762</v>
      </c>
      <c r="K30" s="1012"/>
      <c r="L30" s="1012"/>
      <c r="M30" s="1013"/>
    </row>
    <row r="31" spans="1:13">
      <c r="J31" s="157"/>
      <c r="K31" s="133" t="s">
        <v>2763</v>
      </c>
      <c r="M31" s="158" t="s">
        <v>2764</v>
      </c>
    </row>
    <row r="32" spans="1:13">
      <c r="D32" s="43" t="s">
        <v>2765</v>
      </c>
      <c r="J32" s="157"/>
      <c r="M32" s="158"/>
    </row>
    <row r="33" spans="1:14">
      <c r="A33" s="147"/>
      <c r="B33" s="148" t="s">
        <v>2766</v>
      </c>
      <c r="C33" s="43" t="s">
        <v>2767</v>
      </c>
      <c r="D33" s="43" t="s">
        <v>2768</v>
      </c>
      <c r="E33" s="147" t="s">
        <v>2769</v>
      </c>
      <c r="G33" s="139"/>
      <c r="J33" s="157"/>
      <c r="M33" s="158"/>
    </row>
    <row r="34" spans="1:14">
      <c r="A34" s="133" t="str">
        <f>+A11</f>
        <v>Meter # K13095158</v>
      </c>
      <c r="B34" s="172">
        <v>91</v>
      </c>
      <c r="C34" s="167">
        <v>9937.94</v>
      </c>
      <c r="D34" s="173">
        <f t="shared" ref="D34:D39" si="1">+C34/B34</f>
        <v>109.20813186813187</v>
      </c>
      <c r="E34" s="172" t="s">
        <v>2770</v>
      </c>
      <c r="F34" s="172"/>
      <c r="G34" s="167" t="s">
        <v>1496</v>
      </c>
      <c r="J34" s="157"/>
      <c r="M34" s="158"/>
    </row>
    <row r="35" spans="1:14">
      <c r="A35" s="133" t="str">
        <f>+A34</f>
        <v>Meter # K13095158</v>
      </c>
      <c r="B35" s="172">
        <v>92</v>
      </c>
      <c r="C35" s="167">
        <v>7128.59</v>
      </c>
      <c r="D35" s="173">
        <f t="shared" si="1"/>
        <v>77.48467391304348</v>
      </c>
      <c r="E35" s="172" t="s">
        <v>2771</v>
      </c>
      <c r="F35" s="172"/>
      <c r="G35" s="167" t="s">
        <v>1496</v>
      </c>
      <c r="J35" s="157"/>
      <c r="K35" s="139">
        <f>+C35</f>
        <v>7128.59</v>
      </c>
      <c r="M35" s="158"/>
    </row>
    <row r="36" spans="1:14">
      <c r="A36" s="133" t="str">
        <f>+A34</f>
        <v>Meter # K13095158</v>
      </c>
      <c r="B36" s="172">
        <v>95</v>
      </c>
      <c r="C36" s="167">
        <v>6754.2</v>
      </c>
      <c r="D36" s="173">
        <f t="shared" si="1"/>
        <v>71.09684210526315</v>
      </c>
      <c r="E36" s="172" t="s">
        <v>2772</v>
      </c>
      <c r="F36" s="172"/>
      <c r="G36" s="167" t="s">
        <v>2773</v>
      </c>
      <c r="J36" s="157">
        <v>23</v>
      </c>
      <c r="K36" s="139">
        <f>+J36*D36</f>
        <v>1635.2273684210525</v>
      </c>
      <c r="L36" s="160">
        <f>+B36-J36</f>
        <v>72</v>
      </c>
      <c r="M36" s="161">
        <f>+L36*D36</f>
        <v>5118.9726315789467</v>
      </c>
    </row>
    <row r="37" spans="1:14">
      <c r="A37" s="133" t="str">
        <f>+A36</f>
        <v>Meter # K13095158</v>
      </c>
      <c r="B37" s="172">
        <v>90</v>
      </c>
      <c r="C37" s="167">
        <v>3659.8</v>
      </c>
      <c r="D37" s="173">
        <f t="shared" si="1"/>
        <v>40.664444444444449</v>
      </c>
      <c r="E37" s="172" t="s">
        <v>2774</v>
      </c>
      <c r="F37" s="172"/>
      <c r="G37" s="167" t="s">
        <v>2773</v>
      </c>
      <c r="J37" s="157"/>
      <c r="K37" s="139"/>
      <c r="L37" s="160"/>
      <c r="M37" s="161">
        <f>+C37</f>
        <v>3659.8</v>
      </c>
    </row>
    <row r="38" spans="1:14">
      <c r="A38" s="133" t="str">
        <f>+A34</f>
        <v>Meter # K13095158</v>
      </c>
      <c r="B38" s="172">
        <v>91</v>
      </c>
      <c r="C38" s="167">
        <v>3167.31</v>
      </c>
      <c r="D38" s="173">
        <f t="shared" si="1"/>
        <v>34.805604395604398</v>
      </c>
      <c r="E38" s="172" t="s">
        <v>2775</v>
      </c>
      <c r="F38" s="172"/>
      <c r="G38" s="167" t="s">
        <v>2773</v>
      </c>
      <c r="J38" s="157"/>
      <c r="M38" s="161"/>
    </row>
    <row r="39" spans="1:14" ht="15" thickBot="1">
      <c r="A39" s="133" t="s">
        <v>2756</v>
      </c>
      <c r="B39" s="856">
        <f>SUM(B34:B38)</f>
        <v>459</v>
      </c>
      <c r="C39" s="855">
        <f>SUM(C34:C38)</f>
        <v>30647.84</v>
      </c>
      <c r="D39" s="857">
        <f t="shared" si="1"/>
        <v>66.77089324618737</v>
      </c>
      <c r="E39" s="171"/>
      <c r="F39" s="172"/>
      <c r="G39" s="172"/>
      <c r="J39" s="157"/>
      <c r="M39" s="158"/>
    </row>
    <row r="40" spans="1:14" ht="16" thickTop="1" thickBot="1">
      <c r="C40" s="139"/>
      <c r="D40" s="139"/>
      <c r="E40" s="149"/>
      <c r="J40" s="159"/>
      <c r="K40" s="853">
        <f>SUM(K35:K39)</f>
        <v>8763.8173684210524</v>
      </c>
      <c r="L40" s="145"/>
      <c r="M40" s="774">
        <f>SUM(M35:M39)</f>
        <v>8778.7726315789478</v>
      </c>
    </row>
    <row r="41" spans="1:14" ht="15" thickTop="1">
      <c r="C41" s="139"/>
      <c r="D41" s="139"/>
      <c r="E41" s="149"/>
    </row>
    <row r="42" spans="1:14" ht="17.25" customHeight="1">
      <c r="A42" s="143" t="s">
        <v>2776</v>
      </c>
      <c r="F42" s="174">
        <v>9.2499999999999999E-2</v>
      </c>
      <c r="J42" s="1014" t="s">
        <v>2777</v>
      </c>
      <c r="K42" s="1014"/>
      <c r="L42" s="1014"/>
      <c r="M42" s="1014"/>
    </row>
    <row r="43" spans="1:14">
      <c r="A43" s="133" t="s">
        <v>2778</v>
      </c>
      <c r="J43" s="162" t="s">
        <v>2779</v>
      </c>
      <c r="K43" s="152" t="s">
        <v>2780</v>
      </c>
      <c r="L43" s="152" t="s">
        <v>2781</v>
      </c>
      <c r="M43" s="152" t="s">
        <v>2782</v>
      </c>
      <c r="N43" s="152" t="s">
        <v>2783</v>
      </c>
    </row>
    <row r="44" spans="1:14">
      <c r="B44" s="43" t="s">
        <v>2784</v>
      </c>
      <c r="E44" s="43" t="s">
        <v>2785</v>
      </c>
      <c r="J44" s="149">
        <f>+D35</f>
        <v>77.48467391304348</v>
      </c>
      <c r="K44" s="149">
        <f>+D36</f>
        <v>71.09684210526315</v>
      </c>
      <c r="L44" s="149">
        <f>+J44-K44</f>
        <v>6.38783180778033</v>
      </c>
      <c r="M44" s="133">
        <f>+B36</f>
        <v>95</v>
      </c>
      <c r="N44" s="160">
        <f>+L44*M44</f>
        <v>606.84402173913134</v>
      </c>
    </row>
    <row r="45" spans="1:14">
      <c r="A45" s="133" t="str">
        <f>+A34</f>
        <v>Meter # K13095158</v>
      </c>
      <c r="B45" s="173">
        <f>+D35</f>
        <v>77.48467391304348</v>
      </c>
      <c r="C45" s="133" t="s">
        <v>2786</v>
      </c>
      <c r="E45" s="173">
        <f>+B45*F42+B45</f>
        <v>84.652006249999999</v>
      </c>
      <c r="F45" s="133" t="s">
        <v>2786</v>
      </c>
      <c r="J45" s="149">
        <f>+J44</f>
        <v>77.48467391304348</v>
      </c>
      <c r="K45" s="149">
        <f>+D37</f>
        <v>40.664444444444449</v>
      </c>
      <c r="L45" s="149">
        <f>+J45-K45</f>
        <v>36.820229468599031</v>
      </c>
      <c r="M45" s="133">
        <f>+B37</f>
        <v>90</v>
      </c>
      <c r="N45" s="160">
        <f>+L45*M45</f>
        <v>3313.820652173913</v>
      </c>
    </row>
    <row r="46" spans="1:14">
      <c r="B46" s="149"/>
      <c r="C46" s="150" t="s">
        <v>2787</v>
      </c>
      <c r="E46" s="149"/>
      <c r="J46" s="149">
        <f>+J45</f>
        <v>77.48467391304348</v>
      </c>
      <c r="K46" s="149">
        <f>+D38</f>
        <v>34.805604395604398</v>
      </c>
      <c r="L46" s="149">
        <f>+J46-K46</f>
        <v>42.679069517439082</v>
      </c>
      <c r="M46" s="133">
        <f>+B38</f>
        <v>91</v>
      </c>
      <c r="N46" s="160">
        <f>+L46*M46</f>
        <v>3883.7953260869563</v>
      </c>
    </row>
    <row r="47" spans="1:14">
      <c r="A47" s="151"/>
      <c r="B47" s="149"/>
      <c r="D47" s="149"/>
      <c r="N47" s="163">
        <f>SUM(N44:N46)</f>
        <v>7804.4600000000009</v>
      </c>
    </row>
    <row r="48" spans="1:14">
      <c r="A48" s="151"/>
      <c r="B48" s="149"/>
      <c r="C48" s="152" t="s">
        <v>2593</v>
      </c>
      <c r="D48" s="149"/>
    </row>
    <row r="49" spans="1:4">
      <c r="A49" s="151"/>
      <c r="B49" s="149"/>
      <c r="D49" s="149"/>
    </row>
    <row r="50" spans="1:4">
      <c r="A50" s="151"/>
      <c r="B50" s="149"/>
      <c r="D50" s="149"/>
    </row>
    <row r="51" spans="1:4">
      <c r="A51" s="151"/>
      <c r="B51" s="149"/>
      <c r="D51" s="149"/>
    </row>
  </sheetData>
  <mergeCells count="2">
    <mergeCell ref="J30:M30"/>
    <mergeCell ref="J42:M42"/>
  </mergeCells>
  <phoneticPr fontId="30" type="noConversion"/>
  <printOptions horizontalCentered="1"/>
  <pageMargins left="0" right="0" top="0.25" bottom="0" header="0" footer="0"/>
  <pageSetup scale="10" orientation="portrait" horizontalDpi="4294967292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K106"/>
  <sheetViews>
    <sheetView view="pageBreakPreview" zoomScale="80" zoomScaleNormal="100" zoomScaleSheetLayoutView="80" workbookViewId="0">
      <selection activeCell="M26" sqref="M26:N26"/>
    </sheetView>
  </sheetViews>
  <sheetFormatPr baseColWidth="10" defaultColWidth="8.85546875" defaultRowHeight="16"/>
  <cols>
    <col min="1" max="1" width="9.85546875" style="297" customWidth="1"/>
    <col min="2" max="2" width="26.7109375" style="297" customWidth="1"/>
    <col min="3" max="3" width="3.140625" style="297" customWidth="1"/>
    <col min="4" max="4" width="12" style="297" customWidth="1"/>
    <col min="5" max="5" width="10.140625" style="297" customWidth="1"/>
    <col min="6" max="7" width="9.7109375" style="297" customWidth="1"/>
    <col min="8" max="8" width="11.28515625" style="297" customWidth="1"/>
    <col min="9" max="10" width="9.7109375" style="297" customWidth="1"/>
    <col min="11" max="16384" width="8.85546875" style="297"/>
  </cols>
  <sheetData>
    <row r="1" spans="1:10">
      <c r="E1" s="509" t="str">
        <f>+yrlycomp!H1</f>
        <v>444 East 86th Street Owners Corp.</v>
      </c>
      <c r="H1" s="446"/>
    </row>
    <row r="2" spans="1:10">
      <c r="B2" s="446"/>
      <c r="C2" s="446"/>
      <c r="E2" s="508" t="s">
        <v>2238</v>
      </c>
      <c r="H2" s="446"/>
    </row>
    <row r="3" spans="1:10">
      <c r="B3" s="546" t="s">
        <v>2788</v>
      </c>
      <c r="C3" s="546"/>
      <c r="E3" s="509" t="str">
        <f>+yrlycomp!H3</f>
        <v>For Year Ending 12/31/2026</v>
      </c>
      <c r="H3" s="446"/>
    </row>
    <row r="4" spans="1:10">
      <c r="B4" s="546"/>
      <c r="C4" s="546"/>
      <c r="E4" s="509"/>
      <c r="H4" s="446"/>
    </row>
    <row r="5" spans="1:10" ht="27.75" customHeight="1">
      <c r="B5" s="546"/>
      <c r="C5" s="546"/>
      <c r="E5" s="509"/>
      <c r="H5" s="446"/>
    </row>
    <row r="6" spans="1:10">
      <c r="B6" s="446"/>
      <c r="C6" s="446"/>
      <c r="D6" s="572" t="s">
        <v>2137</v>
      </c>
      <c r="F6" s="573"/>
      <c r="G6" s="574"/>
      <c r="H6" s="574"/>
    </row>
    <row r="7" spans="1:10">
      <c r="B7" s="446"/>
      <c r="C7" s="446"/>
      <c r="D7" s="460">
        <f>+yrlycomp!H7</f>
        <v>2025</v>
      </c>
      <c r="E7" s="461" t="s">
        <v>2607</v>
      </c>
      <c r="F7" s="461" t="s">
        <v>2608</v>
      </c>
      <c r="G7" s="460">
        <f>+D7</f>
        <v>2025</v>
      </c>
      <c r="H7" s="460">
        <f>+G7</f>
        <v>2025</v>
      </c>
      <c r="I7" s="460">
        <f>+H7</f>
        <v>2025</v>
      </c>
      <c r="J7" s="514">
        <f>+I7+1</f>
        <v>2026</v>
      </c>
    </row>
    <row r="8" spans="1:10">
      <c r="B8" s="446"/>
      <c r="C8" s="446"/>
      <c r="D8" s="461" t="s">
        <v>2305</v>
      </c>
      <c r="E8" s="461" t="s">
        <v>2609</v>
      </c>
      <c r="F8" s="897" t="str">
        <f>'Repairs &amp; Supplies'!F6</f>
        <v>@08/31/25</v>
      </c>
      <c r="G8" s="461" t="s">
        <v>2306</v>
      </c>
      <c r="H8" s="461" t="s">
        <v>2307</v>
      </c>
      <c r="I8" s="461" t="s">
        <v>1494</v>
      </c>
      <c r="J8" s="462" t="s">
        <v>1494</v>
      </c>
    </row>
    <row r="9" spans="1:10">
      <c r="B9" s="447"/>
      <c r="C9" s="447"/>
      <c r="D9" s="667" t="s">
        <v>1496</v>
      </c>
      <c r="E9" s="667"/>
      <c r="F9" s="667"/>
      <c r="G9" s="667" t="s">
        <v>2309</v>
      </c>
      <c r="H9" s="667" t="s">
        <v>2310</v>
      </c>
      <c r="I9" s="667"/>
      <c r="J9" s="668"/>
    </row>
    <row r="10" spans="1:10">
      <c r="A10" s="575" t="s">
        <v>2184</v>
      </c>
      <c r="B10" s="576" t="s">
        <v>2789</v>
      </c>
      <c r="C10" s="576"/>
      <c r="D10" s="577"/>
      <c r="E10" s="577"/>
      <c r="F10" s="577"/>
      <c r="G10" s="577"/>
      <c r="H10" s="578"/>
    </row>
    <row r="11" spans="1:10" hidden="1">
      <c r="A11" s="508" t="s">
        <v>1337</v>
      </c>
      <c r="B11" s="459" t="s">
        <v>1338</v>
      </c>
      <c r="C11" s="459"/>
      <c r="D11" s="426">
        <f>SUMIF('VLookup Data'!$A:$A,A11,'VLookup Data'!$E:$E)</f>
        <v>0</v>
      </c>
      <c r="E11" s="426">
        <v>0</v>
      </c>
      <c r="F11" s="426">
        <v>0</v>
      </c>
      <c r="G11" s="426">
        <v>0</v>
      </c>
      <c r="H11" s="426">
        <f>SUM(D11:G11)</f>
        <v>0</v>
      </c>
      <c r="I11" s="426">
        <v>0</v>
      </c>
      <c r="J11" s="432">
        <v>0</v>
      </c>
    </row>
    <row r="12" spans="1:10" hidden="1">
      <c r="A12" s="508" t="s">
        <v>1339</v>
      </c>
      <c r="B12" s="459" t="s">
        <v>1340</v>
      </c>
      <c r="C12" s="459"/>
      <c r="D12" s="424">
        <f>SUMIF('VLookup Data'!$A:$A,A12,'VLookup Data'!$E:$E)</f>
        <v>0</v>
      </c>
      <c r="E12" s="424">
        <v>0</v>
      </c>
      <c r="F12" s="424">
        <v>0</v>
      </c>
      <c r="G12" s="424">
        <v>0</v>
      </c>
      <c r="H12" s="424">
        <f t="shared" ref="H12:H30" si="0">SUM(D12:G12)</f>
        <v>0</v>
      </c>
      <c r="I12" s="424">
        <v>0</v>
      </c>
      <c r="J12" s="440">
        <v>0</v>
      </c>
    </row>
    <row r="13" spans="1:10" hidden="1">
      <c r="A13" s="508" t="s">
        <v>1341</v>
      </c>
      <c r="B13" s="459" t="s">
        <v>1342</v>
      </c>
      <c r="C13" s="459"/>
      <c r="D13" s="424">
        <f>SUMIF('VLookup Data'!$A:$A,A13,'VLookup Data'!$E:$E)</f>
        <v>0</v>
      </c>
      <c r="E13" s="424">
        <v>0</v>
      </c>
      <c r="F13" s="424">
        <v>0</v>
      </c>
      <c r="G13" s="424">
        <v>0</v>
      </c>
      <c r="H13" s="424">
        <f t="shared" si="0"/>
        <v>0</v>
      </c>
      <c r="I13" s="424">
        <v>0</v>
      </c>
      <c r="J13" s="440">
        <v>0</v>
      </c>
    </row>
    <row r="14" spans="1:10">
      <c r="A14" s="508" t="s">
        <v>1343</v>
      </c>
      <c r="B14" s="459" t="s">
        <v>1344</v>
      </c>
      <c r="C14" s="459"/>
      <c r="D14" s="426">
        <f>SUMIF('VLookup Data'!$A:$A,A14,'VLookup Data'!$E:$E)</f>
        <v>8960.41</v>
      </c>
      <c r="E14" s="426">
        <v>0</v>
      </c>
      <c r="F14" s="426">
        <v>0</v>
      </c>
      <c r="G14" s="426">
        <v>0</v>
      </c>
      <c r="H14" s="426">
        <f t="shared" si="0"/>
        <v>8960.41</v>
      </c>
      <c r="I14" s="426">
        <v>0</v>
      </c>
      <c r="J14" s="432">
        <v>0</v>
      </c>
    </row>
    <row r="15" spans="1:10" hidden="1">
      <c r="A15" s="508" t="s">
        <v>1345</v>
      </c>
      <c r="B15" s="459" t="s">
        <v>1346</v>
      </c>
      <c r="C15" s="459"/>
      <c r="D15" s="424">
        <f>SUMIF('VLookup Data'!$A:$A,A15,'VLookup Data'!$E:$E)</f>
        <v>0</v>
      </c>
      <c r="E15" s="424">
        <v>0</v>
      </c>
      <c r="F15" s="424">
        <v>0</v>
      </c>
      <c r="G15" s="424">
        <v>0</v>
      </c>
      <c r="H15" s="424">
        <f t="shared" si="0"/>
        <v>0</v>
      </c>
      <c r="I15" s="424">
        <v>0</v>
      </c>
      <c r="J15" s="440">
        <v>0</v>
      </c>
    </row>
    <row r="16" spans="1:10" ht="15" customHeight="1">
      <c r="A16" s="508" t="s">
        <v>1351</v>
      </c>
      <c r="B16" s="459" t="s">
        <v>1352</v>
      </c>
      <c r="C16" s="459"/>
      <c r="D16" s="424">
        <f>SUMIF('VLookup Data'!$A:$A,A16,'VLookup Data'!$E:$E)</f>
        <v>43550</v>
      </c>
      <c r="E16" s="424">
        <v>0</v>
      </c>
      <c r="F16" s="424">
        <v>0</v>
      </c>
      <c r="G16" s="424">
        <v>0</v>
      </c>
      <c r="H16" s="424">
        <f>SUM(D16:G16)</f>
        <v>43550</v>
      </c>
      <c r="I16" s="424">
        <v>0</v>
      </c>
      <c r="J16" s="424">
        <v>0</v>
      </c>
    </row>
    <row r="17" spans="1:11">
      <c r="A17" s="508" t="s">
        <v>1353</v>
      </c>
      <c r="B17" s="459" t="s">
        <v>1354</v>
      </c>
      <c r="C17" s="459"/>
      <c r="D17" s="424">
        <f>SUMIF('VLookup Data'!$A:$A,A17,'VLookup Data'!$E:$E)</f>
        <v>33355.699999999997</v>
      </c>
      <c r="E17" s="424">
        <f>-2613-10742.7</f>
        <v>-13355.7</v>
      </c>
      <c r="F17" s="424">
        <v>0</v>
      </c>
      <c r="G17" s="424">
        <v>0</v>
      </c>
      <c r="H17" s="424">
        <f t="shared" si="0"/>
        <v>19999.999999999996</v>
      </c>
      <c r="I17" s="424">
        <v>0</v>
      </c>
      <c r="J17" s="440">
        <v>0</v>
      </c>
    </row>
    <row r="18" spans="1:11">
      <c r="A18" s="508" t="s">
        <v>1355</v>
      </c>
      <c r="B18" s="459" t="s">
        <v>1356</v>
      </c>
      <c r="C18" s="459"/>
      <c r="D18" s="424">
        <f>SUMIF('VLookup Data'!$A:$A,A18,'VLookup Data'!$E:$E)</f>
        <v>3400</v>
      </c>
      <c r="E18" s="424">
        <v>0</v>
      </c>
      <c r="F18" s="424">
        <v>0</v>
      </c>
      <c r="G18" s="424">
        <v>0</v>
      </c>
      <c r="H18" s="424">
        <f t="shared" ref="H18" si="1">SUM(D18:G18)</f>
        <v>3400</v>
      </c>
      <c r="I18" s="424">
        <v>0</v>
      </c>
      <c r="J18" s="440">
        <v>0</v>
      </c>
    </row>
    <row r="19" spans="1:11">
      <c r="A19" s="508" t="s">
        <v>1357</v>
      </c>
      <c r="B19" s="459" t="s">
        <v>1358</v>
      </c>
      <c r="C19" s="459"/>
      <c r="D19" s="424">
        <f>SUMIF('VLookup Data'!$A:$A,A19,'VLookup Data'!$E:$E)</f>
        <v>67900</v>
      </c>
      <c r="E19" s="424">
        <v>0</v>
      </c>
      <c r="F19" s="424">
        <v>0</v>
      </c>
      <c r="G19" s="424">
        <v>0</v>
      </c>
      <c r="H19" s="424">
        <f t="shared" si="0"/>
        <v>67900</v>
      </c>
      <c r="I19" s="424">
        <v>0</v>
      </c>
      <c r="J19" s="440">
        <v>0</v>
      </c>
    </row>
    <row r="20" spans="1:11">
      <c r="A20" s="508" t="s">
        <v>1361</v>
      </c>
      <c r="B20" s="459" t="s">
        <v>1362</v>
      </c>
      <c r="C20" s="459"/>
      <c r="D20" s="424">
        <f>SUMIF('VLookup Data'!$A:$A,A20,'VLookup Data'!$E:$E)</f>
        <v>15362.58</v>
      </c>
      <c r="E20" s="424">
        <f>-2006.67-3530-3475.91</f>
        <v>-9012.58</v>
      </c>
      <c r="F20" s="424">
        <v>0</v>
      </c>
      <c r="G20" s="424">
        <v>0</v>
      </c>
      <c r="H20" s="424">
        <f t="shared" si="0"/>
        <v>6350</v>
      </c>
      <c r="I20" s="424">
        <v>0</v>
      </c>
      <c r="J20" s="440">
        <v>0</v>
      </c>
    </row>
    <row r="21" spans="1:11">
      <c r="A21" s="508" t="s">
        <v>1371</v>
      </c>
      <c r="B21" s="459" t="s">
        <v>1372</v>
      </c>
      <c r="C21" s="459"/>
      <c r="D21" s="424">
        <f>SUMIF('VLookup Data'!$A:$A,A21,'VLookup Data'!$E:$E)</f>
        <v>67694.31</v>
      </c>
      <c r="E21" s="424">
        <v>-33140</v>
      </c>
      <c r="F21" s="424">
        <v>0</v>
      </c>
      <c r="G21" s="424">
        <v>0</v>
      </c>
      <c r="H21" s="424">
        <f t="shared" si="0"/>
        <v>34554.31</v>
      </c>
      <c r="I21" s="424">
        <v>0</v>
      </c>
      <c r="J21" s="440">
        <v>0</v>
      </c>
    </row>
    <row r="22" spans="1:11" hidden="1">
      <c r="A22" s="508" t="s">
        <v>1373</v>
      </c>
      <c r="B22" s="459" t="s">
        <v>1374</v>
      </c>
      <c r="C22" s="459"/>
      <c r="D22" s="424">
        <f>SUMIF('VLookup Data'!$A:$A,A22,'VLookup Data'!$E:$E)</f>
        <v>0</v>
      </c>
      <c r="E22" s="424"/>
      <c r="F22" s="424">
        <v>0</v>
      </c>
      <c r="G22" s="424">
        <v>0</v>
      </c>
      <c r="H22" s="424">
        <f t="shared" si="0"/>
        <v>0</v>
      </c>
      <c r="I22" s="424">
        <v>0</v>
      </c>
      <c r="J22" s="440">
        <v>0</v>
      </c>
    </row>
    <row r="23" spans="1:11" hidden="1">
      <c r="A23" s="508" t="s">
        <v>1377</v>
      </c>
      <c r="B23" s="459" t="s">
        <v>1378</v>
      </c>
      <c r="C23" s="459"/>
      <c r="D23" s="424">
        <f>SUMIF('VLookup Data'!$A:$A,A23,'VLookup Data'!$E:$E)</f>
        <v>0</v>
      </c>
      <c r="E23" s="424">
        <v>0</v>
      </c>
      <c r="F23" s="424">
        <v>0</v>
      </c>
      <c r="G23" s="424">
        <v>0</v>
      </c>
      <c r="H23" s="424">
        <f t="shared" si="0"/>
        <v>0</v>
      </c>
      <c r="I23" s="424">
        <v>0</v>
      </c>
      <c r="J23" s="440">
        <v>0</v>
      </c>
    </row>
    <row r="24" spans="1:11" hidden="1">
      <c r="A24" s="508" t="s">
        <v>1389</v>
      </c>
      <c r="B24" s="459" t="s">
        <v>1390</v>
      </c>
      <c r="C24" s="459"/>
      <c r="D24" s="424">
        <f>SUMIF('VLookup Data'!$A:$A,A24,'VLookup Data'!$E:$E)</f>
        <v>0</v>
      </c>
      <c r="E24" s="424">
        <v>0</v>
      </c>
      <c r="F24" s="424">
        <v>0</v>
      </c>
      <c r="G24" s="424">
        <v>0</v>
      </c>
      <c r="H24" s="424">
        <f t="shared" si="0"/>
        <v>0</v>
      </c>
      <c r="I24" s="424">
        <v>0</v>
      </c>
      <c r="J24" s="440">
        <v>0</v>
      </c>
    </row>
    <row r="25" spans="1:11" hidden="1">
      <c r="A25" s="508" t="s">
        <v>1401</v>
      </c>
      <c r="B25" s="459" t="s">
        <v>1402</v>
      </c>
      <c r="C25" s="459"/>
      <c r="D25" s="424">
        <f>SUMIF('VLookup Data'!$A:$A,A25,'VLookup Data'!$E:$E)</f>
        <v>0</v>
      </c>
      <c r="E25" s="424">
        <v>0</v>
      </c>
      <c r="F25" s="424">
        <v>0</v>
      </c>
      <c r="G25" s="424">
        <v>0</v>
      </c>
      <c r="H25" s="424">
        <f t="shared" si="0"/>
        <v>0</v>
      </c>
      <c r="I25" s="424">
        <v>0</v>
      </c>
      <c r="J25" s="440">
        <v>0</v>
      </c>
    </row>
    <row r="26" spans="1:11">
      <c r="A26" s="508" t="s">
        <v>1405</v>
      </c>
      <c r="B26" s="459" t="s">
        <v>1406</v>
      </c>
      <c r="C26" s="459"/>
      <c r="D26" s="424">
        <f>SUMIF('VLookup Data'!$A:$A,A26,'VLookup Data'!$E:$E)</f>
        <v>32095</v>
      </c>
      <c r="E26" s="424">
        <f>-4805-19230-2100-5960</f>
        <v>-32095</v>
      </c>
      <c r="F26" s="424">
        <v>0</v>
      </c>
      <c r="G26" s="424">
        <v>0</v>
      </c>
      <c r="H26" s="424">
        <f t="shared" si="0"/>
        <v>0</v>
      </c>
      <c r="I26" s="424">
        <v>0</v>
      </c>
      <c r="J26" s="440">
        <v>0</v>
      </c>
    </row>
    <row r="27" spans="1:11" hidden="1">
      <c r="A27" s="508" t="s">
        <v>1423</v>
      </c>
      <c r="B27" s="459" t="s">
        <v>1424</v>
      </c>
      <c r="C27" s="459"/>
      <c r="D27" s="424">
        <f>SUMIF('VLookup Data'!$A:$A,A27,'VLookup Data'!$E:$E)</f>
        <v>0</v>
      </c>
      <c r="E27" s="424">
        <v>0</v>
      </c>
      <c r="F27" s="424">
        <v>0</v>
      </c>
      <c r="G27" s="424">
        <v>0</v>
      </c>
      <c r="H27" s="424">
        <f t="shared" si="0"/>
        <v>0</v>
      </c>
      <c r="I27" s="424">
        <v>0</v>
      </c>
      <c r="J27" s="440">
        <v>0</v>
      </c>
    </row>
    <row r="28" spans="1:11">
      <c r="A28" s="508" t="s">
        <v>1441</v>
      </c>
      <c r="B28" s="459" t="str">
        <f>_xlfn.XLOOKUP(A28,'VLookup Data'!A:A,'VLookup Data'!B:B)</f>
        <v>Cap - Professional</v>
      </c>
      <c r="C28" s="459"/>
      <c r="D28" s="424">
        <f>SUMIF('VLookup Data'!$A:$A,A28,'VLookup Data'!$E:$E)</f>
        <v>15000</v>
      </c>
      <c r="E28" s="424">
        <v>0</v>
      </c>
      <c r="F28" s="424">
        <v>0</v>
      </c>
      <c r="G28" s="424">
        <v>0</v>
      </c>
      <c r="H28" s="424">
        <f t="shared" ref="H28" si="2">SUM(D28:G28)</f>
        <v>15000</v>
      </c>
      <c r="I28" s="424">
        <v>0</v>
      </c>
      <c r="J28" s="440">
        <v>0</v>
      </c>
    </row>
    <row r="29" spans="1:11">
      <c r="A29" s="508" t="s">
        <v>1449</v>
      </c>
      <c r="B29" s="459" t="s">
        <v>1450</v>
      </c>
      <c r="C29" s="459"/>
      <c r="D29" s="424">
        <f>SUMIF('VLookup Data'!$A:$A,A29,'VLookup Data'!$E:$E)</f>
        <v>24896.43</v>
      </c>
      <c r="E29" s="424">
        <v>0</v>
      </c>
      <c r="F29" s="424">
        <v>0</v>
      </c>
      <c r="G29" s="424">
        <v>0</v>
      </c>
      <c r="H29" s="424">
        <f t="shared" ref="H29" si="3">SUM(D29:G29)</f>
        <v>24896.43</v>
      </c>
      <c r="I29" s="424">
        <v>0</v>
      </c>
      <c r="J29" s="440">
        <v>0</v>
      </c>
    </row>
    <row r="30" spans="1:11">
      <c r="A30" s="508" t="s">
        <v>1459</v>
      </c>
      <c r="B30" s="459" t="s">
        <v>1460</v>
      </c>
      <c r="C30" s="459"/>
      <c r="D30" s="424">
        <f>SUMIF('VLookup Data'!$A:$A,A30,'VLookup Data'!$E:$E)</f>
        <v>27377.5</v>
      </c>
      <c r="E30" s="424">
        <v>0</v>
      </c>
      <c r="F30" s="424">
        <v>0</v>
      </c>
      <c r="G30" s="424">
        <v>0</v>
      </c>
      <c r="H30" s="424">
        <f t="shared" si="0"/>
        <v>27377.5</v>
      </c>
      <c r="I30" s="424">
        <v>0</v>
      </c>
      <c r="J30" s="440">
        <v>0</v>
      </c>
      <c r="K30" s="343" t="s">
        <v>2790</v>
      </c>
    </row>
    <row r="31" spans="1:11" ht="17" thickBot="1">
      <c r="B31" s="579"/>
      <c r="C31" s="579"/>
      <c r="D31" s="858">
        <f>SUM(D11:D30)</f>
        <v>339591.93</v>
      </c>
      <c r="E31" s="858">
        <f t="shared" ref="E31:J31" si="4">SUM(E11:E30)</f>
        <v>-87603.28</v>
      </c>
      <c r="F31" s="858">
        <f t="shared" si="4"/>
        <v>0</v>
      </c>
      <c r="G31" s="858">
        <f t="shared" si="4"/>
        <v>0</v>
      </c>
      <c r="H31" s="858">
        <f t="shared" si="4"/>
        <v>251988.65</v>
      </c>
      <c r="I31" s="858">
        <f t="shared" si="4"/>
        <v>0</v>
      </c>
      <c r="J31" s="817">
        <f t="shared" si="4"/>
        <v>0</v>
      </c>
    </row>
    <row r="32" spans="1:11" ht="17" thickTop="1"/>
    <row r="68" spans="5:5">
      <c r="E68" s="485" t="s">
        <v>2791</v>
      </c>
    </row>
    <row r="106" spans="4:9">
      <c r="D106" s="484"/>
      <c r="E106" s="484"/>
      <c r="G106" s="484"/>
      <c r="H106" s="484"/>
      <c r="I106" s="484"/>
    </row>
  </sheetData>
  <phoneticPr fontId="30" type="noConversion"/>
  <printOptions horizontalCentered="1"/>
  <pageMargins left="0" right="0" top="0" bottom="0" header="0.3" footer="0.3"/>
  <pageSetup scale="76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323"/>
  <sheetViews>
    <sheetView topLeftCell="B22" workbookViewId="0">
      <selection activeCell="C95" sqref="C95"/>
    </sheetView>
  </sheetViews>
  <sheetFormatPr baseColWidth="10" defaultColWidth="8.7109375" defaultRowHeight="16"/>
  <cols>
    <col min="1" max="1" width="11" customWidth="1"/>
    <col min="2" max="2" width="9.28515625" customWidth="1"/>
    <col min="3" max="3" width="17.7109375" customWidth="1"/>
    <col min="4" max="4" width="11.7109375" customWidth="1"/>
    <col min="5" max="5" width="15.7109375" customWidth="1"/>
    <col min="6" max="6" width="17.5703125" customWidth="1"/>
    <col min="7" max="7" width="10.7109375" customWidth="1"/>
  </cols>
  <sheetData>
    <row r="2" spans="1:24" ht="19">
      <c r="A2" s="1015" t="s">
        <v>2792</v>
      </c>
      <c r="B2" s="1015"/>
      <c r="C2" s="1015"/>
      <c r="D2" s="1015"/>
      <c r="E2" s="1015"/>
      <c r="F2" s="1015"/>
      <c r="G2" s="1015"/>
      <c r="I2" s="1015" t="s">
        <v>2792</v>
      </c>
      <c r="J2" s="1015"/>
      <c r="K2" s="1015"/>
      <c r="L2" s="1015"/>
      <c r="M2" s="1015"/>
      <c r="N2" s="1015"/>
      <c r="O2" s="1015"/>
      <c r="Q2" s="1015" t="s">
        <v>2792</v>
      </c>
      <c r="R2" s="1015"/>
      <c r="S2" s="1015"/>
      <c r="T2" s="1015"/>
      <c r="U2" s="1015"/>
      <c r="V2" s="1015"/>
      <c r="W2" s="1015"/>
    </row>
    <row r="4" spans="1:24">
      <c r="A4" t="s">
        <v>2793</v>
      </c>
      <c r="B4" s="1016"/>
      <c r="C4" s="1016"/>
      <c r="D4" s="1016"/>
      <c r="E4" t="s">
        <v>2794</v>
      </c>
      <c r="F4" s="1016" t="s">
        <v>2764</v>
      </c>
      <c r="G4" s="1016"/>
      <c r="H4" s="1016"/>
      <c r="I4" t="s">
        <v>2793</v>
      </c>
      <c r="J4" s="1016"/>
      <c r="K4" s="1016"/>
      <c r="L4" s="1016"/>
      <c r="M4" t="s">
        <v>2794</v>
      </c>
      <c r="N4" s="1016" t="s">
        <v>2764</v>
      </c>
      <c r="O4" s="1016"/>
      <c r="P4" s="1016"/>
      <c r="Q4" t="s">
        <v>2793</v>
      </c>
      <c r="R4" s="1016"/>
      <c r="S4" s="1016"/>
      <c r="T4" s="1016"/>
      <c r="U4" t="s">
        <v>2794</v>
      </c>
      <c r="V4" s="1016" t="s">
        <v>2764</v>
      </c>
      <c r="W4" s="1016"/>
      <c r="X4" s="1016"/>
    </row>
    <row r="5" spans="1:24">
      <c r="A5" t="s">
        <v>2795</v>
      </c>
      <c r="B5" s="1016" t="s">
        <v>2796</v>
      </c>
      <c r="C5" s="1016"/>
      <c r="D5" s="1016"/>
      <c r="I5" t="s">
        <v>2795</v>
      </c>
      <c r="J5" s="1016" t="s">
        <v>2797</v>
      </c>
      <c r="K5" s="1016"/>
      <c r="L5" s="1016"/>
      <c r="Q5" t="s">
        <v>2795</v>
      </c>
      <c r="R5" s="1016" t="s">
        <v>2798</v>
      </c>
      <c r="S5" s="1016"/>
      <c r="T5" s="1016"/>
    </row>
    <row r="7" spans="1:24">
      <c r="A7" s="859" t="s">
        <v>2799</v>
      </c>
      <c r="B7" s="860" t="s">
        <v>2800</v>
      </c>
      <c r="C7" s="860" t="s">
        <v>2801</v>
      </c>
      <c r="D7" s="860" t="s">
        <v>2802</v>
      </c>
      <c r="E7" s="860" t="s">
        <v>2795</v>
      </c>
      <c r="F7" s="860" t="s">
        <v>2436</v>
      </c>
      <c r="G7" s="861" t="s">
        <v>2803</v>
      </c>
      <c r="I7" s="859" t="s">
        <v>2799</v>
      </c>
      <c r="J7" s="860" t="s">
        <v>2800</v>
      </c>
      <c r="K7" s="860" t="s">
        <v>2801</v>
      </c>
      <c r="L7" s="860" t="s">
        <v>2802</v>
      </c>
      <c r="M7" s="860" t="s">
        <v>2795</v>
      </c>
      <c r="N7" s="860" t="s">
        <v>2436</v>
      </c>
      <c r="O7" s="861" t="s">
        <v>2803</v>
      </c>
      <c r="Q7" s="859" t="s">
        <v>2799</v>
      </c>
      <c r="R7" s="860" t="s">
        <v>2800</v>
      </c>
      <c r="S7" s="860" t="s">
        <v>2801</v>
      </c>
      <c r="T7" s="860" t="s">
        <v>2802</v>
      </c>
      <c r="U7" s="860" t="s">
        <v>2795</v>
      </c>
      <c r="V7" s="860" t="s">
        <v>2436</v>
      </c>
      <c r="W7" s="861" t="s">
        <v>2803</v>
      </c>
    </row>
    <row r="8" spans="1:24">
      <c r="A8" s="862"/>
      <c r="B8" s="862" t="s">
        <v>2804</v>
      </c>
      <c r="C8" s="863">
        <v>1286</v>
      </c>
      <c r="D8" s="862" t="s">
        <v>2764</v>
      </c>
      <c r="E8" s="862" t="s">
        <v>2796</v>
      </c>
      <c r="F8" s="864">
        <v>2354.81</v>
      </c>
      <c r="G8" s="862" t="s">
        <v>2804</v>
      </c>
      <c r="I8" s="862"/>
      <c r="J8" s="862" t="s">
        <v>2804</v>
      </c>
      <c r="K8" s="863">
        <v>1286</v>
      </c>
      <c r="L8" s="862" t="s">
        <v>2764</v>
      </c>
      <c r="M8" s="862" t="s">
        <v>2797</v>
      </c>
      <c r="N8" s="864">
        <v>125</v>
      </c>
      <c r="O8" s="862" t="s">
        <v>2804</v>
      </c>
      <c r="Q8" s="862"/>
      <c r="R8" s="862" t="s">
        <v>2805</v>
      </c>
      <c r="S8" s="863">
        <v>2168</v>
      </c>
      <c r="T8" s="862" t="s">
        <v>2764</v>
      </c>
      <c r="U8" s="862" t="s">
        <v>2798</v>
      </c>
      <c r="V8" s="864">
        <v>15</v>
      </c>
      <c r="W8" s="862" t="s">
        <v>2805</v>
      </c>
    </row>
    <row r="9" spans="1:24">
      <c r="A9" s="862"/>
      <c r="B9" s="862" t="s">
        <v>2806</v>
      </c>
      <c r="C9" s="863">
        <v>1286</v>
      </c>
      <c r="D9" s="862" t="s">
        <v>2764</v>
      </c>
      <c r="E9" s="862" t="s">
        <v>2796</v>
      </c>
      <c r="F9" s="864">
        <v>2354.8200000000002</v>
      </c>
      <c r="G9" s="862" t="s">
        <v>2806</v>
      </c>
      <c r="I9" s="862"/>
      <c r="J9" s="862" t="s">
        <v>2807</v>
      </c>
      <c r="K9" s="863">
        <v>718</v>
      </c>
      <c r="L9" s="862" t="s">
        <v>2764</v>
      </c>
      <c r="M9" s="862" t="s">
        <v>2797</v>
      </c>
      <c r="N9" s="864">
        <v>100</v>
      </c>
      <c r="O9" s="862" t="s">
        <v>2807</v>
      </c>
      <c r="Q9" s="862"/>
      <c r="R9" s="862" t="s">
        <v>2808</v>
      </c>
      <c r="S9" s="863">
        <v>1368</v>
      </c>
      <c r="T9" s="862" t="s">
        <v>2764</v>
      </c>
      <c r="U9" s="862" t="s">
        <v>2798</v>
      </c>
      <c r="V9" s="864">
        <v>45</v>
      </c>
      <c r="W9" s="862" t="s">
        <v>2808</v>
      </c>
    </row>
    <row r="10" spans="1:24">
      <c r="A10" s="862"/>
      <c r="B10" s="862" t="s">
        <v>2809</v>
      </c>
      <c r="C10" s="863">
        <v>716</v>
      </c>
      <c r="D10" s="862" t="s">
        <v>2764</v>
      </c>
      <c r="E10" s="862" t="s">
        <v>2796</v>
      </c>
      <c r="F10" s="864">
        <v>1311.09</v>
      </c>
      <c r="G10" s="862" t="s">
        <v>2809</v>
      </c>
      <c r="I10" s="862"/>
      <c r="J10" s="862" t="s">
        <v>2808</v>
      </c>
      <c r="K10" s="863">
        <v>1368</v>
      </c>
      <c r="L10" s="862" t="s">
        <v>2764</v>
      </c>
      <c r="M10" s="862" t="s">
        <v>2797</v>
      </c>
      <c r="N10" s="864">
        <v>180</v>
      </c>
      <c r="O10" s="862" t="s">
        <v>2808</v>
      </c>
      <c r="Q10" s="862"/>
      <c r="R10" s="862" t="s">
        <v>2810</v>
      </c>
      <c r="S10" s="863">
        <v>1022</v>
      </c>
      <c r="T10" s="862" t="s">
        <v>2764</v>
      </c>
      <c r="U10" s="862" t="s">
        <v>2798</v>
      </c>
      <c r="V10" s="864">
        <v>15</v>
      </c>
      <c r="W10" s="862" t="s">
        <v>2810</v>
      </c>
    </row>
    <row r="11" spans="1:24">
      <c r="A11" s="862"/>
      <c r="B11" s="862" t="s">
        <v>2811</v>
      </c>
      <c r="C11" s="863">
        <v>716</v>
      </c>
      <c r="D11" s="862" t="s">
        <v>2764</v>
      </c>
      <c r="E11" s="862" t="s">
        <v>2796</v>
      </c>
      <c r="F11" s="864">
        <v>1311.11</v>
      </c>
      <c r="G11" s="862" t="s">
        <v>2811</v>
      </c>
      <c r="I11" s="862"/>
      <c r="J11" s="862" t="s">
        <v>2812</v>
      </c>
      <c r="K11" s="863">
        <v>2252</v>
      </c>
      <c r="L11" s="862" t="s">
        <v>2764</v>
      </c>
      <c r="M11" s="862" t="s">
        <v>2797</v>
      </c>
      <c r="N11" s="864">
        <v>75</v>
      </c>
      <c r="O11" s="862" t="s">
        <v>2812</v>
      </c>
      <c r="Q11" s="862"/>
      <c r="R11" s="862" t="s">
        <v>2813</v>
      </c>
      <c r="S11" s="863">
        <v>2255</v>
      </c>
      <c r="T11" s="862" t="s">
        <v>2764</v>
      </c>
      <c r="U11" s="862" t="s">
        <v>2798</v>
      </c>
      <c r="V11" s="864">
        <v>15</v>
      </c>
      <c r="W11" s="862" t="s">
        <v>2813</v>
      </c>
    </row>
    <row r="12" spans="1:24">
      <c r="A12" s="862"/>
      <c r="B12" s="862" t="s">
        <v>2814</v>
      </c>
      <c r="C12" s="863">
        <v>1016</v>
      </c>
      <c r="D12" s="862" t="s">
        <v>2764</v>
      </c>
      <c r="E12" s="862" t="s">
        <v>2796</v>
      </c>
      <c r="F12" s="864">
        <v>1860.41</v>
      </c>
      <c r="G12" s="862" t="s">
        <v>2814</v>
      </c>
      <c r="I12" s="862"/>
      <c r="J12" s="862" t="s">
        <v>2815</v>
      </c>
      <c r="K12" s="863">
        <v>722</v>
      </c>
      <c r="L12" s="862" t="s">
        <v>2764</v>
      </c>
      <c r="M12" s="862" t="s">
        <v>2797</v>
      </c>
      <c r="N12" s="864">
        <v>75</v>
      </c>
      <c r="O12" s="862" t="s">
        <v>2815</v>
      </c>
      <c r="Q12" s="862"/>
      <c r="R12" s="862" t="s">
        <v>2816</v>
      </c>
      <c r="S12" s="863">
        <v>1376</v>
      </c>
      <c r="T12" s="862" t="s">
        <v>2764</v>
      </c>
      <c r="U12" s="862" t="s">
        <v>2798</v>
      </c>
      <c r="V12" s="864">
        <v>15</v>
      </c>
      <c r="W12" s="862" t="s">
        <v>2816</v>
      </c>
    </row>
    <row r="13" spans="1:24">
      <c r="A13" s="862"/>
      <c r="B13" s="862" t="s">
        <v>2817</v>
      </c>
      <c r="C13" s="863">
        <v>1286</v>
      </c>
      <c r="D13" s="862" t="s">
        <v>2764</v>
      </c>
      <c r="E13" s="862" t="s">
        <v>2796</v>
      </c>
      <c r="F13" s="864">
        <v>2354.81</v>
      </c>
      <c r="G13" s="862" t="s">
        <v>2817</v>
      </c>
      <c r="I13" s="862"/>
      <c r="J13" s="862" t="s">
        <v>2818</v>
      </c>
      <c r="K13" s="863">
        <v>1292</v>
      </c>
      <c r="L13" s="862" t="s">
        <v>2764</v>
      </c>
      <c r="M13" s="862" t="s">
        <v>2797</v>
      </c>
      <c r="N13" s="864">
        <v>75</v>
      </c>
      <c r="O13" s="862" t="s">
        <v>2818</v>
      </c>
      <c r="Q13" s="862"/>
      <c r="R13" s="862" t="s">
        <v>2819</v>
      </c>
      <c r="S13" s="863">
        <v>1028</v>
      </c>
      <c r="T13" s="862" t="s">
        <v>2764</v>
      </c>
      <c r="U13" s="862" t="s">
        <v>2798</v>
      </c>
      <c r="V13" s="864">
        <v>15</v>
      </c>
      <c r="W13" s="862" t="s">
        <v>2819</v>
      </c>
    </row>
    <row r="14" spans="1:24">
      <c r="A14" s="862"/>
      <c r="B14" s="862" t="s">
        <v>2805</v>
      </c>
      <c r="C14" s="863">
        <v>2168</v>
      </c>
      <c r="D14" s="862" t="s">
        <v>2764</v>
      </c>
      <c r="E14" s="862" t="s">
        <v>2796</v>
      </c>
      <c r="F14" s="864">
        <v>3969.84</v>
      </c>
      <c r="G14" s="862" t="s">
        <v>2805</v>
      </c>
      <c r="I14" s="862"/>
      <c r="J14" s="862" t="s">
        <v>2820</v>
      </c>
      <c r="K14" s="863">
        <v>724</v>
      </c>
      <c r="L14" s="862" t="s">
        <v>2764</v>
      </c>
      <c r="M14" s="862" t="s">
        <v>2797</v>
      </c>
      <c r="N14" s="864">
        <v>75</v>
      </c>
      <c r="O14" s="862" t="s">
        <v>2820</v>
      </c>
      <c r="Q14" s="862"/>
      <c r="R14" s="862" t="s">
        <v>2821</v>
      </c>
      <c r="S14" s="863">
        <v>738</v>
      </c>
      <c r="T14" s="862" t="s">
        <v>2764</v>
      </c>
      <c r="U14" s="862" t="s">
        <v>2798</v>
      </c>
      <c r="V14" s="864">
        <v>15</v>
      </c>
      <c r="W14" s="862" t="s">
        <v>2821</v>
      </c>
    </row>
    <row r="15" spans="1:24">
      <c r="A15" s="862"/>
      <c r="B15" s="862" t="s">
        <v>2822</v>
      </c>
      <c r="C15" s="863">
        <v>1286</v>
      </c>
      <c r="D15" s="862" t="s">
        <v>2764</v>
      </c>
      <c r="E15" s="862" t="s">
        <v>2796</v>
      </c>
      <c r="F15" s="864">
        <v>2354.81</v>
      </c>
      <c r="G15" s="862" t="s">
        <v>2822</v>
      </c>
      <c r="I15" s="862"/>
      <c r="J15" s="862" t="s">
        <v>2823</v>
      </c>
      <c r="K15" s="863">
        <v>724</v>
      </c>
      <c r="L15" s="862" t="s">
        <v>2764</v>
      </c>
      <c r="M15" s="862" t="s">
        <v>2797</v>
      </c>
      <c r="N15" s="864">
        <v>100</v>
      </c>
      <c r="O15" s="862" t="s">
        <v>2823</v>
      </c>
      <c r="Q15" s="862"/>
      <c r="R15" s="862" t="s">
        <v>2824</v>
      </c>
      <c r="S15" s="863">
        <v>1392</v>
      </c>
      <c r="T15" s="862" t="s">
        <v>2764</v>
      </c>
      <c r="U15" s="862" t="s">
        <v>2798</v>
      </c>
      <c r="V15" s="864">
        <v>15</v>
      </c>
      <c r="W15" s="862" t="s">
        <v>2824</v>
      </c>
    </row>
    <row r="16" spans="1:24">
      <c r="A16" s="862"/>
      <c r="B16" s="862" t="s">
        <v>2825</v>
      </c>
      <c r="C16" s="863">
        <v>1016</v>
      </c>
      <c r="D16" s="862" t="s">
        <v>2764</v>
      </c>
      <c r="E16" s="862" t="s">
        <v>2796</v>
      </c>
      <c r="F16" s="864">
        <v>1860.42</v>
      </c>
      <c r="G16" s="862" t="s">
        <v>2825</v>
      </c>
      <c r="I16" s="862"/>
      <c r="J16" s="862" t="s">
        <v>2816</v>
      </c>
      <c r="K16" s="863">
        <v>1376</v>
      </c>
      <c r="L16" s="862" t="s">
        <v>2764</v>
      </c>
      <c r="M16" s="862" t="s">
        <v>2797</v>
      </c>
      <c r="N16" s="864">
        <v>75</v>
      </c>
      <c r="O16" s="862" t="s">
        <v>2816</v>
      </c>
      <c r="Q16" s="862"/>
      <c r="R16" s="862" t="s">
        <v>2826</v>
      </c>
      <c r="S16" s="863">
        <v>1046</v>
      </c>
      <c r="T16" s="862" t="s">
        <v>2764</v>
      </c>
      <c r="U16" s="862" t="s">
        <v>2798</v>
      </c>
      <c r="V16" s="864">
        <v>15</v>
      </c>
      <c r="W16" s="862" t="s">
        <v>2826</v>
      </c>
    </row>
    <row r="17" spans="1:23">
      <c r="A17" s="862"/>
      <c r="B17" s="862" t="s">
        <v>2827</v>
      </c>
      <c r="C17" s="863">
        <v>1368</v>
      </c>
      <c r="D17" s="862" t="s">
        <v>2764</v>
      </c>
      <c r="E17" s="862" t="s">
        <v>2796</v>
      </c>
      <c r="F17" s="864">
        <v>2504.9499999999998</v>
      </c>
      <c r="G17" s="862" t="s">
        <v>2827</v>
      </c>
      <c r="I17" s="862"/>
      <c r="J17" s="862" t="s">
        <v>2828</v>
      </c>
      <c r="K17" s="863">
        <v>1296</v>
      </c>
      <c r="L17" s="862" t="s">
        <v>2764</v>
      </c>
      <c r="M17" s="862" t="s">
        <v>2797</v>
      </c>
      <c r="N17" s="864">
        <v>125</v>
      </c>
      <c r="O17" s="862" t="s">
        <v>2828</v>
      </c>
      <c r="Q17" s="862"/>
      <c r="R17" s="862" t="s">
        <v>2829</v>
      </c>
      <c r="S17" s="863">
        <v>1050</v>
      </c>
      <c r="T17" s="862" t="s">
        <v>2764</v>
      </c>
      <c r="U17" s="862" t="s">
        <v>2798</v>
      </c>
      <c r="V17" s="864">
        <v>30</v>
      </c>
      <c r="W17" s="862" t="s">
        <v>2829</v>
      </c>
    </row>
    <row r="18" spans="1:23">
      <c r="A18" s="862"/>
      <c r="B18" s="862" t="s">
        <v>2830</v>
      </c>
      <c r="C18" s="863">
        <v>1368</v>
      </c>
      <c r="D18" s="862" t="s">
        <v>2764</v>
      </c>
      <c r="E18" s="862" t="s">
        <v>2796</v>
      </c>
      <c r="F18" s="864">
        <v>2504.9499999999998</v>
      </c>
      <c r="G18" s="862" t="s">
        <v>2830</v>
      </c>
      <c r="I18" s="862"/>
      <c r="J18" s="862" t="s">
        <v>2819</v>
      </c>
      <c r="K18" s="863">
        <v>1028</v>
      </c>
      <c r="L18" s="862" t="s">
        <v>2764</v>
      </c>
      <c r="M18" s="862" t="s">
        <v>2797</v>
      </c>
      <c r="N18" s="864">
        <v>100</v>
      </c>
      <c r="O18" s="862" t="s">
        <v>2819</v>
      </c>
      <c r="Q18" s="862"/>
      <c r="R18" s="862" t="s">
        <v>2831</v>
      </c>
      <c r="S18" s="863">
        <v>2280</v>
      </c>
      <c r="T18" s="862" t="s">
        <v>2764</v>
      </c>
      <c r="U18" s="862" t="s">
        <v>2798</v>
      </c>
      <c r="V18" s="864">
        <v>15</v>
      </c>
      <c r="W18" s="862" t="s">
        <v>2831</v>
      </c>
    </row>
    <row r="19" spans="1:23">
      <c r="A19" s="862"/>
      <c r="B19" s="862" t="s">
        <v>2832</v>
      </c>
      <c r="C19" s="863">
        <v>718</v>
      </c>
      <c r="D19" s="862" t="s">
        <v>2764</v>
      </c>
      <c r="E19" s="862" t="s">
        <v>2796</v>
      </c>
      <c r="F19" s="864">
        <v>1314.74</v>
      </c>
      <c r="G19" s="862" t="s">
        <v>2832</v>
      </c>
      <c r="I19" s="862"/>
      <c r="J19" s="862" t="s">
        <v>2819</v>
      </c>
      <c r="K19" s="863">
        <v>1028</v>
      </c>
      <c r="L19" s="862" t="s">
        <v>2764</v>
      </c>
      <c r="M19" s="862" t="s">
        <v>2797</v>
      </c>
      <c r="N19" s="864">
        <v>100</v>
      </c>
      <c r="O19" s="862" t="s">
        <v>2819</v>
      </c>
      <c r="Q19" s="862"/>
      <c r="R19" s="862" t="s">
        <v>2833</v>
      </c>
      <c r="S19" s="863">
        <v>1052</v>
      </c>
      <c r="T19" s="862" t="s">
        <v>2764</v>
      </c>
      <c r="U19" s="862" t="s">
        <v>2798</v>
      </c>
      <c r="V19" s="864">
        <v>15</v>
      </c>
      <c r="W19" s="862" t="s">
        <v>2833</v>
      </c>
    </row>
    <row r="20" spans="1:23">
      <c r="A20" s="862"/>
      <c r="B20" s="862" t="s">
        <v>2807</v>
      </c>
      <c r="C20" s="863">
        <v>718</v>
      </c>
      <c r="D20" s="862" t="s">
        <v>2764</v>
      </c>
      <c r="E20" s="862" t="s">
        <v>2796</v>
      </c>
      <c r="F20" s="864">
        <v>1314.75</v>
      </c>
      <c r="G20" s="862" t="s">
        <v>2807</v>
      </c>
      <c r="I20" s="862"/>
      <c r="J20" s="862" t="s">
        <v>2834</v>
      </c>
      <c r="K20" s="863">
        <v>730</v>
      </c>
      <c r="L20" s="862" t="s">
        <v>2764</v>
      </c>
      <c r="M20" s="862" t="s">
        <v>2797</v>
      </c>
      <c r="N20" s="864">
        <v>125</v>
      </c>
      <c r="O20" s="862" t="s">
        <v>2834</v>
      </c>
      <c r="Q20" s="862"/>
      <c r="R20" s="862" t="s">
        <v>2835</v>
      </c>
      <c r="S20" s="863">
        <v>1054</v>
      </c>
      <c r="T20" s="862" t="s">
        <v>2764</v>
      </c>
      <c r="U20" s="862" t="s">
        <v>2798</v>
      </c>
      <c r="V20" s="864">
        <v>30</v>
      </c>
      <c r="W20" s="862" t="s">
        <v>2835</v>
      </c>
    </row>
    <row r="21" spans="1:23">
      <c r="A21" s="862"/>
      <c r="B21" s="862" t="s">
        <v>2836</v>
      </c>
      <c r="C21" s="863">
        <v>1018</v>
      </c>
      <c r="D21" s="862" t="s">
        <v>2764</v>
      </c>
      <c r="E21" s="862" t="s">
        <v>2796</v>
      </c>
      <c r="F21" s="864">
        <v>1864.07</v>
      </c>
      <c r="G21" s="862" t="s">
        <v>2836</v>
      </c>
      <c r="I21" s="862"/>
      <c r="J21" s="862" t="s">
        <v>2837</v>
      </c>
      <c r="K21" s="863">
        <v>1380</v>
      </c>
      <c r="L21" s="862" t="s">
        <v>2764</v>
      </c>
      <c r="M21" s="862" t="s">
        <v>2797</v>
      </c>
      <c r="N21" s="864">
        <v>100</v>
      </c>
      <c r="O21" s="862" t="s">
        <v>2837</v>
      </c>
      <c r="Q21" s="862"/>
      <c r="R21" s="862" t="s">
        <v>2838</v>
      </c>
      <c r="S21" s="863">
        <v>1326</v>
      </c>
      <c r="T21" s="862" t="s">
        <v>2764</v>
      </c>
      <c r="U21" s="862" t="s">
        <v>2798</v>
      </c>
      <c r="V21" s="864">
        <v>15</v>
      </c>
      <c r="W21" s="862" t="s">
        <v>2838</v>
      </c>
    </row>
    <row r="22" spans="1:23">
      <c r="A22" s="862"/>
      <c r="B22" s="862" t="s">
        <v>2839</v>
      </c>
      <c r="C22" s="863">
        <v>1288</v>
      </c>
      <c r="D22" s="862" t="s">
        <v>2764</v>
      </c>
      <c r="E22" s="862" t="s">
        <v>2796</v>
      </c>
      <c r="F22" s="864">
        <v>2358.4499999999998</v>
      </c>
      <c r="G22" s="862" t="s">
        <v>2839</v>
      </c>
      <c r="I22" s="862"/>
      <c r="J22" s="862" t="s">
        <v>2840</v>
      </c>
      <c r="K22" s="863">
        <v>2263</v>
      </c>
      <c r="L22" s="862" t="s">
        <v>2764</v>
      </c>
      <c r="M22" s="862" t="s">
        <v>2797</v>
      </c>
      <c r="N22" s="864">
        <v>125</v>
      </c>
      <c r="O22" s="862" t="s">
        <v>2840</v>
      </c>
      <c r="Q22" s="862"/>
      <c r="R22" s="862" t="s">
        <v>2841</v>
      </c>
      <c r="S22" s="863">
        <v>1408</v>
      </c>
      <c r="T22" s="862" t="s">
        <v>2764</v>
      </c>
      <c r="U22" s="862" t="s">
        <v>2798</v>
      </c>
      <c r="V22" s="864">
        <v>15</v>
      </c>
      <c r="W22" s="862" t="s">
        <v>2841</v>
      </c>
    </row>
    <row r="23" spans="1:23">
      <c r="A23" s="862"/>
      <c r="B23" s="862" t="s">
        <v>2842</v>
      </c>
      <c r="C23" s="863">
        <v>2250</v>
      </c>
      <c r="D23" s="862" t="s">
        <v>2764</v>
      </c>
      <c r="E23" s="862" t="s">
        <v>2796</v>
      </c>
      <c r="F23" s="864">
        <v>4120.0200000000004</v>
      </c>
      <c r="G23" s="862" t="s">
        <v>2842</v>
      </c>
      <c r="I23" s="862"/>
      <c r="J23" s="862" t="s">
        <v>2821</v>
      </c>
      <c r="K23" s="863">
        <v>738</v>
      </c>
      <c r="L23" s="862" t="s">
        <v>2764</v>
      </c>
      <c r="M23" s="862" t="s">
        <v>2797</v>
      </c>
      <c r="N23" s="864">
        <v>100</v>
      </c>
      <c r="O23" s="862" t="s">
        <v>2821</v>
      </c>
      <c r="Q23" s="862"/>
      <c r="R23" s="862" t="s">
        <v>2843</v>
      </c>
      <c r="S23" s="863">
        <v>1408</v>
      </c>
      <c r="T23" s="862" t="s">
        <v>2764</v>
      </c>
      <c r="U23" s="862" t="s">
        <v>2798</v>
      </c>
      <c r="V23" s="864">
        <v>15</v>
      </c>
      <c r="W23" s="862" t="s">
        <v>2843</v>
      </c>
    </row>
    <row r="24" spans="1:23">
      <c r="A24" s="862"/>
      <c r="B24" s="862" t="s">
        <v>2808</v>
      </c>
      <c r="C24" s="863">
        <v>1368</v>
      </c>
      <c r="D24" s="862" t="s">
        <v>2764</v>
      </c>
      <c r="E24" s="862" t="s">
        <v>2796</v>
      </c>
      <c r="F24" s="864">
        <v>2504.9499999999998</v>
      </c>
      <c r="G24" s="862" t="s">
        <v>2808</v>
      </c>
      <c r="I24" s="862"/>
      <c r="J24" s="862" t="s">
        <v>2844</v>
      </c>
      <c r="K24" s="863">
        <v>1390</v>
      </c>
      <c r="L24" s="862" t="s">
        <v>2764</v>
      </c>
      <c r="M24" s="862" t="s">
        <v>2797</v>
      </c>
      <c r="N24" s="864">
        <v>125</v>
      </c>
      <c r="O24" s="862" t="s">
        <v>2844</v>
      </c>
      <c r="Q24" s="862"/>
      <c r="R24" s="862" t="s">
        <v>2845</v>
      </c>
      <c r="S24" s="863">
        <v>1408</v>
      </c>
      <c r="T24" s="862" t="s">
        <v>2764</v>
      </c>
      <c r="U24" s="862" t="s">
        <v>2798</v>
      </c>
      <c r="V24" s="864">
        <v>15</v>
      </c>
      <c r="W24" s="862" t="s">
        <v>2845</v>
      </c>
    </row>
    <row r="25" spans="1:23">
      <c r="A25" s="862"/>
      <c r="B25" s="862" t="s">
        <v>2846</v>
      </c>
      <c r="C25" s="863">
        <v>1018</v>
      </c>
      <c r="D25" s="862" t="s">
        <v>2764</v>
      </c>
      <c r="E25" s="862" t="s">
        <v>2796</v>
      </c>
      <c r="F25" s="864">
        <v>1864.08</v>
      </c>
      <c r="G25" s="862" t="s">
        <v>2846</v>
      </c>
      <c r="I25" s="862"/>
      <c r="J25" s="862" t="s">
        <v>2824</v>
      </c>
      <c r="K25" s="863">
        <v>1392</v>
      </c>
      <c r="L25" s="862" t="s">
        <v>2764</v>
      </c>
      <c r="M25" s="862" t="s">
        <v>2797</v>
      </c>
      <c r="N25" s="864">
        <v>100</v>
      </c>
      <c r="O25" s="862" t="s">
        <v>2824</v>
      </c>
      <c r="Q25" s="862"/>
      <c r="R25" s="862" t="s">
        <v>2847</v>
      </c>
      <c r="S25" s="863">
        <v>1062</v>
      </c>
      <c r="T25" s="862" t="s">
        <v>2764</v>
      </c>
      <c r="U25" s="862" t="s">
        <v>2798</v>
      </c>
      <c r="V25" s="864">
        <v>15</v>
      </c>
      <c r="W25" s="862" t="s">
        <v>2847</v>
      </c>
    </row>
    <row r="26" spans="1:23">
      <c r="A26" s="862"/>
      <c r="B26" s="862" t="s">
        <v>2848</v>
      </c>
      <c r="C26" s="863">
        <v>1370</v>
      </c>
      <c r="D26" s="862" t="s">
        <v>2764</v>
      </c>
      <c r="E26" s="862" t="s">
        <v>2796</v>
      </c>
      <c r="F26" s="864">
        <v>2508.63</v>
      </c>
      <c r="G26" s="862" t="s">
        <v>2848</v>
      </c>
      <c r="I26" s="862"/>
      <c r="J26" s="862" t="s">
        <v>2849</v>
      </c>
      <c r="K26" s="863">
        <v>1396</v>
      </c>
      <c r="L26" s="862" t="s">
        <v>2764</v>
      </c>
      <c r="M26" s="862" t="s">
        <v>2797</v>
      </c>
      <c r="N26" s="864">
        <v>75</v>
      </c>
      <c r="O26" s="862" t="s">
        <v>2849</v>
      </c>
      <c r="Q26" s="862"/>
      <c r="R26" s="862" t="s">
        <v>2850</v>
      </c>
      <c r="S26" s="863">
        <v>1414</v>
      </c>
      <c r="T26" s="862" t="s">
        <v>2764</v>
      </c>
      <c r="U26" s="862" t="s">
        <v>2798</v>
      </c>
      <c r="V26" s="864">
        <v>15</v>
      </c>
      <c r="W26" s="862" t="s">
        <v>2850</v>
      </c>
    </row>
    <row r="27" spans="1:23">
      <c r="A27" s="862"/>
      <c r="B27" s="862" t="s">
        <v>2851</v>
      </c>
      <c r="C27" s="863">
        <v>1370</v>
      </c>
      <c r="D27" s="862" t="s">
        <v>2764</v>
      </c>
      <c r="E27" s="862" t="s">
        <v>2796</v>
      </c>
      <c r="F27" s="864">
        <v>2508.63</v>
      </c>
      <c r="G27" s="862" t="s">
        <v>2851</v>
      </c>
      <c r="I27" s="862"/>
      <c r="J27" s="862" t="s">
        <v>2852</v>
      </c>
      <c r="K27" s="863">
        <v>748</v>
      </c>
      <c r="L27" s="862" t="s">
        <v>2764</v>
      </c>
      <c r="M27" s="862" t="s">
        <v>2797</v>
      </c>
      <c r="N27" s="864">
        <v>125</v>
      </c>
      <c r="O27" s="862" t="s">
        <v>2852</v>
      </c>
      <c r="Q27" s="862"/>
      <c r="R27" s="862" t="s">
        <v>2853</v>
      </c>
      <c r="S27" s="863">
        <v>1420</v>
      </c>
      <c r="T27" s="862" t="s">
        <v>2764</v>
      </c>
      <c r="U27" s="862" t="s">
        <v>2798</v>
      </c>
      <c r="V27" s="864">
        <v>15</v>
      </c>
      <c r="W27" s="862" t="s">
        <v>2853</v>
      </c>
    </row>
    <row r="28" spans="1:23">
      <c r="A28" s="862"/>
      <c r="B28" s="862" t="s">
        <v>2854</v>
      </c>
      <c r="C28" s="863">
        <v>720</v>
      </c>
      <c r="D28" s="862" t="s">
        <v>2764</v>
      </c>
      <c r="E28" s="862" t="s">
        <v>2796</v>
      </c>
      <c r="F28" s="864">
        <v>1318.4</v>
      </c>
      <c r="G28" s="862" t="s">
        <v>2854</v>
      </c>
      <c r="I28" s="862"/>
      <c r="J28" s="862" t="s">
        <v>2831</v>
      </c>
      <c r="K28" s="863">
        <v>2280</v>
      </c>
      <c r="L28" s="862" t="s">
        <v>2764</v>
      </c>
      <c r="M28" s="862" t="s">
        <v>2797</v>
      </c>
      <c r="N28" s="864">
        <v>125</v>
      </c>
      <c r="O28" s="862" t="s">
        <v>2831</v>
      </c>
      <c r="Q28" s="862"/>
      <c r="R28" s="862" t="s">
        <v>2855</v>
      </c>
      <c r="S28" s="863">
        <v>2309</v>
      </c>
      <c r="T28" s="862" t="s">
        <v>2764</v>
      </c>
      <c r="U28" s="862" t="s">
        <v>2798</v>
      </c>
      <c r="V28" s="864">
        <v>15</v>
      </c>
      <c r="W28" s="862" t="s">
        <v>2855</v>
      </c>
    </row>
    <row r="29" spans="1:23">
      <c r="A29" s="862"/>
      <c r="B29" s="862" t="s">
        <v>2856</v>
      </c>
      <c r="C29" s="863">
        <v>720</v>
      </c>
      <c r="D29" s="862" t="s">
        <v>2764</v>
      </c>
      <c r="E29" s="862" t="s">
        <v>2796</v>
      </c>
      <c r="F29" s="864">
        <v>1318.41</v>
      </c>
      <c r="G29" s="862" t="s">
        <v>2856</v>
      </c>
      <c r="I29" s="862"/>
      <c r="J29" s="862" t="s">
        <v>2831</v>
      </c>
      <c r="K29" s="863">
        <v>2280</v>
      </c>
      <c r="L29" s="862" t="s">
        <v>2764</v>
      </c>
      <c r="M29" s="862" t="s">
        <v>2797</v>
      </c>
      <c r="N29" s="864">
        <v>75</v>
      </c>
      <c r="O29" s="862" t="s">
        <v>2831</v>
      </c>
      <c r="Q29" s="862"/>
      <c r="R29" s="862" t="s">
        <v>2857</v>
      </c>
      <c r="S29" s="863">
        <v>1430</v>
      </c>
      <c r="T29" s="862" t="s">
        <v>2764</v>
      </c>
      <c r="U29" s="862" t="s">
        <v>2798</v>
      </c>
      <c r="V29" s="864">
        <v>15</v>
      </c>
      <c r="W29" s="862" t="s">
        <v>2857</v>
      </c>
    </row>
    <row r="30" spans="1:23">
      <c r="A30" s="862"/>
      <c r="B30" s="862" t="s">
        <v>2858</v>
      </c>
      <c r="C30" s="863">
        <v>1020</v>
      </c>
      <c r="D30" s="862" t="s">
        <v>2764</v>
      </c>
      <c r="E30" s="862" t="s">
        <v>2796</v>
      </c>
      <c r="F30" s="864">
        <v>1867.71</v>
      </c>
      <c r="G30" s="862" t="s">
        <v>2858</v>
      </c>
      <c r="I30" s="862"/>
      <c r="J30" s="862" t="s">
        <v>2859</v>
      </c>
      <c r="K30" s="863">
        <v>1050</v>
      </c>
      <c r="L30" s="862" t="s">
        <v>2764</v>
      </c>
      <c r="M30" s="862" t="s">
        <v>2797</v>
      </c>
      <c r="N30" s="864">
        <v>100</v>
      </c>
      <c r="O30" s="862" t="s">
        <v>2859</v>
      </c>
      <c r="S30" s="715">
        <f>SUM(S8:S29)</f>
        <v>31014</v>
      </c>
      <c r="V30" s="716">
        <f>SUM(V8:V29)</f>
        <v>390</v>
      </c>
    </row>
    <row r="31" spans="1:23">
      <c r="A31" s="862"/>
      <c r="B31" s="862" t="s">
        <v>2860</v>
      </c>
      <c r="C31" s="863">
        <v>1290</v>
      </c>
      <c r="D31" s="862" t="s">
        <v>2764</v>
      </c>
      <c r="E31" s="862" t="s">
        <v>2796</v>
      </c>
      <c r="F31" s="864">
        <v>2362.13</v>
      </c>
      <c r="G31" s="862" t="s">
        <v>2860</v>
      </c>
      <c r="I31" s="862"/>
      <c r="J31" s="862" t="s">
        <v>2861</v>
      </c>
      <c r="K31" s="863">
        <v>752</v>
      </c>
      <c r="L31" s="862" t="s">
        <v>2764</v>
      </c>
      <c r="M31" s="862" t="s">
        <v>2797</v>
      </c>
      <c r="N31" s="864">
        <v>180</v>
      </c>
      <c r="O31" s="862" t="s">
        <v>2861</v>
      </c>
    </row>
    <row r="32" spans="1:23">
      <c r="A32" s="862"/>
      <c r="B32" s="862" t="s">
        <v>2812</v>
      </c>
      <c r="C32" s="863">
        <v>2252</v>
      </c>
      <c r="D32" s="862" t="s">
        <v>2764</v>
      </c>
      <c r="E32" s="862" t="s">
        <v>2796</v>
      </c>
      <c r="F32" s="864">
        <v>4123.63</v>
      </c>
      <c r="G32" s="862" t="s">
        <v>2812</v>
      </c>
      <c r="I32" s="862"/>
      <c r="J32" s="862" t="s">
        <v>2835</v>
      </c>
      <c r="K32" s="863">
        <v>1054</v>
      </c>
      <c r="L32" s="862" t="s">
        <v>2764</v>
      </c>
      <c r="M32" s="862" t="s">
        <v>2797</v>
      </c>
      <c r="N32" s="864">
        <v>125</v>
      </c>
      <c r="O32" s="862" t="s">
        <v>2835</v>
      </c>
    </row>
    <row r="33" spans="1:15">
      <c r="A33" s="862"/>
      <c r="B33" s="862" t="s">
        <v>2862</v>
      </c>
      <c r="C33" s="863">
        <v>1370</v>
      </c>
      <c r="D33" s="862" t="s">
        <v>2764</v>
      </c>
      <c r="E33" s="862" t="s">
        <v>2796</v>
      </c>
      <c r="F33" s="864">
        <v>2508.63</v>
      </c>
      <c r="G33" s="862" t="s">
        <v>2862</v>
      </c>
      <c r="I33" s="862"/>
      <c r="J33" s="862" t="s">
        <v>2863</v>
      </c>
      <c r="K33" s="863">
        <v>756</v>
      </c>
      <c r="L33" s="862" t="s">
        <v>2764</v>
      </c>
      <c r="M33" s="862" t="s">
        <v>2797</v>
      </c>
      <c r="N33" s="864">
        <v>125</v>
      </c>
      <c r="O33" s="862" t="s">
        <v>2863</v>
      </c>
    </row>
    <row r="34" spans="1:15">
      <c r="A34" s="862"/>
      <c r="B34" s="862" t="s">
        <v>2864</v>
      </c>
      <c r="C34" s="863">
        <v>1020</v>
      </c>
      <c r="D34" s="862" t="s">
        <v>2764</v>
      </c>
      <c r="E34" s="862" t="s">
        <v>2796</v>
      </c>
      <c r="F34" s="864">
        <v>1867.71</v>
      </c>
      <c r="G34" s="862" t="s">
        <v>2864</v>
      </c>
      <c r="I34" s="862"/>
      <c r="J34" s="862" t="s">
        <v>2865</v>
      </c>
      <c r="K34" s="863">
        <v>1410</v>
      </c>
      <c r="L34" s="862" t="s">
        <v>2764</v>
      </c>
      <c r="M34" s="862" t="s">
        <v>2797</v>
      </c>
      <c r="N34" s="864">
        <v>125</v>
      </c>
      <c r="O34" s="862" t="s">
        <v>2865</v>
      </c>
    </row>
    <row r="35" spans="1:15">
      <c r="A35" s="862"/>
      <c r="B35" s="862" t="s">
        <v>2866</v>
      </c>
      <c r="C35" s="863">
        <v>1372</v>
      </c>
      <c r="D35" s="862" t="s">
        <v>2764</v>
      </c>
      <c r="E35" s="862" t="s">
        <v>2796</v>
      </c>
      <c r="F35" s="864">
        <v>2512.29</v>
      </c>
      <c r="G35" s="862" t="s">
        <v>2866</v>
      </c>
      <c r="I35" s="862"/>
      <c r="J35" s="862" t="s">
        <v>2867</v>
      </c>
      <c r="K35" s="863">
        <v>2290</v>
      </c>
      <c r="L35" s="862" t="s">
        <v>2764</v>
      </c>
      <c r="M35" s="862" t="s">
        <v>2797</v>
      </c>
      <c r="N35" s="864">
        <v>100</v>
      </c>
      <c r="O35" s="862" t="s">
        <v>2867</v>
      </c>
    </row>
    <row r="36" spans="1:15">
      <c r="A36" s="862"/>
      <c r="B36" s="862" t="s">
        <v>2868</v>
      </c>
      <c r="C36" s="863">
        <v>1372</v>
      </c>
      <c r="D36" s="862" t="s">
        <v>2764</v>
      </c>
      <c r="E36" s="862" t="s">
        <v>2796</v>
      </c>
      <c r="F36" s="864">
        <v>2512.29</v>
      </c>
      <c r="G36" s="862" t="s">
        <v>2868</v>
      </c>
      <c r="I36" s="862"/>
      <c r="J36" s="862" t="s">
        <v>2869</v>
      </c>
      <c r="K36" s="863">
        <v>1414</v>
      </c>
      <c r="L36" s="862" t="s">
        <v>2764</v>
      </c>
      <c r="M36" s="862" t="s">
        <v>2797</v>
      </c>
      <c r="N36" s="864">
        <v>75</v>
      </c>
      <c r="O36" s="862" t="s">
        <v>2869</v>
      </c>
    </row>
    <row r="37" spans="1:15">
      <c r="A37" s="862"/>
      <c r="B37" s="862" t="s">
        <v>2815</v>
      </c>
      <c r="C37" s="863">
        <v>722</v>
      </c>
      <c r="D37" s="862" t="s">
        <v>2764</v>
      </c>
      <c r="E37" s="862" t="s">
        <v>2796</v>
      </c>
      <c r="F37" s="864">
        <v>1322.05</v>
      </c>
      <c r="G37" s="862" t="s">
        <v>2815</v>
      </c>
      <c r="I37" s="862"/>
      <c r="J37" s="862" t="s">
        <v>2850</v>
      </c>
      <c r="K37" s="863">
        <v>1414</v>
      </c>
      <c r="L37" s="862" t="s">
        <v>2764</v>
      </c>
      <c r="M37" s="862" t="s">
        <v>2797</v>
      </c>
      <c r="N37" s="864">
        <v>75</v>
      </c>
      <c r="O37" s="862" t="s">
        <v>2850</v>
      </c>
    </row>
    <row r="38" spans="1:15">
      <c r="A38" s="862"/>
      <c r="B38" s="862" t="s">
        <v>2870</v>
      </c>
      <c r="C38" s="863">
        <v>722</v>
      </c>
      <c r="D38" s="862" t="s">
        <v>2764</v>
      </c>
      <c r="E38" s="862" t="s">
        <v>2796</v>
      </c>
      <c r="F38" s="864">
        <v>1322.06</v>
      </c>
      <c r="G38" s="862" t="s">
        <v>2870</v>
      </c>
      <c r="I38" s="862"/>
      <c r="J38" s="862" t="s">
        <v>2871</v>
      </c>
      <c r="K38" s="863">
        <v>1414</v>
      </c>
      <c r="L38" s="862" t="s">
        <v>2764</v>
      </c>
      <c r="M38" s="862" t="s">
        <v>2797</v>
      </c>
      <c r="N38" s="864">
        <v>125</v>
      </c>
      <c r="O38" s="862" t="s">
        <v>2871</v>
      </c>
    </row>
    <row r="39" spans="1:15">
      <c r="A39" s="862"/>
      <c r="B39" s="862" t="s">
        <v>2872</v>
      </c>
      <c r="C39" s="863">
        <v>1022</v>
      </c>
      <c r="D39" s="862" t="s">
        <v>2764</v>
      </c>
      <c r="E39" s="862" t="s">
        <v>2796</v>
      </c>
      <c r="F39" s="864">
        <v>1871.4</v>
      </c>
      <c r="G39" s="862" t="s">
        <v>2872</v>
      </c>
      <c r="I39" s="862"/>
      <c r="J39" s="862" t="s">
        <v>2873</v>
      </c>
      <c r="K39" s="863">
        <v>1064</v>
      </c>
      <c r="L39" s="862" t="s">
        <v>2764</v>
      </c>
      <c r="M39" s="862" t="s">
        <v>2797</v>
      </c>
      <c r="N39" s="864">
        <v>75</v>
      </c>
      <c r="O39" s="862" t="s">
        <v>2873</v>
      </c>
    </row>
    <row r="40" spans="1:15">
      <c r="A40" s="862"/>
      <c r="B40" s="862" t="s">
        <v>2818</v>
      </c>
      <c r="C40" s="863">
        <v>1292</v>
      </c>
      <c r="D40" s="862" t="s">
        <v>2764</v>
      </c>
      <c r="E40" s="862" t="s">
        <v>2796</v>
      </c>
      <c r="F40" s="864">
        <v>2365.8000000000002</v>
      </c>
      <c r="G40" s="862" t="s">
        <v>2818</v>
      </c>
      <c r="I40" s="862"/>
      <c r="J40" s="862" t="s">
        <v>2874</v>
      </c>
      <c r="K40" s="863">
        <v>2295</v>
      </c>
      <c r="L40" s="862" t="s">
        <v>2764</v>
      </c>
      <c r="M40" s="862" t="s">
        <v>2797</v>
      </c>
      <c r="N40" s="864">
        <v>75</v>
      </c>
      <c r="O40" s="862" t="s">
        <v>2874</v>
      </c>
    </row>
    <row r="41" spans="1:15">
      <c r="A41" s="862"/>
      <c r="B41" s="862" t="s">
        <v>2875</v>
      </c>
      <c r="C41" s="863">
        <v>2253</v>
      </c>
      <c r="D41" s="862" t="s">
        <v>2764</v>
      </c>
      <c r="E41" s="862" t="s">
        <v>2796</v>
      </c>
      <c r="F41" s="864">
        <v>4125.4799999999996</v>
      </c>
      <c r="G41" s="862" t="s">
        <v>2875</v>
      </c>
      <c r="I41" s="862"/>
      <c r="J41" s="862" t="s">
        <v>2876</v>
      </c>
      <c r="K41" s="863">
        <v>768</v>
      </c>
      <c r="L41" s="862" t="s">
        <v>2764</v>
      </c>
      <c r="M41" s="862" t="s">
        <v>2797</v>
      </c>
      <c r="N41" s="864">
        <v>75</v>
      </c>
      <c r="O41" s="862" t="s">
        <v>2876</v>
      </c>
    </row>
    <row r="42" spans="1:15">
      <c r="A42" s="862"/>
      <c r="B42" s="862" t="s">
        <v>2877</v>
      </c>
      <c r="C42" s="863">
        <v>1372</v>
      </c>
      <c r="D42" s="862" t="s">
        <v>2764</v>
      </c>
      <c r="E42" s="862" t="s">
        <v>2796</v>
      </c>
      <c r="F42" s="864">
        <v>2512.29</v>
      </c>
      <c r="G42" s="862" t="s">
        <v>2877</v>
      </c>
      <c r="I42" s="862"/>
      <c r="J42" s="862" t="s">
        <v>2853</v>
      </c>
      <c r="K42" s="863">
        <v>1420</v>
      </c>
      <c r="L42" s="862" t="s">
        <v>2764</v>
      </c>
      <c r="M42" s="862" t="s">
        <v>2797</v>
      </c>
      <c r="N42" s="864">
        <v>125</v>
      </c>
      <c r="O42" s="862" t="s">
        <v>2853</v>
      </c>
    </row>
    <row r="43" spans="1:15">
      <c r="A43" s="862"/>
      <c r="B43" s="862" t="s">
        <v>2810</v>
      </c>
      <c r="C43" s="863">
        <v>1022</v>
      </c>
      <c r="D43" s="862" t="s">
        <v>2764</v>
      </c>
      <c r="E43" s="862" t="s">
        <v>2796</v>
      </c>
      <c r="F43" s="864">
        <v>1871.39</v>
      </c>
      <c r="G43" s="862" t="s">
        <v>2810</v>
      </c>
      <c r="I43" s="862"/>
      <c r="J43" s="862" t="s">
        <v>2878</v>
      </c>
      <c r="K43" s="863">
        <v>772</v>
      </c>
      <c r="L43" s="862" t="s">
        <v>2764</v>
      </c>
      <c r="M43" s="862" t="s">
        <v>2797</v>
      </c>
      <c r="N43" s="864">
        <v>100</v>
      </c>
      <c r="O43" s="862" t="s">
        <v>2878</v>
      </c>
    </row>
    <row r="44" spans="1:15">
      <c r="A44" s="862"/>
      <c r="B44" s="862" t="s">
        <v>2879</v>
      </c>
      <c r="C44" s="863">
        <v>1374</v>
      </c>
      <c r="D44" s="862" t="s">
        <v>2764</v>
      </c>
      <c r="E44" s="862" t="s">
        <v>2796</v>
      </c>
      <c r="F44" s="864">
        <v>2515.9499999999998</v>
      </c>
      <c r="G44" s="862" t="s">
        <v>2879</v>
      </c>
      <c r="I44" s="862"/>
      <c r="J44" s="862" t="s">
        <v>2880</v>
      </c>
      <c r="K44" s="863">
        <v>1072</v>
      </c>
      <c r="L44" s="862" t="s">
        <v>2764</v>
      </c>
      <c r="M44" s="862" t="s">
        <v>2797</v>
      </c>
      <c r="N44" s="864">
        <v>75</v>
      </c>
      <c r="O44" s="862" t="s">
        <v>2880</v>
      </c>
    </row>
    <row r="45" spans="1:15">
      <c r="A45" s="862"/>
      <c r="B45" s="862" t="s">
        <v>2881</v>
      </c>
      <c r="C45" s="863">
        <v>1374</v>
      </c>
      <c r="D45" s="862" t="s">
        <v>2764</v>
      </c>
      <c r="E45" s="862" t="s">
        <v>2796</v>
      </c>
      <c r="F45" s="864">
        <v>2515.9299999999998</v>
      </c>
      <c r="G45" s="862" t="s">
        <v>2881</v>
      </c>
      <c r="I45" s="862"/>
      <c r="J45" s="862" t="s">
        <v>2882</v>
      </c>
      <c r="K45" s="863">
        <v>1076</v>
      </c>
      <c r="L45" s="862" t="s">
        <v>2764</v>
      </c>
      <c r="M45" s="862" t="s">
        <v>2797</v>
      </c>
      <c r="N45" s="864">
        <v>180</v>
      </c>
      <c r="O45" s="862" t="s">
        <v>2882</v>
      </c>
    </row>
    <row r="46" spans="1:15">
      <c r="A46" s="862"/>
      <c r="B46" s="862" t="s">
        <v>2820</v>
      </c>
      <c r="C46" s="863">
        <v>724</v>
      </c>
      <c r="D46" s="862" t="s">
        <v>2764</v>
      </c>
      <c r="E46" s="862" t="s">
        <v>2796</v>
      </c>
      <c r="F46" s="864">
        <v>1325.73</v>
      </c>
      <c r="G46" s="862" t="s">
        <v>2820</v>
      </c>
      <c r="I46" s="862"/>
      <c r="J46" s="862" t="s">
        <v>2882</v>
      </c>
      <c r="K46" s="863">
        <v>1076</v>
      </c>
      <c r="L46" s="862" t="s">
        <v>2764</v>
      </c>
      <c r="M46" s="862" t="s">
        <v>2797</v>
      </c>
      <c r="N46" s="864">
        <v>125</v>
      </c>
      <c r="O46" s="862" t="s">
        <v>2882</v>
      </c>
    </row>
    <row r="47" spans="1:15">
      <c r="A47" s="862"/>
      <c r="B47" s="862" t="s">
        <v>2823</v>
      </c>
      <c r="C47" s="863">
        <v>724</v>
      </c>
      <c r="D47" s="862" t="s">
        <v>2764</v>
      </c>
      <c r="E47" s="862" t="s">
        <v>2796</v>
      </c>
      <c r="F47" s="864">
        <v>1325.73</v>
      </c>
      <c r="G47" s="862" t="s">
        <v>2823</v>
      </c>
      <c r="I47" s="862"/>
      <c r="J47" s="862" t="s">
        <v>2883</v>
      </c>
      <c r="K47" s="863">
        <v>2305</v>
      </c>
      <c r="L47" s="862" t="s">
        <v>2764</v>
      </c>
      <c r="M47" s="862" t="s">
        <v>2797</v>
      </c>
      <c r="N47" s="864">
        <v>100</v>
      </c>
      <c r="O47" s="862" t="s">
        <v>2883</v>
      </c>
    </row>
    <row r="48" spans="1:15">
      <c r="A48" s="862"/>
      <c r="B48" s="862" t="s">
        <v>2884</v>
      </c>
      <c r="C48" s="863">
        <v>1024</v>
      </c>
      <c r="D48" s="862" t="s">
        <v>2764</v>
      </c>
      <c r="E48" s="862" t="s">
        <v>2796</v>
      </c>
      <c r="F48" s="864">
        <v>1875.04</v>
      </c>
      <c r="G48" s="862" t="s">
        <v>2884</v>
      </c>
      <c r="I48" s="862"/>
      <c r="J48" s="862" t="s">
        <v>2885</v>
      </c>
      <c r="K48" s="863">
        <v>1428</v>
      </c>
      <c r="L48" s="862" t="s">
        <v>2764</v>
      </c>
      <c r="M48" s="862" t="s">
        <v>2797</v>
      </c>
      <c r="N48" s="864">
        <v>100</v>
      </c>
      <c r="O48" s="862" t="s">
        <v>2885</v>
      </c>
    </row>
    <row r="49" spans="1:15">
      <c r="A49" s="862"/>
      <c r="B49" s="862" t="s">
        <v>2886</v>
      </c>
      <c r="C49" s="863">
        <v>1294</v>
      </c>
      <c r="D49" s="862" t="s">
        <v>2764</v>
      </c>
      <c r="E49" s="862" t="s">
        <v>2796</v>
      </c>
      <c r="F49" s="864">
        <v>2369.4499999999998</v>
      </c>
      <c r="G49" s="862" t="s">
        <v>2886</v>
      </c>
      <c r="I49" s="862"/>
      <c r="J49" s="862" t="s">
        <v>2887</v>
      </c>
      <c r="K49" s="863">
        <v>1428</v>
      </c>
      <c r="L49" s="862" t="s">
        <v>2764</v>
      </c>
      <c r="M49" s="862" t="s">
        <v>2797</v>
      </c>
      <c r="N49" s="864">
        <v>125</v>
      </c>
      <c r="O49" s="862" t="s">
        <v>2887</v>
      </c>
    </row>
    <row r="50" spans="1:15">
      <c r="A50" s="862"/>
      <c r="B50" s="862" t="s">
        <v>2813</v>
      </c>
      <c r="C50" s="863">
        <v>2255</v>
      </c>
      <c r="D50" s="862" t="s">
        <v>2764</v>
      </c>
      <c r="E50" s="862" t="s">
        <v>2796</v>
      </c>
      <c r="F50" s="864">
        <v>4129.1499999999996</v>
      </c>
      <c r="G50" s="862" t="s">
        <v>2813</v>
      </c>
      <c r="I50" s="862"/>
      <c r="J50" s="862" t="s">
        <v>2888</v>
      </c>
      <c r="K50" s="863">
        <v>1432</v>
      </c>
      <c r="L50" s="862" t="s">
        <v>2764</v>
      </c>
      <c r="M50" s="862" t="s">
        <v>2797</v>
      </c>
      <c r="N50" s="864">
        <v>125</v>
      </c>
      <c r="O50" s="862" t="s">
        <v>2888</v>
      </c>
    </row>
    <row r="51" spans="1:15">
      <c r="A51" s="862"/>
      <c r="B51" s="862" t="s">
        <v>2889</v>
      </c>
      <c r="C51" s="863">
        <v>1374</v>
      </c>
      <c r="D51" s="862" t="s">
        <v>2764</v>
      </c>
      <c r="E51" s="862" t="s">
        <v>2796</v>
      </c>
      <c r="F51" s="864">
        <v>2515.9499999999998</v>
      </c>
      <c r="G51" s="862" t="s">
        <v>2889</v>
      </c>
      <c r="I51" s="862"/>
      <c r="J51" s="862" t="s">
        <v>2890</v>
      </c>
      <c r="K51" s="863">
        <v>1084</v>
      </c>
      <c r="L51" s="862" t="s">
        <v>2764</v>
      </c>
      <c r="M51" s="862" t="s">
        <v>2797</v>
      </c>
      <c r="N51" s="864">
        <v>125</v>
      </c>
      <c r="O51" s="862" t="s">
        <v>2890</v>
      </c>
    </row>
    <row r="52" spans="1:15">
      <c r="A52" s="862"/>
      <c r="B52" s="862" t="s">
        <v>2891</v>
      </c>
      <c r="C52" s="863">
        <v>1024</v>
      </c>
      <c r="D52" s="862" t="s">
        <v>2764</v>
      </c>
      <c r="E52" s="862" t="s">
        <v>2796</v>
      </c>
      <c r="F52" s="864">
        <v>1875.05</v>
      </c>
      <c r="G52" s="862" t="s">
        <v>2891</v>
      </c>
      <c r="K52" s="715">
        <f>SUM(K8:K51)</f>
        <v>57185</v>
      </c>
      <c r="N52">
        <f>SUM(N8:N51)</f>
        <v>4715</v>
      </c>
    </row>
    <row r="53" spans="1:15">
      <c r="A53" s="862"/>
      <c r="B53" s="862" t="s">
        <v>2816</v>
      </c>
      <c r="C53" s="863">
        <v>1376</v>
      </c>
      <c r="D53" s="862" t="s">
        <v>2764</v>
      </c>
      <c r="E53" s="862" t="s">
        <v>2796</v>
      </c>
      <c r="F53" s="864">
        <v>2519.62</v>
      </c>
      <c r="G53" s="862" t="s">
        <v>2816</v>
      </c>
    </row>
    <row r="54" spans="1:15">
      <c r="A54" s="862"/>
      <c r="B54" s="862" t="s">
        <v>2892</v>
      </c>
      <c r="C54" s="863">
        <v>1376</v>
      </c>
      <c r="D54" s="862" t="s">
        <v>2764</v>
      </c>
      <c r="E54" s="862" t="s">
        <v>2796</v>
      </c>
      <c r="F54" s="864">
        <v>2519.61</v>
      </c>
      <c r="G54" s="862" t="s">
        <v>2892</v>
      </c>
    </row>
    <row r="55" spans="1:15">
      <c r="A55" s="862"/>
      <c r="B55" s="862" t="s">
        <v>2893</v>
      </c>
      <c r="C55" s="863">
        <v>726</v>
      </c>
      <c r="D55" s="862" t="s">
        <v>2764</v>
      </c>
      <c r="E55" s="862" t="s">
        <v>2796</v>
      </c>
      <c r="F55" s="864">
        <v>1329.4</v>
      </c>
      <c r="G55" s="862" t="s">
        <v>2893</v>
      </c>
    </row>
    <row r="56" spans="1:15">
      <c r="A56" s="862"/>
      <c r="B56" s="862" t="s">
        <v>2894</v>
      </c>
      <c r="C56" s="863">
        <v>726</v>
      </c>
      <c r="D56" s="862" t="s">
        <v>2764</v>
      </c>
      <c r="E56" s="862" t="s">
        <v>2796</v>
      </c>
      <c r="F56" s="864">
        <v>1329.4</v>
      </c>
      <c r="G56" s="862" t="s">
        <v>2894</v>
      </c>
    </row>
    <row r="57" spans="1:15">
      <c r="A57" s="862"/>
      <c r="B57" s="862" t="s">
        <v>2895</v>
      </c>
      <c r="C57" s="863">
        <v>1026</v>
      </c>
      <c r="D57" s="862" t="s">
        <v>2764</v>
      </c>
      <c r="E57" s="862" t="s">
        <v>2796</v>
      </c>
      <c r="F57" s="864">
        <v>1878.72</v>
      </c>
      <c r="G57" s="862" t="s">
        <v>2895</v>
      </c>
    </row>
    <row r="58" spans="1:15">
      <c r="A58" s="862"/>
      <c r="B58" s="862" t="s">
        <v>2828</v>
      </c>
      <c r="C58" s="863">
        <v>1296</v>
      </c>
      <c r="D58" s="862" t="s">
        <v>2764</v>
      </c>
      <c r="E58" s="862" t="s">
        <v>2796</v>
      </c>
      <c r="F58" s="864">
        <v>2373.13</v>
      </c>
      <c r="G58" s="862" t="s">
        <v>2828</v>
      </c>
    </row>
    <row r="59" spans="1:15">
      <c r="A59" s="862"/>
      <c r="B59" s="862" t="s">
        <v>2896</v>
      </c>
      <c r="C59" s="863">
        <v>2257</v>
      </c>
      <c r="D59" s="862" t="s">
        <v>2764</v>
      </c>
      <c r="E59" s="862" t="s">
        <v>2796</v>
      </c>
      <c r="F59" s="864">
        <v>4132.82</v>
      </c>
      <c r="G59" s="862" t="s">
        <v>2896</v>
      </c>
    </row>
    <row r="60" spans="1:15">
      <c r="A60" s="862"/>
      <c r="B60" s="862" t="s">
        <v>2897</v>
      </c>
      <c r="C60" s="863">
        <v>1376</v>
      </c>
      <c r="D60" s="862" t="s">
        <v>2764</v>
      </c>
      <c r="E60" s="862" t="s">
        <v>2796</v>
      </c>
      <c r="F60" s="864">
        <v>2519.62</v>
      </c>
      <c r="G60" s="862" t="s">
        <v>2897</v>
      </c>
    </row>
    <row r="61" spans="1:15">
      <c r="A61" s="862"/>
      <c r="B61" s="862" t="s">
        <v>2898</v>
      </c>
      <c r="C61" s="863">
        <v>1026</v>
      </c>
      <c r="D61" s="862" t="s">
        <v>2764</v>
      </c>
      <c r="E61" s="862" t="s">
        <v>2796</v>
      </c>
      <c r="F61" s="864">
        <v>1878.72</v>
      </c>
      <c r="G61" s="862" t="s">
        <v>2898</v>
      </c>
    </row>
    <row r="62" spans="1:15">
      <c r="A62" s="862"/>
      <c r="B62" s="862" t="s">
        <v>2899</v>
      </c>
      <c r="C62" s="863">
        <v>1378</v>
      </c>
      <c r="D62" s="862" t="s">
        <v>2764</v>
      </c>
      <c r="E62" s="862" t="s">
        <v>2796</v>
      </c>
      <c r="F62" s="864">
        <v>2523.2800000000002</v>
      </c>
      <c r="G62" s="862" t="s">
        <v>2899</v>
      </c>
    </row>
    <row r="63" spans="1:15">
      <c r="A63" s="862"/>
      <c r="B63" s="862" t="s">
        <v>2900</v>
      </c>
      <c r="C63" s="863">
        <v>1378</v>
      </c>
      <c r="D63" s="862" t="s">
        <v>2764</v>
      </c>
      <c r="E63" s="862" t="s">
        <v>2796</v>
      </c>
      <c r="F63" s="864">
        <v>2523.2800000000002</v>
      </c>
      <c r="G63" s="862" t="s">
        <v>2900</v>
      </c>
    </row>
    <row r="64" spans="1:15">
      <c r="A64" s="862"/>
      <c r="B64" s="862" t="s">
        <v>2901</v>
      </c>
      <c r="C64" s="863">
        <v>728</v>
      </c>
      <c r="D64" s="862" t="s">
        <v>2764</v>
      </c>
      <c r="E64" s="862" t="s">
        <v>2796</v>
      </c>
      <c r="F64" s="864">
        <v>1333.04</v>
      </c>
      <c r="G64" s="862" t="s">
        <v>2901</v>
      </c>
    </row>
    <row r="65" spans="1:7">
      <c r="A65" s="862"/>
      <c r="B65" s="862" t="s">
        <v>2902</v>
      </c>
      <c r="C65" s="863">
        <v>728</v>
      </c>
      <c r="D65" s="862" t="s">
        <v>2764</v>
      </c>
      <c r="E65" s="862" t="s">
        <v>2796</v>
      </c>
      <c r="F65" s="864">
        <v>1333.04</v>
      </c>
      <c r="G65" s="862" t="s">
        <v>2902</v>
      </c>
    </row>
    <row r="66" spans="1:7">
      <c r="A66" s="862"/>
      <c r="B66" s="862" t="s">
        <v>2819</v>
      </c>
      <c r="C66" s="863">
        <v>1028</v>
      </c>
      <c r="D66" s="862" t="s">
        <v>2764</v>
      </c>
      <c r="E66" s="862" t="s">
        <v>2796</v>
      </c>
      <c r="F66" s="864">
        <v>1882.39</v>
      </c>
      <c r="G66" s="862" t="s">
        <v>2819</v>
      </c>
    </row>
    <row r="67" spans="1:7">
      <c r="A67" s="862"/>
      <c r="B67" s="862" t="s">
        <v>2903</v>
      </c>
      <c r="C67" s="863">
        <v>1298</v>
      </c>
      <c r="D67" s="862" t="s">
        <v>2764</v>
      </c>
      <c r="E67" s="862" t="s">
        <v>2796</v>
      </c>
      <c r="F67" s="864">
        <v>2376.7600000000002</v>
      </c>
      <c r="G67" s="862" t="s">
        <v>2903</v>
      </c>
    </row>
    <row r="68" spans="1:7">
      <c r="A68" s="862"/>
      <c r="B68" s="862" t="s">
        <v>2904</v>
      </c>
      <c r="C68" s="863">
        <v>2259</v>
      </c>
      <c r="D68" s="862" t="s">
        <v>2764</v>
      </c>
      <c r="E68" s="862" t="s">
        <v>2796</v>
      </c>
      <c r="F68" s="864">
        <v>4136.47</v>
      </c>
      <c r="G68" s="862" t="s">
        <v>2904</v>
      </c>
    </row>
    <row r="69" spans="1:7">
      <c r="A69" s="862"/>
      <c r="B69" s="862" t="s">
        <v>2905</v>
      </c>
      <c r="C69" s="863">
        <v>1378</v>
      </c>
      <c r="D69" s="862" t="s">
        <v>2764</v>
      </c>
      <c r="E69" s="862" t="s">
        <v>2796</v>
      </c>
      <c r="F69" s="864">
        <v>2523.2800000000002</v>
      </c>
      <c r="G69" s="862" t="s">
        <v>2905</v>
      </c>
    </row>
    <row r="70" spans="1:7">
      <c r="A70" s="862"/>
      <c r="B70" s="862" t="s">
        <v>2906</v>
      </c>
      <c r="C70" s="863">
        <v>1028</v>
      </c>
      <c r="D70" s="862" t="s">
        <v>2764</v>
      </c>
      <c r="E70" s="862" t="s">
        <v>2796</v>
      </c>
      <c r="F70" s="864">
        <v>1882.39</v>
      </c>
      <c r="G70" s="862" t="s">
        <v>2906</v>
      </c>
    </row>
    <row r="71" spans="1:7">
      <c r="A71" s="862"/>
      <c r="B71" s="862" t="s">
        <v>2907</v>
      </c>
      <c r="C71" s="863">
        <v>1380</v>
      </c>
      <c r="D71" s="862" t="s">
        <v>2764</v>
      </c>
      <c r="E71" s="862" t="s">
        <v>2796</v>
      </c>
      <c r="F71" s="864">
        <v>2526.94</v>
      </c>
      <c r="G71" s="862" t="s">
        <v>2907</v>
      </c>
    </row>
    <row r="72" spans="1:7">
      <c r="A72" s="862"/>
      <c r="B72" s="862" t="s">
        <v>2908</v>
      </c>
      <c r="C72" s="863">
        <v>1380</v>
      </c>
      <c r="D72" s="862" t="s">
        <v>2764</v>
      </c>
      <c r="E72" s="862" t="s">
        <v>2796</v>
      </c>
      <c r="F72" s="864">
        <v>2526.94</v>
      </c>
      <c r="G72" s="862" t="s">
        <v>2908</v>
      </c>
    </row>
    <row r="73" spans="1:7">
      <c r="A73" s="862"/>
      <c r="B73" s="862" t="s">
        <v>2909</v>
      </c>
      <c r="C73" s="863">
        <v>730</v>
      </c>
      <c r="D73" s="862" t="s">
        <v>2764</v>
      </c>
      <c r="E73" s="862" t="s">
        <v>2796</v>
      </c>
      <c r="F73" s="864">
        <v>1336.72</v>
      </c>
      <c r="G73" s="862" t="s">
        <v>2909</v>
      </c>
    </row>
    <row r="74" spans="1:7">
      <c r="A74" s="862"/>
      <c r="B74" s="862" t="s">
        <v>2834</v>
      </c>
      <c r="C74" s="863">
        <v>730</v>
      </c>
      <c r="D74" s="862" t="s">
        <v>2764</v>
      </c>
      <c r="E74" s="862" t="s">
        <v>2796</v>
      </c>
      <c r="F74" s="864">
        <v>1336.72</v>
      </c>
      <c r="G74" s="862" t="s">
        <v>2834</v>
      </c>
    </row>
    <row r="75" spans="1:7">
      <c r="A75" s="862"/>
      <c r="B75" s="862" t="s">
        <v>2910</v>
      </c>
      <c r="C75" s="863">
        <v>1030</v>
      </c>
      <c r="D75" s="862" t="s">
        <v>2764</v>
      </c>
      <c r="E75" s="862" t="s">
        <v>2796</v>
      </c>
      <c r="F75" s="864">
        <v>1886.05</v>
      </c>
      <c r="G75" s="862" t="s">
        <v>2910</v>
      </c>
    </row>
    <row r="76" spans="1:7">
      <c r="A76" s="862"/>
      <c r="B76" s="862" t="s">
        <v>2911</v>
      </c>
      <c r="C76" s="863">
        <v>1300</v>
      </c>
      <c r="D76" s="862" t="s">
        <v>2764</v>
      </c>
      <c r="E76" s="862" t="s">
        <v>2796</v>
      </c>
      <c r="F76" s="864">
        <v>2380.4499999999998</v>
      </c>
      <c r="G76" s="862" t="s">
        <v>2911</v>
      </c>
    </row>
    <row r="77" spans="1:7">
      <c r="A77" s="862"/>
      <c r="B77" s="862" t="s">
        <v>2912</v>
      </c>
      <c r="C77" s="863">
        <v>2261</v>
      </c>
      <c r="D77" s="862" t="s">
        <v>2764</v>
      </c>
      <c r="E77" s="862" t="s">
        <v>2796</v>
      </c>
      <c r="F77" s="864">
        <v>4140.12</v>
      </c>
      <c r="G77" s="862" t="s">
        <v>2912</v>
      </c>
    </row>
    <row r="78" spans="1:7">
      <c r="A78" s="862"/>
      <c r="B78" s="862" t="s">
        <v>2837</v>
      </c>
      <c r="C78" s="863">
        <v>1380</v>
      </c>
      <c r="D78" s="862" t="s">
        <v>2764</v>
      </c>
      <c r="E78" s="862" t="s">
        <v>2796</v>
      </c>
      <c r="F78" s="864">
        <v>2526.94</v>
      </c>
      <c r="G78" s="862" t="s">
        <v>2837</v>
      </c>
    </row>
    <row r="79" spans="1:7">
      <c r="A79" s="862"/>
      <c r="B79" s="862" t="s">
        <v>2913</v>
      </c>
      <c r="C79" s="863">
        <v>1030</v>
      </c>
      <c r="D79" s="862" t="s">
        <v>2764</v>
      </c>
      <c r="E79" s="862" t="s">
        <v>2796</v>
      </c>
      <c r="F79" s="864">
        <v>1886.06</v>
      </c>
      <c r="G79" s="862" t="s">
        <v>2913</v>
      </c>
    </row>
    <row r="80" spans="1:7">
      <c r="A80" s="862"/>
      <c r="B80" s="862" t="s">
        <v>2914</v>
      </c>
      <c r="C80" s="863">
        <v>1382</v>
      </c>
      <c r="D80" s="862" t="s">
        <v>2764</v>
      </c>
      <c r="E80" s="862" t="s">
        <v>2796</v>
      </c>
      <c r="F80" s="864">
        <v>2530.62</v>
      </c>
      <c r="G80" s="862" t="s">
        <v>2914</v>
      </c>
    </row>
    <row r="81" spans="1:7">
      <c r="A81" s="862"/>
      <c r="B81" s="862" t="s">
        <v>2915</v>
      </c>
      <c r="C81" s="863">
        <v>1382</v>
      </c>
      <c r="D81" s="862" t="s">
        <v>2764</v>
      </c>
      <c r="E81" s="862" t="s">
        <v>2796</v>
      </c>
      <c r="F81" s="864">
        <v>2530.62</v>
      </c>
      <c r="G81" s="862" t="s">
        <v>2915</v>
      </c>
    </row>
    <row r="82" spans="1:7">
      <c r="A82" s="862"/>
      <c r="B82" s="862" t="s">
        <v>2916</v>
      </c>
      <c r="C82" s="863">
        <v>732</v>
      </c>
      <c r="D82" s="862" t="s">
        <v>2764</v>
      </c>
      <c r="E82" s="862" t="s">
        <v>2796</v>
      </c>
      <c r="F82" s="864">
        <v>1340.39</v>
      </c>
      <c r="G82" s="862" t="s">
        <v>2916</v>
      </c>
    </row>
    <row r="83" spans="1:7">
      <c r="A83" s="862"/>
      <c r="B83" s="862" t="s">
        <v>2917</v>
      </c>
      <c r="C83" s="863">
        <v>732</v>
      </c>
      <c r="D83" s="862" t="s">
        <v>2764</v>
      </c>
      <c r="E83" s="862" t="s">
        <v>2796</v>
      </c>
      <c r="F83" s="864">
        <v>1340.39</v>
      </c>
      <c r="G83" s="862" t="s">
        <v>2917</v>
      </c>
    </row>
    <row r="84" spans="1:7">
      <c r="A84" s="862"/>
      <c r="B84" s="862" t="s">
        <v>2918</v>
      </c>
      <c r="C84" s="863">
        <v>1032</v>
      </c>
      <c r="D84" s="862" t="s">
        <v>2764</v>
      </c>
      <c r="E84" s="862" t="s">
        <v>2796</v>
      </c>
      <c r="F84" s="864">
        <v>1889.7</v>
      </c>
      <c r="G84" s="862" t="s">
        <v>2918</v>
      </c>
    </row>
    <row r="85" spans="1:7">
      <c r="A85" s="862"/>
      <c r="B85" s="862" t="s">
        <v>2919</v>
      </c>
      <c r="C85" s="863">
        <v>1302</v>
      </c>
      <c r="D85" s="862" t="s">
        <v>2764</v>
      </c>
      <c r="E85" s="862" t="s">
        <v>2796</v>
      </c>
      <c r="F85" s="864">
        <v>2384.11</v>
      </c>
      <c r="G85" s="862" t="s">
        <v>2919</v>
      </c>
    </row>
    <row r="86" spans="1:7">
      <c r="A86" s="862"/>
      <c r="B86" s="862" t="s">
        <v>2840</v>
      </c>
      <c r="C86" s="863">
        <v>2263</v>
      </c>
      <c r="D86" s="862" t="s">
        <v>2764</v>
      </c>
      <c r="E86" s="862" t="s">
        <v>2796</v>
      </c>
      <c r="F86" s="864">
        <v>4143.8</v>
      </c>
      <c r="G86" s="862" t="s">
        <v>2840</v>
      </c>
    </row>
    <row r="87" spans="1:7">
      <c r="A87" s="862"/>
      <c r="B87" s="862" t="s">
        <v>2920</v>
      </c>
      <c r="C87" s="863">
        <v>1382</v>
      </c>
      <c r="D87" s="862" t="s">
        <v>2764</v>
      </c>
      <c r="E87" s="862" t="s">
        <v>2796</v>
      </c>
      <c r="F87" s="864">
        <v>2530.59</v>
      </c>
      <c r="G87" s="862" t="s">
        <v>2920</v>
      </c>
    </row>
    <row r="88" spans="1:7">
      <c r="A88" s="862"/>
      <c r="B88" s="862" t="s">
        <v>2921</v>
      </c>
      <c r="C88" s="863">
        <v>1032</v>
      </c>
      <c r="D88" s="862" t="s">
        <v>2764</v>
      </c>
      <c r="E88" s="862" t="s">
        <v>2796</v>
      </c>
      <c r="F88" s="864">
        <v>1889.69</v>
      </c>
      <c r="G88" s="862" t="s">
        <v>2921</v>
      </c>
    </row>
    <row r="89" spans="1:7">
      <c r="A89" s="862"/>
      <c r="B89" s="862" t="s">
        <v>2922</v>
      </c>
      <c r="C89" s="863">
        <v>1384</v>
      </c>
      <c r="D89" s="862" t="s">
        <v>2764</v>
      </c>
      <c r="E89" s="862" t="s">
        <v>2796</v>
      </c>
      <c r="F89" s="864">
        <v>2534.25</v>
      </c>
      <c r="G89" s="862" t="s">
        <v>2922</v>
      </c>
    </row>
    <row r="90" spans="1:7">
      <c r="A90" s="862"/>
      <c r="B90" s="862" t="s">
        <v>2923</v>
      </c>
      <c r="C90" s="863">
        <v>1384</v>
      </c>
      <c r="D90" s="862" t="s">
        <v>2764</v>
      </c>
      <c r="E90" s="862" t="s">
        <v>2796</v>
      </c>
      <c r="F90" s="864">
        <v>2534.25</v>
      </c>
      <c r="G90" s="862" t="s">
        <v>2923</v>
      </c>
    </row>
    <row r="91" spans="1:7">
      <c r="A91" s="862"/>
      <c r="B91" s="862" t="s">
        <v>2924</v>
      </c>
      <c r="C91" s="863">
        <v>734</v>
      </c>
      <c r="D91" s="862" t="s">
        <v>2764</v>
      </c>
      <c r="E91" s="862" t="s">
        <v>2796</v>
      </c>
      <c r="F91" s="864">
        <v>1344.03</v>
      </c>
      <c r="G91" s="862" t="s">
        <v>2924</v>
      </c>
    </row>
    <row r="92" spans="1:7">
      <c r="A92" s="862"/>
      <c r="B92" s="862" t="s">
        <v>2925</v>
      </c>
      <c r="C92" s="863">
        <v>734</v>
      </c>
      <c r="D92" s="862" t="s">
        <v>2764</v>
      </c>
      <c r="E92" s="862" t="s">
        <v>2796</v>
      </c>
      <c r="F92" s="864">
        <v>1344.03</v>
      </c>
      <c r="G92" s="862" t="s">
        <v>2925</v>
      </c>
    </row>
    <row r="93" spans="1:7">
      <c r="A93" s="862"/>
      <c r="B93" s="862" t="s">
        <v>2926</v>
      </c>
      <c r="C93" s="863">
        <v>1034</v>
      </c>
      <c r="D93" s="862" t="s">
        <v>2764</v>
      </c>
      <c r="E93" s="862" t="s">
        <v>2796</v>
      </c>
      <c r="F93" s="864">
        <v>1893.38</v>
      </c>
      <c r="G93" s="862" t="s">
        <v>2926</v>
      </c>
    </row>
    <row r="94" spans="1:7">
      <c r="A94" s="862"/>
      <c r="B94" s="862" t="s">
        <v>2927</v>
      </c>
      <c r="C94" s="863">
        <v>1304</v>
      </c>
      <c r="D94" s="862" t="s">
        <v>2764</v>
      </c>
      <c r="E94" s="862" t="s">
        <v>2796</v>
      </c>
      <c r="F94" s="864">
        <v>2387.77</v>
      </c>
      <c r="G94" s="862" t="s">
        <v>2927</v>
      </c>
    </row>
    <row r="95" spans="1:7">
      <c r="A95" s="862"/>
      <c r="B95" s="862" t="s">
        <v>2928</v>
      </c>
      <c r="C95" s="863">
        <v>2265</v>
      </c>
      <c r="D95" s="862" t="s">
        <v>2764</v>
      </c>
      <c r="E95" s="862" t="s">
        <v>2796</v>
      </c>
      <c r="F95" s="864">
        <v>4147.45</v>
      </c>
      <c r="G95" s="862" t="s">
        <v>2928</v>
      </c>
    </row>
    <row r="96" spans="1:7">
      <c r="A96" s="862"/>
      <c r="B96" s="862" t="s">
        <v>2929</v>
      </c>
      <c r="C96" s="863">
        <v>1384</v>
      </c>
      <c r="D96" s="862" t="s">
        <v>2764</v>
      </c>
      <c r="E96" s="862" t="s">
        <v>2796</v>
      </c>
      <c r="F96" s="864">
        <v>2534.25</v>
      </c>
      <c r="G96" s="862" t="s">
        <v>2929</v>
      </c>
    </row>
    <row r="97" spans="1:7">
      <c r="A97" s="862"/>
      <c r="B97" s="862" t="s">
        <v>2930</v>
      </c>
      <c r="C97" s="863">
        <v>1034</v>
      </c>
      <c r="D97" s="862" t="s">
        <v>2764</v>
      </c>
      <c r="E97" s="862" t="s">
        <v>2796</v>
      </c>
      <c r="F97" s="864">
        <v>1893.38</v>
      </c>
      <c r="G97" s="862" t="s">
        <v>2930</v>
      </c>
    </row>
    <row r="98" spans="1:7">
      <c r="A98" s="862"/>
      <c r="B98" s="862" t="s">
        <v>2931</v>
      </c>
      <c r="C98" s="863">
        <v>1386</v>
      </c>
      <c r="D98" s="862" t="s">
        <v>2764</v>
      </c>
      <c r="E98" s="862" t="s">
        <v>2796</v>
      </c>
      <c r="F98" s="864">
        <v>2537.91</v>
      </c>
      <c r="G98" s="862" t="s">
        <v>2931</v>
      </c>
    </row>
    <row r="99" spans="1:7">
      <c r="A99" s="862"/>
      <c r="B99" s="862" t="s">
        <v>2932</v>
      </c>
      <c r="C99" s="863">
        <v>1386</v>
      </c>
      <c r="D99" s="862" t="s">
        <v>2764</v>
      </c>
      <c r="E99" s="862" t="s">
        <v>2796</v>
      </c>
      <c r="F99" s="864">
        <v>2537.91</v>
      </c>
      <c r="G99" s="862" t="s">
        <v>2932</v>
      </c>
    </row>
    <row r="100" spans="1:7">
      <c r="A100" s="862"/>
      <c r="B100" s="862" t="s">
        <v>2933</v>
      </c>
      <c r="C100" s="863">
        <v>736</v>
      </c>
      <c r="D100" s="862" t="s">
        <v>2764</v>
      </c>
      <c r="E100" s="862" t="s">
        <v>2796</v>
      </c>
      <c r="F100" s="864">
        <v>1347.71</v>
      </c>
      <c r="G100" s="862" t="s">
        <v>2933</v>
      </c>
    </row>
    <row r="101" spans="1:7">
      <c r="A101" s="862"/>
      <c r="B101" s="862" t="s">
        <v>2934</v>
      </c>
      <c r="C101" s="863">
        <v>736</v>
      </c>
      <c r="D101" s="862" t="s">
        <v>2764</v>
      </c>
      <c r="E101" s="862" t="s">
        <v>2796</v>
      </c>
      <c r="F101" s="864">
        <v>1347.71</v>
      </c>
      <c r="G101" s="862" t="s">
        <v>2934</v>
      </c>
    </row>
    <row r="102" spans="1:7">
      <c r="A102" s="862"/>
      <c r="B102" s="862" t="s">
        <v>2935</v>
      </c>
      <c r="C102" s="863">
        <v>1036</v>
      </c>
      <c r="D102" s="862" t="s">
        <v>2764</v>
      </c>
      <c r="E102" s="862" t="s">
        <v>2796</v>
      </c>
      <c r="F102" s="864">
        <v>1897.07</v>
      </c>
      <c r="G102" s="862" t="s">
        <v>2935</v>
      </c>
    </row>
    <row r="103" spans="1:7">
      <c r="A103" s="862"/>
      <c r="B103" s="862" t="s">
        <v>2936</v>
      </c>
      <c r="C103" s="863">
        <v>1306</v>
      </c>
      <c r="D103" s="862" t="s">
        <v>2764</v>
      </c>
      <c r="E103" s="862" t="s">
        <v>2796</v>
      </c>
      <c r="F103" s="864">
        <v>2391.44</v>
      </c>
      <c r="G103" s="862" t="s">
        <v>2936</v>
      </c>
    </row>
    <row r="104" spans="1:7">
      <c r="A104" s="862"/>
      <c r="B104" s="862" t="s">
        <v>2937</v>
      </c>
      <c r="C104" s="863">
        <v>2267</v>
      </c>
      <c r="D104" s="862" t="s">
        <v>2764</v>
      </c>
      <c r="E104" s="862" t="s">
        <v>2796</v>
      </c>
      <c r="F104" s="864">
        <v>4151.12</v>
      </c>
      <c r="G104" s="862" t="s">
        <v>2937</v>
      </c>
    </row>
    <row r="105" spans="1:7">
      <c r="A105" s="862"/>
      <c r="B105" s="862" t="s">
        <v>2938</v>
      </c>
      <c r="C105" s="863">
        <v>1386</v>
      </c>
      <c r="D105" s="862" t="s">
        <v>2764</v>
      </c>
      <c r="E105" s="862" t="s">
        <v>2796</v>
      </c>
      <c r="F105" s="864">
        <v>2537.91</v>
      </c>
      <c r="G105" s="862" t="s">
        <v>2938</v>
      </c>
    </row>
    <row r="106" spans="1:7">
      <c r="A106" s="862"/>
      <c r="B106" s="862" t="s">
        <v>2939</v>
      </c>
      <c r="C106" s="863">
        <v>1036</v>
      </c>
      <c r="D106" s="862" t="s">
        <v>2764</v>
      </c>
      <c r="E106" s="862" t="s">
        <v>2796</v>
      </c>
      <c r="F106" s="864">
        <v>1897.07</v>
      </c>
      <c r="G106" s="862" t="s">
        <v>2939</v>
      </c>
    </row>
    <row r="107" spans="1:7">
      <c r="A107" s="862"/>
      <c r="B107" s="862" t="s">
        <v>2940</v>
      </c>
      <c r="C107" s="863">
        <v>1388</v>
      </c>
      <c r="D107" s="862" t="s">
        <v>2764</v>
      </c>
      <c r="E107" s="862" t="s">
        <v>2796</v>
      </c>
      <c r="F107" s="864">
        <v>2541.56</v>
      </c>
      <c r="G107" s="862" t="s">
        <v>2940</v>
      </c>
    </row>
    <row r="108" spans="1:7">
      <c r="A108" s="862"/>
      <c r="B108" s="862" t="s">
        <v>2941</v>
      </c>
      <c r="C108" s="863">
        <v>1388</v>
      </c>
      <c r="D108" s="862" t="s">
        <v>2764</v>
      </c>
      <c r="E108" s="862" t="s">
        <v>2796</v>
      </c>
      <c r="F108" s="864">
        <v>2541.5700000000002</v>
      </c>
      <c r="G108" s="862" t="s">
        <v>2941</v>
      </c>
    </row>
    <row r="109" spans="1:7">
      <c r="A109" s="862"/>
      <c r="B109" s="862" t="s">
        <v>2942</v>
      </c>
      <c r="C109" s="863">
        <v>738</v>
      </c>
      <c r="D109" s="862" t="s">
        <v>2764</v>
      </c>
      <c r="E109" s="862" t="s">
        <v>2796</v>
      </c>
      <c r="F109" s="864">
        <v>1351.35</v>
      </c>
      <c r="G109" s="862" t="s">
        <v>2942</v>
      </c>
    </row>
    <row r="110" spans="1:7">
      <c r="A110" s="862"/>
      <c r="B110" s="862" t="s">
        <v>2821</v>
      </c>
      <c r="C110" s="863">
        <v>738</v>
      </c>
      <c r="D110" s="862" t="s">
        <v>2764</v>
      </c>
      <c r="E110" s="862" t="s">
        <v>2796</v>
      </c>
      <c r="F110" s="864">
        <v>1351.35</v>
      </c>
      <c r="G110" s="862" t="s">
        <v>2821</v>
      </c>
    </row>
    <row r="111" spans="1:7">
      <c r="A111" s="862"/>
      <c r="B111" s="862" t="s">
        <v>2943</v>
      </c>
      <c r="C111" s="863">
        <v>1038</v>
      </c>
      <c r="D111" s="862" t="s">
        <v>2764</v>
      </c>
      <c r="E111" s="862" t="s">
        <v>2796</v>
      </c>
      <c r="F111" s="864">
        <v>1900.7</v>
      </c>
      <c r="G111" s="862" t="s">
        <v>2943</v>
      </c>
    </row>
    <row r="112" spans="1:7">
      <c r="A112" s="862"/>
      <c r="B112" s="862" t="s">
        <v>2944</v>
      </c>
      <c r="C112" s="863">
        <v>1308</v>
      </c>
      <c r="D112" s="862" t="s">
        <v>2764</v>
      </c>
      <c r="E112" s="862" t="s">
        <v>2796</v>
      </c>
      <c r="F112" s="864">
        <v>2395.0700000000002</v>
      </c>
      <c r="G112" s="862" t="s">
        <v>2944</v>
      </c>
    </row>
    <row r="113" spans="1:7">
      <c r="A113" s="862"/>
      <c r="B113" s="862" t="s">
        <v>2945</v>
      </c>
      <c r="C113" s="863">
        <v>2269</v>
      </c>
      <c r="D113" s="862" t="s">
        <v>2764</v>
      </c>
      <c r="E113" s="862" t="s">
        <v>2796</v>
      </c>
      <c r="F113" s="864">
        <v>4154.8</v>
      </c>
      <c r="G113" s="862" t="s">
        <v>2945</v>
      </c>
    </row>
    <row r="114" spans="1:7">
      <c r="A114" s="862"/>
      <c r="B114" s="862" t="s">
        <v>2946</v>
      </c>
      <c r="C114" s="863">
        <v>1388</v>
      </c>
      <c r="D114" s="862" t="s">
        <v>2764</v>
      </c>
      <c r="E114" s="862" t="s">
        <v>2796</v>
      </c>
      <c r="F114" s="864">
        <v>2541.56</v>
      </c>
      <c r="G114" s="862" t="s">
        <v>2946</v>
      </c>
    </row>
    <row r="115" spans="1:7">
      <c r="A115" s="862"/>
      <c r="B115" s="862" t="s">
        <v>2947</v>
      </c>
      <c r="C115" s="863">
        <v>1038</v>
      </c>
      <c r="D115" s="862" t="s">
        <v>2764</v>
      </c>
      <c r="E115" s="862" t="s">
        <v>2796</v>
      </c>
      <c r="F115" s="864">
        <v>1900.7</v>
      </c>
      <c r="G115" s="862" t="s">
        <v>2947</v>
      </c>
    </row>
    <row r="116" spans="1:7">
      <c r="A116" s="862"/>
      <c r="B116" s="862" t="s">
        <v>2844</v>
      </c>
      <c r="C116" s="863">
        <v>1390</v>
      </c>
      <c r="D116" s="862" t="s">
        <v>2764</v>
      </c>
      <c r="E116" s="862" t="s">
        <v>2796</v>
      </c>
      <c r="F116" s="864">
        <v>2545.2600000000002</v>
      </c>
      <c r="G116" s="862" t="s">
        <v>2844</v>
      </c>
    </row>
    <row r="117" spans="1:7">
      <c r="A117" s="862"/>
      <c r="B117" s="862" t="s">
        <v>2948</v>
      </c>
      <c r="C117" s="863">
        <v>1390</v>
      </c>
      <c r="D117" s="862" t="s">
        <v>2764</v>
      </c>
      <c r="E117" s="862" t="s">
        <v>2796</v>
      </c>
      <c r="F117" s="864">
        <v>2545.2600000000002</v>
      </c>
      <c r="G117" s="862" t="s">
        <v>2948</v>
      </c>
    </row>
    <row r="118" spans="1:7">
      <c r="A118" s="862"/>
      <c r="B118" s="862" t="s">
        <v>2949</v>
      </c>
      <c r="C118" s="863">
        <v>740</v>
      </c>
      <c r="D118" s="862" t="s">
        <v>2764</v>
      </c>
      <c r="E118" s="862" t="s">
        <v>2796</v>
      </c>
      <c r="F118" s="864">
        <v>1355.04</v>
      </c>
      <c r="G118" s="862" t="s">
        <v>2949</v>
      </c>
    </row>
    <row r="119" spans="1:7">
      <c r="A119" s="862"/>
      <c r="B119" s="862" t="s">
        <v>2950</v>
      </c>
      <c r="C119" s="863">
        <v>740</v>
      </c>
      <c r="D119" s="862" t="s">
        <v>2764</v>
      </c>
      <c r="E119" s="862" t="s">
        <v>2796</v>
      </c>
      <c r="F119" s="864">
        <v>1355.03</v>
      </c>
      <c r="G119" s="862" t="s">
        <v>2950</v>
      </c>
    </row>
    <row r="120" spans="1:7">
      <c r="A120" s="862"/>
      <c r="B120" s="862" t="s">
        <v>2951</v>
      </c>
      <c r="C120" s="863">
        <v>1040</v>
      </c>
      <c r="D120" s="862" t="s">
        <v>2764</v>
      </c>
      <c r="E120" s="862" t="s">
        <v>2796</v>
      </c>
      <c r="F120" s="864">
        <v>1904.37</v>
      </c>
      <c r="G120" s="862" t="s">
        <v>2951</v>
      </c>
    </row>
    <row r="121" spans="1:7">
      <c r="A121" s="862"/>
      <c r="B121" s="862" t="s">
        <v>2952</v>
      </c>
      <c r="C121" s="863">
        <v>1310</v>
      </c>
      <c r="D121" s="862" t="s">
        <v>2764</v>
      </c>
      <c r="E121" s="862" t="s">
        <v>2796</v>
      </c>
      <c r="F121" s="864">
        <v>2398.77</v>
      </c>
      <c r="G121" s="862" t="s">
        <v>2952</v>
      </c>
    </row>
    <row r="122" spans="1:7">
      <c r="A122" s="862"/>
      <c r="B122" s="862" t="s">
        <v>2953</v>
      </c>
      <c r="C122" s="863">
        <v>2271</v>
      </c>
      <c r="D122" s="862" t="s">
        <v>2764</v>
      </c>
      <c r="E122" s="862" t="s">
        <v>2796</v>
      </c>
      <c r="F122" s="864">
        <v>4158.46</v>
      </c>
      <c r="G122" s="862" t="s">
        <v>2953</v>
      </c>
    </row>
    <row r="123" spans="1:7">
      <c r="A123" s="862"/>
      <c r="B123" s="862" t="s">
        <v>2954</v>
      </c>
      <c r="C123" s="863">
        <v>1390</v>
      </c>
      <c r="D123" s="862" t="s">
        <v>2764</v>
      </c>
      <c r="E123" s="862" t="s">
        <v>2796</v>
      </c>
      <c r="F123" s="864">
        <v>2545.2600000000002</v>
      </c>
      <c r="G123" s="862" t="s">
        <v>2954</v>
      </c>
    </row>
    <row r="124" spans="1:7">
      <c r="A124" s="862"/>
      <c r="B124" s="862" t="s">
        <v>2955</v>
      </c>
      <c r="C124" s="863">
        <v>1040</v>
      </c>
      <c r="D124" s="862" t="s">
        <v>2764</v>
      </c>
      <c r="E124" s="862" t="s">
        <v>2796</v>
      </c>
      <c r="F124" s="864">
        <v>1904.37</v>
      </c>
      <c r="G124" s="862" t="s">
        <v>2955</v>
      </c>
    </row>
    <row r="125" spans="1:7">
      <c r="A125" s="862"/>
      <c r="B125" s="862" t="s">
        <v>2824</v>
      </c>
      <c r="C125" s="863">
        <v>1392</v>
      </c>
      <c r="D125" s="862" t="s">
        <v>2764</v>
      </c>
      <c r="E125" s="862" t="s">
        <v>2796</v>
      </c>
      <c r="F125" s="864">
        <v>2548.9299999999998</v>
      </c>
      <c r="G125" s="862" t="s">
        <v>2824</v>
      </c>
    </row>
    <row r="126" spans="1:7">
      <c r="A126" s="862"/>
      <c r="B126" s="862" t="s">
        <v>2956</v>
      </c>
      <c r="C126" s="863">
        <v>1392</v>
      </c>
      <c r="D126" s="862" t="s">
        <v>2764</v>
      </c>
      <c r="E126" s="862" t="s">
        <v>2796</v>
      </c>
      <c r="F126" s="864">
        <v>2548.9299999999998</v>
      </c>
      <c r="G126" s="862" t="s">
        <v>2956</v>
      </c>
    </row>
    <row r="127" spans="1:7">
      <c r="A127" s="862"/>
      <c r="B127" s="862" t="s">
        <v>2957</v>
      </c>
      <c r="C127" s="863">
        <v>742</v>
      </c>
      <c r="D127" s="862" t="s">
        <v>2764</v>
      </c>
      <c r="E127" s="862" t="s">
        <v>2796</v>
      </c>
      <c r="F127" s="864">
        <v>1358.7</v>
      </c>
      <c r="G127" s="862" t="s">
        <v>2957</v>
      </c>
    </row>
    <row r="128" spans="1:7">
      <c r="A128" s="862"/>
      <c r="B128" s="862" t="s">
        <v>2958</v>
      </c>
      <c r="C128" s="863">
        <v>742</v>
      </c>
      <c r="D128" s="862" t="s">
        <v>2764</v>
      </c>
      <c r="E128" s="862" t="s">
        <v>2796</v>
      </c>
      <c r="F128" s="864">
        <v>1358.71</v>
      </c>
      <c r="G128" s="862" t="s">
        <v>2958</v>
      </c>
    </row>
    <row r="129" spans="1:7">
      <c r="A129" s="862"/>
      <c r="B129" s="862" t="s">
        <v>2959</v>
      </c>
      <c r="C129" s="863">
        <v>1042</v>
      </c>
      <c r="D129" s="862" t="s">
        <v>2764</v>
      </c>
      <c r="E129" s="862" t="s">
        <v>2796</v>
      </c>
      <c r="F129" s="864">
        <v>1908.01</v>
      </c>
      <c r="G129" s="862" t="s">
        <v>2959</v>
      </c>
    </row>
    <row r="130" spans="1:7">
      <c r="A130" s="862"/>
      <c r="B130" s="862" t="s">
        <v>2960</v>
      </c>
      <c r="C130" s="863">
        <v>1312</v>
      </c>
      <c r="D130" s="862" t="s">
        <v>2764</v>
      </c>
      <c r="E130" s="862" t="s">
        <v>2796</v>
      </c>
      <c r="F130" s="864">
        <v>2402.4299999999998</v>
      </c>
      <c r="G130" s="862" t="s">
        <v>2960</v>
      </c>
    </row>
    <row r="131" spans="1:7">
      <c r="A131" s="862"/>
      <c r="B131" s="862" t="s">
        <v>2961</v>
      </c>
      <c r="C131" s="863">
        <v>2272</v>
      </c>
      <c r="D131" s="862" t="s">
        <v>2764</v>
      </c>
      <c r="E131" s="862" t="s">
        <v>2796</v>
      </c>
      <c r="F131" s="864">
        <v>4160.25</v>
      </c>
      <c r="G131" s="862" t="s">
        <v>2961</v>
      </c>
    </row>
    <row r="132" spans="1:7">
      <c r="A132" s="862"/>
      <c r="B132" s="862" t="s">
        <v>2962</v>
      </c>
      <c r="C132" s="863">
        <v>1392</v>
      </c>
      <c r="D132" s="862" t="s">
        <v>2764</v>
      </c>
      <c r="E132" s="862" t="s">
        <v>2796</v>
      </c>
      <c r="F132" s="864">
        <v>2548.9299999999998</v>
      </c>
      <c r="G132" s="862" t="s">
        <v>2962</v>
      </c>
    </row>
    <row r="133" spans="1:7">
      <c r="A133" s="862"/>
      <c r="B133" s="862" t="s">
        <v>2963</v>
      </c>
      <c r="C133" s="863">
        <v>1042</v>
      </c>
      <c r="D133" s="862" t="s">
        <v>2764</v>
      </c>
      <c r="E133" s="862" t="s">
        <v>2796</v>
      </c>
      <c r="F133" s="864">
        <v>1908.01</v>
      </c>
      <c r="G133" s="862" t="s">
        <v>2963</v>
      </c>
    </row>
    <row r="134" spans="1:7">
      <c r="A134" s="862"/>
      <c r="B134" s="862" t="s">
        <v>2964</v>
      </c>
      <c r="C134" s="863">
        <v>1394</v>
      </c>
      <c r="D134" s="862" t="s">
        <v>2764</v>
      </c>
      <c r="E134" s="862" t="s">
        <v>2796</v>
      </c>
      <c r="F134" s="864">
        <v>2552.5700000000002</v>
      </c>
      <c r="G134" s="862" t="s">
        <v>2964</v>
      </c>
    </row>
    <row r="135" spans="1:7">
      <c r="A135" s="862"/>
      <c r="B135" s="862" t="s">
        <v>2965</v>
      </c>
      <c r="C135" s="863">
        <v>1394</v>
      </c>
      <c r="D135" s="862" t="s">
        <v>2764</v>
      </c>
      <c r="E135" s="862" t="s">
        <v>2796</v>
      </c>
      <c r="F135" s="864">
        <v>2552.5700000000002</v>
      </c>
      <c r="G135" s="862" t="s">
        <v>2965</v>
      </c>
    </row>
    <row r="136" spans="1:7">
      <c r="A136" s="862"/>
      <c r="B136" s="862" t="s">
        <v>2966</v>
      </c>
      <c r="C136" s="863">
        <v>744</v>
      </c>
      <c r="D136" s="862" t="s">
        <v>2764</v>
      </c>
      <c r="E136" s="862" t="s">
        <v>2796</v>
      </c>
      <c r="F136" s="864">
        <v>1362.37</v>
      </c>
      <c r="G136" s="862" t="s">
        <v>2966</v>
      </c>
    </row>
    <row r="137" spans="1:7">
      <c r="A137" s="862"/>
      <c r="B137" s="862" t="s">
        <v>2967</v>
      </c>
      <c r="C137" s="863">
        <v>744</v>
      </c>
      <c r="D137" s="862" t="s">
        <v>2764</v>
      </c>
      <c r="E137" s="862" t="s">
        <v>2796</v>
      </c>
      <c r="F137" s="864">
        <v>1362.37</v>
      </c>
      <c r="G137" s="862" t="s">
        <v>2967</v>
      </c>
    </row>
    <row r="138" spans="1:7">
      <c r="A138" s="862"/>
      <c r="B138" s="862" t="s">
        <v>2968</v>
      </c>
      <c r="C138" s="863">
        <v>1044</v>
      </c>
      <c r="D138" s="862" t="s">
        <v>2764</v>
      </c>
      <c r="E138" s="862" t="s">
        <v>2796</v>
      </c>
      <c r="F138" s="864">
        <v>1911.69</v>
      </c>
      <c r="G138" s="862" t="s">
        <v>2968</v>
      </c>
    </row>
    <row r="139" spans="1:7">
      <c r="A139" s="862"/>
      <c r="B139" s="862" t="s">
        <v>2969</v>
      </c>
      <c r="C139" s="863">
        <v>1314</v>
      </c>
      <c r="D139" s="862" t="s">
        <v>2764</v>
      </c>
      <c r="E139" s="862" t="s">
        <v>2796</v>
      </c>
      <c r="F139" s="864">
        <v>2406.08</v>
      </c>
      <c r="G139" s="862" t="s">
        <v>2969</v>
      </c>
    </row>
    <row r="140" spans="1:7">
      <c r="A140" s="862"/>
      <c r="B140" s="862" t="s">
        <v>2970</v>
      </c>
      <c r="C140" s="863">
        <v>2274</v>
      </c>
      <c r="D140" s="862" t="s">
        <v>2764</v>
      </c>
      <c r="E140" s="862" t="s">
        <v>2796</v>
      </c>
      <c r="F140" s="864">
        <v>4163.9399999999996</v>
      </c>
      <c r="G140" s="862" t="s">
        <v>2970</v>
      </c>
    </row>
    <row r="141" spans="1:7">
      <c r="A141" s="862"/>
      <c r="B141" s="862" t="s">
        <v>2971</v>
      </c>
      <c r="C141" s="863">
        <v>1394</v>
      </c>
      <c r="D141" s="862" t="s">
        <v>2764</v>
      </c>
      <c r="E141" s="862" t="s">
        <v>2796</v>
      </c>
      <c r="F141" s="864">
        <v>2552.58</v>
      </c>
      <c r="G141" s="862" t="s">
        <v>2971</v>
      </c>
    </row>
    <row r="142" spans="1:7">
      <c r="A142" s="862"/>
      <c r="B142" s="862" t="s">
        <v>2972</v>
      </c>
      <c r="C142" s="863">
        <v>1044</v>
      </c>
      <c r="D142" s="862" t="s">
        <v>2764</v>
      </c>
      <c r="E142" s="862" t="s">
        <v>2796</v>
      </c>
      <c r="F142" s="864">
        <v>1911.69</v>
      </c>
      <c r="G142" s="862" t="s">
        <v>2972</v>
      </c>
    </row>
    <row r="143" spans="1:7">
      <c r="A143" s="862"/>
      <c r="B143" s="862" t="s">
        <v>2973</v>
      </c>
      <c r="C143" s="863">
        <v>1396</v>
      </c>
      <c r="D143" s="862" t="s">
        <v>2764</v>
      </c>
      <c r="E143" s="862" t="s">
        <v>2796</v>
      </c>
      <c r="F143" s="864">
        <v>2556.23</v>
      </c>
      <c r="G143" s="862" t="s">
        <v>2973</v>
      </c>
    </row>
    <row r="144" spans="1:7">
      <c r="A144" s="862"/>
      <c r="B144" s="862" t="s">
        <v>2849</v>
      </c>
      <c r="C144" s="863">
        <v>1396</v>
      </c>
      <c r="D144" s="862" t="s">
        <v>2764</v>
      </c>
      <c r="E144" s="862" t="s">
        <v>2796</v>
      </c>
      <c r="F144" s="864">
        <v>2556.23</v>
      </c>
      <c r="G144" s="862" t="s">
        <v>2849</v>
      </c>
    </row>
    <row r="145" spans="1:7">
      <c r="A145" s="862"/>
      <c r="B145" s="862" t="s">
        <v>2974</v>
      </c>
      <c r="C145" s="863">
        <v>746</v>
      </c>
      <c r="D145" s="862" t="s">
        <v>2764</v>
      </c>
      <c r="E145" s="862" t="s">
        <v>2796</v>
      </c>
      <c r="F145" s="864">
        <v>1366.01</v>
      </c>
      <c r="G145" s="862" t="s">
        <v>2974</v>
      </c>
    </row>
    <row r="146" spans="1:7">
      <c r="A146" s="862"/>
      <c r="B146" s="862" t="s">
        <v>2975</v>
      </c>
      <c r="C146" s="863">
        <v>746</v>
      </c>
      <c r="D146" s="862" t="s">
        <v>2764</v>
      </c>
      <c r="E146" s="862" t="s">
        <v>2796</v>
      </c>
      <c r="F146" s="864">
        <v>1366.01</v>
      </c>
      <c r="G146" s="862" t="s">
        <v>2975</v>
      </c>
    </row>
    <row r="147" spans="1:7">
      <c r="A147" s="862"/>
      <c r="B147" s="862" t="s">
        <v>2976</v>
      </c>
      <c r="C147" s="863">
        <v>1046</v>
      </c>
      <c r="D147" s="862" t="s">
        <v>2764</v>
      </c>
      <c r="E147" s="862" t="s">
        <v>2796</v>
      </c>
      <c r="F147" s="864">
        <v>1915.35</v>
      </c>
      <c r="G147" s="862" t="s">
        <v>2976</v>
      </c>
    </row>
    <row r="148" spans="1:7">
      <c r="A148" s="862"/>
      <c r="B148" s="862" t="s">
        <v>2977</v>
      </c>
      <c r="C148" s="863">
        <v>1316</v>
      </c>
      <c r="D148" s="862" t="s">
        <v>2764</v>
      </c>
      <c r="E148" s="862" t="s">
        <v>2796</v>
      </c>
      <c r="F148" s="864">
        <v>2409.73</v>
      </c>
      <c r="G148" s="862" t="s">
        <v>2977</v>
      </c>
    </row>
    <row r="149" spans="1:7">
      <c r="A149" s="862"/>
      <c r="B149" s="862" t="s">
        <v>2978</v>
      </c>
      <c r="C149" s="863">
        <v>2276</v>
      </c>
      <c r="D149" s="862" t="s">
        <v>2764</v>
      </c>
      <c r="E149" s="862" t="s">
        <v>2796</v>
      </c>
      <c r="F149" s="864">
        <v>4167.63</v>
      </c>
      <c r="G149" s="862" t="s">
        <v>2978</v>
      </c>
    </row>
    <row r="150" spans="1:7">
      <c r="A150" s="862"/>
      <c r="B150" s="862" t="s">
        <v>2979</v>
      </c>
      <c r="C150" s="863">
        <v>1396</v>
      </c>
      <c r="D150" s="862" t="s">
        <v>2764</v>
      </c>
      <c r="E150" s="862" t="s">
        <v>2796</v>
      </c>
      <c r="F150" s="864">
        <v>2556.23</v>
      </c>
      <c r="G150" s="862" t="s">
        <v>2979</v>
      </c>
    </row>
    <row r="151" spans="1:7">
      <c r="A151" s="862"/>
      <c r="B151" s="862" t="s">
        <v>2826</v>
      </c>
      <c r="C151" s="863">
        <v>1046</v>
      </c>
      <c r="D151" s="862" t="s">
        <v>2764</v>
      </c>
      <c r="E151" s="862" t="s">
        <v>2796</v>
      </c>
      <c r="F151" s="864">
        <v>1915.37</v>
      </c>
      <c r="G151" s="862" t="s">
        <v>2826</v>
      </c>
    </row>
    <row r="152" spans="1:7">
      <c r="A152" s="862"/>
      <c r="B152" s="862" t="s">
        <v>2980</v>
      </c>
      <c r="C152" s="863">
        <v>1398</v>
      </c>
      <c r="D152" s="862" t="s">
        <v>2764</v>
      </c>
      <c r="E152" s="862" t="s">
        <v>2796</v>
      </c>
      <c r="F152" s="864">
        <v>2559.89</v>
      </c>
      <c r="G152" s="862" t="s">
        <v>2980</v>
      </c>
    </row>
    <row r="153" spans="1:7">
      <c r="A153" s="862"/>
      <c r="B153" s="862" t="s">
        <v>2981</v>
      </c>
      <c r="C153" s="863">
        <v>1398</v>
      </c>
      <c r="D153" s="862" t="s">
        <v>2764</v>
      </c>
      <c r="E153" s="862" t="s">
        <v>2796</v>
      </c>
      <c r="F153" s="864">
        <v>2559.89</v>
      </c>
      <c r="G153" s="862" t="s">
        <v>2981</v>
      </c>
    </row>
    <row r="154" spans="1:7">
      <c r="A154" s="862"/>
      <c r="B154" s="862" t="s">
        <v>2982</v>
      </c>
      <c r="C154" s="863">
        <v>748</v>
      </c>
      <c r="D154" s="862" t="s">
        <v>2764</v>
      </c>
      <c r="E154" s="862" t="s">
        <v>2796</v>
      </c>
      <c r="F154" s="864">
        <v>1369.71</v>
      </c>
      <c r="G154" s="862" t="s">
        <v>2982</v>
      </c>
    </row>
    <row r="155" spans="1:7">
      <c r="A155" s="862"/>
      <c r="B155" s="862" t="s">
        <v>2852</v>
      </c>
      <c r="C155" s="863">
        <v>748</v>
      </c>
      <c r="D155" s="862" t="s">
        <v>2764</v>
      </c>
      <c r="E155" s="862" t="s">
        <v>2796</v>
      </c>
      <c r="F155" s="864">
        <v>1369.71</v>
      </c>
      <c r="G155" s="862" t="s">
        <v>2852</v>
      </c>
    </row>
    <row r="156" spans="1:7">
      <c r="A156" s="862"/>
      <c r="B156" s="862" t="s">
        <v>2983</v>
      </c>
      <c r="C156" s="863">
        <v>1048</v>
      </c>
      <c r="D156" s="862" t="s">
        <v>2764</v>
      </c>
      <c r="E156" s="862" t="s">
        <v>2796</v>
      </c>
      <c r="F156" s="864">
        <v>1919.01</v>
      </c>
      <c r="G156" s="862" t="s">
        <v>2983</v>
      </c>
    </row>
    <row r="157" spans="1:7">
      <c r="A157" s="862"/>
      <c r="B157" s="862" t="s">
        <v>2984</v>
      </c>
      <c r="C157" s="863">
        <v>1318</v>
      </c>
      <c r="D157" s="862" t="s">
        <v>2764</v>
      </c>
      <c r="E157" s="862" t="s">
        <v>2796</v>
      </c>
      <c r="F157" s="864">
        <v>2413.41</v>
      </c>
      <c r="G157" s="862" t="s">
        <v>2984</v>
      </c>
    </row>
    <row r="158" spans="1:7">
      <c r="A158" s="862"/>
      <c r="B158" s="862" t="s">
        <v>2985</v>
      </c>
      <c r="C158" s="863">
        <v>2278</v>
      </c>
      <c r="D158" s="862" t="s">
        <v>2764</v>
      </c>
      <c r="E158" s="862" t="s">
        <v>2796</v>
      </c>
      <c r="F158" s="864">
        <v>4171.25</v>
      </c>
      <c r="G158" s="862" t="s">
        <v>2985</v>
      </c>
    </row>
    <row r="159" spans="1:7">
      <c r="A159" s="862"/>
      <c r="B159" s="862" t="s">
        <v>2986</v>
      </c>
      <c r="C159" s="863">
        <v>1398</v>
      </c>
      <c r="D159" s="862" t="s">
        <v>2764</v>
      </c>
      <c r="E159" s="862" t="s">
        <v>2796</v>
      </c>
      <c r="F159" s="864">
        <v>2559.89</v>
      </c>
      <c r="G159" s="862" t="s">
        <v>2986</v>
      </c>
    </row>
    <row r="160" spans="1:7">
      <c r="A160" s="862"/>
      <c r="B160" s="862" t="s">
        <v>2987</v>
      </c>
      <c r="C160" s="863">
        <v>1048</v>
      </c>
      <c r="D160" s="862" t="s">
        <v>2764</v>
      </c>
      <c r="E160" s="862" t="s">
        <v>2796</v>
      </c>
      <c r="F160" s="864">
        <v>1919.01</v>
      </c>
      <c r="G160" s="862" t="s">
        <v>2987</v>
      </c>
    </row>
    <row r="161" spans="1:7">
      <c r="A161" s="862"/>
      <c r="B161" s="862" t="s">
        <v>2988</v>
      </c>
      <c r="C161" s="863">
        <v>1400</v>
      </c>
      <c r="D161" s="862" t="s">
        <v>2764</v>
      </c>
      <c r="E161" s="862" t="s">
        <v>2796</v>
      </c>
      <c r="F161" s="864">
        <v>2563.56</v>
      </c>
      <c r="G161" s="862" t="s">
        <v>2988</v>
      </c>
    </row>
    <row r="162" spans="1:7">
      <c r="A162" s="862"/>
      <c r="B162" s="862" t="s">
        <v>2989</v>
      </c>
      <c r="C162" s="863">
        <v>1400</v>
      </c>
      <c r="D162" s="862" t="s">
        <v>2764</v>
      </c>
      <c r="E162" s="862" t="s">
        <v>2796</v>
      </c>
      <c r="F162" s="864">
        <v>2563.56</v>
      </c>
      <c r="G162" s="862" t="s">
        <v>2989</v>
      </c>
    </row>
    <row r="163" spans="1:7">
      <c r="A163" s="862"/>
      <c r="B163" s="862" t="s">
        <v>2990</v>
      </c>
      <c r="C163" s="863">
        <v>750</v>
      </c>
      <c r="D163" s="862" t="s">
        <v>2764</v>
      </c>
      <c r="E163" s="862" t="s">
        <v>2796</v>
      </c>
      <c r="F163" s="864">
        <v>1373.35</v>
      </c>
      <c r="G163" s="862" t="s">
        <v>2990</v>
      </c>
    </row>
    <row r="164" spans="1:7">
      <c r="A164" s="862"/>
      <c r="B164" s="862" t="s">
        <v>2991</v>
      </c>
      <c r="C164" s="863">
        <v>750</v>
      </c>
      <c r="D164" s="862" t="s">
        <v>2764</v>
      </c>
      <c r="E164" s="862" t="s">
        <v>2796</v>
      </c>
      <c r="F164" s="864">
        <v>1373.35</v>
      </c>
      <c r="G164" s="862" t="s">
        <v>2991</v>
      </c>
    </row>
    <row r="165" spans="1:7">
      <c r="A165" s="862"/>
      <c r="B165" s="862" t="s">
        <v>2829</v>
      </c>
      <c r="C165" s="863">
        <v>1050</v>
      </c>
      <c r="D165" s="862" t="s">
        <v>2764</v>
      </c>
      <c r="E165" s="862" t="s">
        <v>2796</v>
      </c>
      <c r="F165" s="864">
        <v>1922.81</v>
      </c>
      <c r="G165" s="862" t="s">
        <v>2829</v>
      </c>
    </row>
    <row r="166" spans="1:7">
      <c r="A166" s="862"/>
      <c r="B166" s="862" t="s">
        <v>2992</v>
      </c>
      <c r="C166" s="863">
        <v>1320</v>
      </c>
      <c r="D166" s="862" t="s">
        <v>2764</v>
      </c>
      <c r="E166" s="862" t="s">
        <v>2796</v>
      </c>
      <c r="F166" s="864">
        <v>2417.06</v>
      </c>
      <c r="G166" s="862" t="s">
        <v>2992</v>
      </c>
    </row>
    <row r="167" spans="1:7">
      <c r="A167" s="862"/>
      <c r="B167" s="862" t="s">
        <v>2831</v>
      </c>
      <c r="C167" s="863">
        <v>2280</v>
      </c>
      <c r="D167" s="862" t="s">
        <v>2764</v>
      </c>
      <c r="E167" s="862" t="s">
        <v>2796</v>
      </c>
      <c r="F167" s="864">
        <v>4174.93</v>
      </c>
      <c r="G167" s="862" t="s">
        <v>2831</v>
      </c>
    </row>
    <row r="168" spans="1:7">
      <c r="A168" s="862"/>
      <c r="B168" s="862" t="s">
        <v>2993</v>
      </c>
      <c r="C168" s="863">
        <v>1400</v>
      </c>
      <c r="D168" s="862" t="s">
        <v>2764</v>
      </c>
      <c r="E168" s="862" t="s">
        <v>2796</v>
      </c>
      <c r="F168" s="864">
        <v>2563.5500000000002</v>
      </c>
      <c r="G168" s="862" t="s">
        <v>2993</v>
      </c>
    </row>
    <row r="169" spans="1:7">
      <c r="A169" s="862"/>
      <c r="B169" s="862" t="s">
        <v>2859</v>
      </c>
      <c r="C169" s="863">
        <v>1050</v>
      </c>
      <c r="D169" s="862" t="s">
        <v>2764</v>
      </c>
      <c r="E169" s="862" t="s">
        <v>2796</v>
      </c>
      <c r="F169" s="864">
        <v>1922.69</v>
      </c>
      <c r="G169" s="862" t="s">
        <v>2859</v>
      </c>
    </row>
    <row r="170" spans="1:7">
      <c r="A170" s="862"/>
      <c r="B170" s="862" t="s">
        <v>2994</v>
      </c>
      <c r="C170" s="863">
        <v>1402</v>
      </c>
      <c r="D170" s="862" t="s">
        <v>2764</v>
      </c>
      <c r="E170" s="862" t="s">
        <v>2796</v>
      </c>
      <c r="F170" s="864">
        <v>2567.23</v>
      </c>
      <c r="G170" s="862" t="s">
        <v>2994</v>
      </c>
    </row>
    <row r="171" spans="1:7">
      <c r="A171" s="862"/>
      <c r="B171" s="862" t="s">
        <v>2995</v>
      </c>
      <c r="C171" s="863">
        <v>1402</v>
      </c>
      <c r="D171" s="862" t="s">
        <v>2764</v>
      </c>
      <c r="E171" s="862" t="s">
        <v>2796</v>
      </c>
      <c r="F171" s="864">
        <v>2567.23</v>
      </c>
      <c r="G171" s="862" t="s">
        <v>2995</v>
      </c>
    </row>
    <row r="172" spans="1:7">
      <c r="A172" s="862"/>
      <c r="B172" s="862" t="s">
        <v>2861</v>
      </c>
      <c r="C172" s="863">
        <v>752</v>
      </c>
      <c r="D172" s="862" t="s">
        <v>2764</v>
      </c>
      <c r="E172" s="862" t="s">
        <v>2796</v>
      </c>
      <c r="F172" s="864">
        <v>1376.98</v>
      </c>
      <c r="G172" s="862" t="s">
        <v>2861</v>
      </c>
    </row>
    <row r="173" spans="1:7">
      <c r="A173" s="862"/>
      <c r="B173" s="862" t="s">
        <v>2996</v>
      </c>
      <c r="C173" s="863">
        <v>752</v>
      </c>
      <c r="D173" s="862" t="s">
        <v>2764</v>
      </c>
      <c r="E173" s="862" t="s">
        <v>2796</v>
      </c>
      <c r="F173" s="864">
        <v>1377</v>
      </c>
      <c r="G173" s="862" t="s">
        <v>2996</v>
      </c>
    </row>
    <row r="174" spans="1:7">
      <c r="A174" s="862"/>
      <c r="B174" s="862" t="s">
        <v>2833</v>
      </c>
      <c r="C174" s="863">
        <v>1052</v>
      </c>
      <c r="D174" s="862" t="s">
        <v>2764</v>
      </c>
      <c r="E174" s="862" t="s">
        <v>2796</v>
      </c>
      <c r="F174" s="864">
        <v>1926.31</v>
      </c>
      <c r="G174" s="862" t="s">
        <v>2833</v>
      </c>
    </row>
    <row r="175" spans="1:7">
      <c r="A175" s="862"/>
      <c r="B175" s="862" t="s">
        <v>2997</v>
      </c>
      <c r="C175" s="863">
        <v>1322</v>
      </c>
      <c r="D175" s="862" t="s">
        <v>2764</v>
      </c>
      <c r="E175" s="862" t="s">
        <v>2796</v>
      </c>
      <c r="F175" s="864">
        <v>2420.7199999999998</v>
      </c>
      <c r="G175" s="862" t="s">
        <v>2997</v>
      </c>
    </row>
    <row r="176" spans="1:7">
      <c r="A176" s="862"/>
      <c r="B176" s="862" t="s">
        <v>2998</v>
      </c>
      <c r="C176" s="863">
        <v>2282</v>
      </c>
      <c r="D176" s="862" t="s">
        <v>2764</v>
      </c>
      <c r="E176" s="862" t="s">
        <v>2796</v>
      </c>
      <c r="F176" s="864">
        <v>4178.58</v>
      </c>
      <c r="G176" s="862" t="s">
        <v>2998</v>
      </c>
    </row>
    <row r="177" spans="1:7">
      <c r="A177" s="862"/>
      <c r="B177" s="862" t="s">
        <v>2999</v>
      </c>
      <c r="C177" s="863">
        <v>1402</v>
      </c>
      <c r="D177" s="862" t="s">
        <v>2764</v>
      </c>
      <c r="E177" s="862" t="s">
        <v>2796</v>
      </c>
      <c r="F177" s="864">
        <v>2567.2199999999998</v>
      </c>
      <c r="G177" s="862" t="s">
        <v>2999</v>
      </c>
    </row>
    <row r="178" spans="1:7">
      <c r="A178" s="862"/>
      <c r="B178" s="862" t="s">
        <v>3000</v>
      </c>
      <c r="C178" s="863">
        <v>1052</v>
      </c>
      <c r="D178" s="862" t="s">
        <v>2764</v>
      </c>
      <c r="E178" s="862" t="s">
        <v>2796</v>
      </c>
      <c r="F178" s="864">
        <v>1926.31</v>
      </c>
      <c r="G178" s="862" t="s">
        <v>3000</v>
      </c>
    </row>
    <row r="179" spans="1:7">
      <c r="A179" s="862"/>
      <c r="B179" s="862" t="s">
        <v>3001</v>
      </c>
      <c r="C179" s="863">
        <v>1404</v>
      </c>
      <c r="D179" s="862" t="s">
        <v>2764</v>
      </c>
      <c r="E179" s="862" t="s">
        <v>2796</v>
      </c>
      <c r="F179" s="864">
        <v>2570.87</v>
      </c>
      <c r="G179" s="862" t="s">
        <v>3001</v>
      </c>
    </row>
    <row r="180" spans="1:7">
      <c r="A180" s="862"/>
      <c r="B180" s="862" t="s">
        <v>3002</v>
      </c>
      <c r="C180" s="863">
        <v>1404</v>
      </c>
      <c r="D180" s="862" t="s">
        <v>2764</v>
      </c>
      <c r="E180" s="862" t="s">
        <v>2796</v>
      </c>
      <c r="F180" s="864">
        <v>2570.87</v>
      </c>
      <c r="G180" s="862" t="s">
        <v>3002</v>
      </c>
    </row>
    <row r="181" spans="1:7">
      <c r="A181" s="862"/>
      <c r="B181" s="862" t="s">
        <v>3003</v>
      </c>
      <c r="C181" s="863">
        <v>754</v>
      </c>
      <c r="D181" s="862" t="s">
        <v>2764</v>
      </c>
      <c r="E181" s="862" t="s">
        <v>2796</v>
      </c>
      <c r="F181" s="864">
        <v>1380.64</v>
      </c>
      <c r="G181" s="862" t="s">
        <v>3003</v>
      </c>
    </row>
    <row r="182" spans="1:7">
      <c r="A182" s="862"/>
      <c r="B182" s="862" t="s">
        <v>3004</v>
      </c>
      <c r="C182" s="863">
        <v>754</v>
      </c>
      <c r="D182" s="862" t="s">
        <v>2764</v>
      </c>
      <c r="E182" s="862" t="s">
        <v>2796</v>
      </c>
      <c r="F182" s="864">
        <v>1380.64</v>
      </c>
      <c r="G182" s="862" t="s">
        <v>3004</v>
      </c>
    </row>
    <row r="183" spans="1:7">
      <c r="A183" s="862"/>
      <c r="B183" s="862" t="s">
        <v>3005</v>
      </c>
      <c r="C183" s="863">
        <v>1054</v>
      </c>
      <c r="D183" s="862" t="s">
        <v>2764</v>
      </c>
      <c r="E183" s="862" t="s">
        <v>2796</v>
      </c>
      <c r="F183" s="864">
        <v>1929.97</v>
      </c>
      <c r="G183" s="862" t="s">
        <v>3005</v>
      </c>
    </row>
    <row r="184" spans="1:7">
      <c r="A184" s="862"/>
      <c r="B184" s="862" t="s">
        <v>3006</v>
      </c>
      <c r="C184" s="863">
        <v>1324</v>
      </c>
      <c r="D184" s="862" t="s">
        <v>2764</v>
      </c>
      <c r="E184" s="862" t="s">
        <v>2796</v>
      </c>
      <c r="F184" s="864">
        <v>2424.37</v>
      </c>
      <c r="G184" s="862" t="s">
        <v>3006</v>
      </c>
    </row>
    <row r="185" spans="1:7">
      <c r="A185" s="862"/>
      <c r="B185" s="862" t="s">
        <v>3007</v>
      </c>
      <c r="C185" s="863">
        <v>2284</v>
      </c>
      <c r="D185" s="862" t="s">
        <v>2764</v>
      </c>
      <c r="E185" s="862" t="s">
        <v>2796</v>
      </c>
      <c r="F185" s="864">
        <v>4182.26</v>
      </c>
      <c r="G185" s="862" t="s">
        <v>3007</v>
      </c>
    </row>
    <row r="186" spans="1:7">
      <c r="A186" s="862"/>
      <c r="B186" s="862" t="s">
        <v>3008</v>
      </c>
      <c r="C186" s="863">
        <v>1404</v>
      </c>
      <c r="D186" s="862" t="s">
        <v>2764</v>
      </c>
      <c r="E186" s="862" t="s">
        <v>2796</v>
      </c>
      <c r="F186" s="864">
        <v>2570.87</v>
      </c>
      <c r="G186" s="862" t="s">
        <v>3008</v>
      </c>
    </row>
    <row r="187" spans="1:7">
      <c r="A187" s="862"/>
      <c r="B187" s="862" t="s">
        <v>2835</v>
      </c>
      <c r="C187" s="863">
        <v>1054</v>
      </c>
      <c r="D187" s="862" t="s">
        <v>2764</v>
      </c>
      <c r="E187" s="862" t="s">
        <v>2796</v>
      </c>
      <c r="F187" s="864">
        <v>1929.97</v>
      </c>
      <c r="G187" s="862" t="s">
        <v>2835</v>
      </c>
    </row>
    <row r="188" spans="1:7">
      <c r="A188" s="862"/>
      <c r="B188" s="862" t="s">
        <v>3009</v>
      </c>
      <c r="C188" s="863">
        <v>1406</v>
      </c>
      <c r="D188" s="862" t="s">
        <v>2764</v>
      </c>
      <c r="E188" s="862" t="s">
        <v>2796</v>
      </c>
      <c r="F188" s="864">
        <v>2574.5300000000002</v>
      </c>
      <c r="G188" s="862" t="s">
        <v>3009</v>
      </c>
    </row>
    <row r="189" spans="1:7">
      <c r="A189" s="862"/>
      <c r="B189" s="862" t="s">
        <v>3010</v>
      </c>
      <c r="C189" s="863">
        <v>1406</v>
      </c>
      <c r="D189" s="862" t="s">
        <v>2764</v>
      </c>
      <c r="E189" s="862" t="s">
        <v>2796</v>
      </c>
      <c r="F189" s="864">
        <v>2574.5300000000002</v>
      </c>
      <c r="G189" s="862" t="s">
        <v>3010</v>
      </c>
    </row>
    <row r="190" spans="1:7">
      <c r="A190" s="862"/>
      <c r="B190" s="862" t="s">
        <v>3011</v>
      </c>
      <c r="C190" s="863">
        <v>756</v>
      </c>
      <c r="D190" s="862" t="s">
        <v>2764</v>
      </c>
      <c r="E190" s="862" t="s">
        <v>2796</v>
      </c>
      <c r="F190" s="864">
        <v>1384.31</v>
      </c>
      <c r="G190" s="862" t="s">
        <v>3011</v>
      </c>
    </row>
    <row r="191" spans="1:7">
      <c r="A191" s="862"/>
      <c r="B191" s="862" t="s">
        <v>2863</v>
      </c>
      <c r="C191" s="863">
        <v>756</v>
      </c>
      <c r="D191" s="862" t="s">
        <v>2764</v>
      </c>
      <c r="E191" s="862" t="s">
        <v>2796</v>
      </c>
      <c r="F191" s="864">
        <v>1384.31</v>
      </c>
      <c r="G191" s="862" t="s">
        <v>2863</v>
      </c>
    </row>
    <row r="192" spans="1:7">
      <c r="A192" s="862"/>
      <c r="B192" s="862" t="s">
        <v>3012</v>
      </c>
      <c r="C192" s="863">
        <v>1056</v>
      </c>
      <c r="D192" s="862" t="s">
        <v>2764</v>
      </c>
      <c r="E192" s="862" t="s">
        <v>2796</v>
      </c>
      <c r="F192" s="864">
        <v>1933.64</v>
      </c>
      <c r="G192" s="862" t="s">
        <v>3012</v>
      </c>
    </row>
    <row r="193" spans="1:7">
      <c r="A193" s="862"/>
      <c r="B193" s="862" t="s">
        <v>2838</v>
      </c>
      <c r="C193" s="863">
        <v>1326</v>
      </c>
      <c r="D193" s="862" t="s">
        <v>2764</v>
      </c>
      <c r="E193" s="862" t="s">
        <v>2796</v>
      </c>
      <c r="F193" s="864">
        <v>2428.0500000000002</v>
      </c>
      <c r="G193" s="862" t="s">
        <v>2838</v>
      </c>
    </row>
    <row r="194" spans="1:7">
      <c r="A194" s="862"/>
      <c r="B194" s="862" t="s">
        <v>3013</v>
      </c>
      <c r="C194" s="863">
        <v>2286</v>
      </c>
      <c r="D194" s="862" t="s">
        <v>2764</v>
      </c>
      <c r="E194" s="862" t="s">
        <v>2796</v>
      </c>
      <c r="F194" s="864">
        <v>4185.91</v>
      </c>
      <c r="G194" s="862" t="s">
        <v>3013</v>
      </c>
    </row>
    <row r="195" spans="1:7">
      <c r="A195" s="862"/>
      <c r="B195" s="862" t="s">
        <v>3014</v>
      </c>
      <c r="C195" s="863">
        <v>1406</v>
      </c>
      <c r="D195" s="862" t="s">
        <v>2764</v>
      </c>
      <c r="E195" s="862" t="s">
        <v>2796</v>
      </c>
      <c r="F195" s="864">
        <v>2574.5300000000002</v>
      </c>
      <c r="G195" s="862" t="s">
        <v>3014</v>
      </c>
    </row>
    <row r="196" spans="1:7">
      <c r="A196" s="862"/>
      <c r="B196" s="862" t="s">
        <v>3015</v>
      </c>
      <c r="C196" s="863">
        <v>1056</v>
      </c>
      <c r="D196" s="862" t="s">
        <v>2764</v>
      </c>
      <c r="E196" s="862" t="s">
        <v>2796</v>
      </c>
      <c r="F196" s="864">
        <v>1933.64</v>
      </c>
      <c r="G196" s="862" t="s">
        <v>3015</v>
      </c>
    </row>
    <row r="197" spans="1:7">
      <c r="A197" s="862"/>
      <c r="B197" s="862" t="s">
        <v>2841</v>
      </c>
      <c r="C197" s="863">
        <v>1408</v>
      </c>
      <c r="D197" s="862" t="s">
        <v>2764</v>
      </c>
      <c r="E197" s="862" t="s">
        <v>2796</v>
      </c>
      <c r="F197" s="864">
        <v>2578.1999999999998</v>
      </c>
      <c r="G197" s="862" t="s">
        <v>2841</v>
      </c>
    </row>
    <row r="198" spans="1:7">
      <c r="A198" s="862"/>
      <c r="B198" s="862" t="s">
        <v>2843</v>
      </c>
      <c r="C198" s="863">
        <v>1408</v>
      </c>
      <c r="D198" s="862" t="s">
        <v>2764</v>
      </c>
      <c r="E198" s="862" t="s">
        <v>2796</v>
      </c>
      <c r="F198" s="864">
        <v>2578.1999999999998</v>
      </c>
      <c r="G198" s="862" t="s">
        <v>2843</v>
      </c>
    </row>
    <row r="199" spans="1:7">
      <c r="A199" s="862"/>
      <c r="B199" s="862" t="s">
        <v>3016</v>
      </c>
      <c r="C199" s="863">
        <v>758</v>
      </c>
      <c r="D199" s="862" t="s">
        <v>2764</v>
      </c>
      <c r="E199" s="862" t="s">
        <v>2796</v>
      </c>
      <c r="F199" s="864">
        <v>1387.98</v>
      </c>
      <c r="G199" s="862" t="s">
        <v>3016</v>
      </c>
    </row>
    <row r="200" spans="1:7">
      <c r="A200" s="862"/>
      <c r="B200" s="862" t="s">
        <v>3017</v>
      </c>
      <c r="C200" s="863">
        <v>758</v>
      </c>
      <c r="D200" s="862" t="s">
        <v>2764</v>
      </c>
      <c r="E200" s="862" t="s">
        <v>2796</v>
      </c>
      <c r="F200" s="864">
        <v>1387.97</v>
      </c>
      <c r="G200" s="862" t="s">
        <v>3017</v>
      </c>
    </row>
    <row r="201" spans="1:7">
      <c r="A201" s="862"/>
      <c r="B201" s="862" t="s">
        <v>3018</v>
      </c>
      <c r="C201" s="863">
        <v>1058</v>
      </c>
      <c r="D201" s="862" t="s">
        <v>2764</v>
      </c>
      <c r="E201" s="862" t="s">
        <v>2796</v>
      </c>
      <c r="F201" s="864">
        <v>1937.33</v>
      </c>
      <c r="G201" s="862" t="s">
        <v>3018</v>
      </c>
    </row>
    <row r="202" spans="1:7">
      <c r="A202" s="862"/>
      <c r="B202" s="862" t="s">
        <v>3019</v>
      </c>
      <c r="C202" s="863">
        <v>1328</v>
      </c>
      <c r="D202" s="862" t="s">
        <v>2764</v>
      </c>
      <c r="E202" s="862" t="s">
        <v>2796</v>
      </c>
      <c r="F202" s="864">
        <v>2431.71</v>
      </c>
      <c r="G202" s="862" t="s">
        <v>3019</v>
      </c>
    </row>
    <row r="203" spans="1:7">
      <c r="A203" s="862"/>
      <c r="B203" s="862" t="s">
        <v>3020</v>
      </c>
      <c r="C203" s="863">
        <v>2288</v>
      </c>
      <c r="D203" s="862" t="s">
        <v>2764</v>
      </c>
      <c r="E203" s="862" t="s">
        <v>2796</v>
      </c>
      <c r="F203" s="864">
        <v>4189.5600000000004</v>
      </c>
      <c r="G203" s="862" t="s">
        <v>3020</v>
      </c>
    </row>
    <row r="204" spans="1:7">
      <c r="A204" s="862"/>
      <c r="B204" s="862" t="s">
        <v>2845</v>
      </c>
      <c r="C204" s="863">
        <v>1408</v>
      </c>
      <c r="D204" s="862" t="s">
        <v>2764</v>
      </c>
      <c r="E204" s="862" t="s">
        <v>2796</v>
      </c>
      <c r="F204" s="864">
        <v>2578.1999999999998</v>
      </c>
      <c r="G204" s="862" t="s">
        <v>2845</v>
      </c>
    </row>
    <row r="205" spans="1:7">
      <c r="A205" s="862"/>
      <c r="B205" s="862" t="s">
        <v>3021</v>
      </c>
      <c r="C205" s="863">
        <v>1058</v>
      </c>
      <c r="D205" s="862" t="s">
        <v>2764</v>
      </c>
      <c r="E205" s="862" t="s">
        <v>2796</v>
      </c>
      <c r="F205" s="864">
        <v>1937.32</v>
      </c>
      <c r="G205" s="862" t="s">
        <v>3021</v>
      </c>
    </row>
    <row r="206" spans="1:7">
      <c r="A206" s="862"/>
      <c r="B206" s="862" t="s">
        <v>3022</v>
      </c>
      <c r="C206" s="863">
        <v>1410</v>
      </c>
      <c r="D206" s="862" t="s">
        <v>2764</v>
      </c>
      <c r="E206" s="862" t="s">
        <v>2796</v>
      </c>
      <c r="F206" s="864">
        <v>2581.86</v>
      </c>
      <c r="G206" s="862" t="s">
        <v>3022</v>
      </c>
    </row>
    <row r="207" spans="1:7">
      <c r="A207" s="862"/>
      <c r="B207" s="862" t="s">
        <v>2865</v>
      </c>
      <c r="C207" s="863">
        <v>1410</v>
      </c>
      <c r="D207" s="862" t="s">
        <v>2764</v>
      </c>
      <c r="E207" s="862" t="s">
        <v>2796</v>
      </c>
      <c r="F207" s="864">
        <v>2581.88</v>
      </c>
      <c r="G207" s="862" t="s">
        <v>2865</v>
      </c>
    </row>
    <row r="208" spans="1:7">
      <c r="A208" s="862"/>
      <c r="B208" s="862" t="s">
        <v>3023</v>
      </c>
      <c r="C208" s="863">
        <v>760</v>
      </c>
      <c r="D208" s="862" t="s">
        <v>2764</v>
      </c>
      <c r="E208" s="862" t="s">
        <v>2796</v>
      </c>
      <c r="F208" s="864">
        <v>1391.65</v>
      </c>
      <c r="G208" s="862" t="s">
        <v>3023</v>
      </c>
    </row>
    <row r="209" spans="1:7">
      <c r="A209" s="862"/>
      <c r="B209" s="862" t="s">
        <v>3024</v>
      </c>
      <c r="C209" s="863">
        <v>760</v>
      </c>
      <c r="D209" s="862" t="s">
        <v>2764</v>
      </c>
      <c r="E209" s="862" t="s">
        <v>2796</v>
      </c>
      <c r="F209" s="864">
        <v>1391.65</v>
      </c>
      <c r="G209" s="862" t="s">
        <v>3024</v>
      </c>
    </row>
    <row r="210" spans="1:7">
      <c r="A210" s="862"/>
      <c r="B210" s="862" t="s">
        <v>3025</v>
      </c>
      <c r="C210" s="863">
        <v>1060</v>
      </c>
      <c r="D210" s="862" t="s">
        <v>2764</v>
      </c>
      <c r="E210" s="862" t="s">
        <v>2796</v>
      </c>
      <c r="F210" s="864">
        <v>1940.97</v>
      </c>
      <c r="G210" s="862" t="s">
        <v>3025</v>
      </c>
    </row>
    <row r="211" spans="1:7">
      <c r="A211" s="862"/>
      <c r="B211" s="862" t="s">
        <v>3026</v>
      </c>
      <c r="C211" s="863">
        <v>1330</v>
      </c>
      <c r="D211" s="862" t="s">
        <v>2764</v>
      </c>
      <c r="E211" s="862" t="s">
        <v>2796</v>
      </c>
      <c r="F211" s="864">
        <v>2435.37</v>
      </c>
      <c r="G211" s="862" t="s">
        <v>3026</v>
      </c>
    </row>
    <row r="212" spans="1:7">
      <c r="A212" s="862"/>
      <c r="B212" s="862" t="s">
        <v>2867</v>
      </c>
      <c r="C212" s="863">
        <v>2290</v>
      </c>
      <c r="D212" s="862" t="s">
        <v>2764</v>
      </c>
      <c r="E212" s="862" t="s">
        <v>2796</v>
      </c>
      <c r="F212" s="864">
        <v>4193.24</v>
      </c>
      <c r="G212" s="862" t="s">
        <v>2867</v>
      </c>
    </row>
    <row r="213" spans="1:7">
      <c r="A213" s="862"/>
      <c r="B213" s="862" t="s">
        <v>3027</v>
      </c>
      <c r="C213" s="863">
        <v>1410</v>
      </c>
      <c r="D213" s="862" t="s">
        <v>2764</v>
      </c>
      <c r="E213" s="862" t="s">
        <v>2796</v>
      </c>
      <c r="F213" s="864">
        <v>2581.88</v>
      </c>
      <c r="G213" s="862" t="s">
        <v>3027</v>
      </c>
    </row>
    <row r="214" spans="1:7">
      <c r="A214" s="862"/>
      <c r="B214" s="862" t="s">
        <v>3028</v>
      </c>
      <c r="C214" s="863">
        <v>1060</v>
      </c>
      <c r="D214" s="862" t="s">
        <v>2764</v>
      </c>
      <c r="E214" s="862" t="s">
        <v>2796</v>
      </c>
      <c r="F214" s="864">
        <v>1940.97</v>
      </c>
      <c r="G214" s="862" t="s">
        <v>3028</v>
      </c>
    </row>
    <row r="215" spans="1:7">
      <c r="A215" s="862"/>
      <c r="B215" s="862" t="s">
        <v>3029</v>
      </c>
      <c r="C215" s="863">
        <v>1412</v>
      </c>
      <c r="D215" s="862" t="s">
        <v>2764</v>
      </c>
      <c r="E215" s="862" t="s">
        <v>2796</v>
      </c>
      <c r="F215" s="864">
        <v>2585.56</v>
      </c>
      <c r="G215" s="862" t="s">
        <v>3029</v>
      </c>
    </row>
    <row r="216" spans="1:7">
      <c r="A216" s="862"/>
      <c r="B216" s="862" t="s">
        <v>3030</v>
      </c>
      <c r="C216" s="863">
        <v>1412</v>
      </c>
      <c r="D216" s="862" t="s">
        <v>2764</v>
      </c>
      <c r="E216" s="862" t="s">
        <v>2796</v>
      </c>
      <c r="F216" s="864">
        <v>2585.56</v>
      </c>
      <c r="G216" s="862" t="s">
        <v>3030</v>
      </c>
    </row>
    <row r="217" spans="1:7">
      <c r="A217" s="862"/>
      <c r="B217" s="862" t="s">
        <v>3031</v>
      </c>
      <c r="C217" s="863">
        <v>762</v>
      </c>
      <c r="D217" s="862" t="s">
        <v>2764</v>
      </c>
      <c r="E217" s="862" t="s">
        <v>2796</v>
      </c>
      <c r="F217" s="864">
        <v>1395.32</v>
      </c>
      <c r="G217" s="862" t="s">
        <v>3031</v>
      </c>
    </row>
    <row r="218" spans="1:7">
      <c r="A218" s="862"/>
      <c r="B218" s="862" t="s">
        <v>3032</v>
      </c>
      <c r="C218" s="863">
        <v>762</v>
      </c>
      <c r="D218" s="862" t="s">
        <v>2764</v>
      </c>
      <c r="E218" s="862" t="s">
        <v>2796</v>
      </c>
      <c r="F218" s="864">
        <v>1395.32</v>
      </c>
      <c r="G218" s="862" t="s">
        <v>3032</v>
      </c>
    </row>
    <row r="219" spans="1:7">
      <c r="A219" s="862"/>
      <c r="B219" s="862" t="s">
        <v>2847</v>
      </c>
      <c r="C219" s="863">
        <v>1062</v>
      </c>
      <c r="D219" s="862" t="s">
        <v>2764</v>
      </c>
      <c r="E219" s="862" t="s">
        <v>2796</v>
      </c>
      <c r="F219" s="864">
        <v>1944.66</v>
      </c>
      <c r="G219" s="862" t="s">
        <v>2847</v>
      </c>
    </row>
    <row r="220" spans="1:7">
      <c r="A220" s="862"/>
      <c r="B220" s="862" t="s">
        <v>3033</v>
      </c>
      <c r="C220" s="863">
        <v>1332</v>
      </c>
      <c r="D220" s="862" t="s">
        <v>2764</v>
      </c>
      <c r="E220" s="862" t="s">
        <v>2796</v>
      </c>
      <c r="F220" s="864">
        <v>2439.0500000000002</v>
      </c>
      <c r="G220" s="862" t="s">
        <v>3033</v>
      </c>
    </row>
    <row r="221" spans="1:7">
      <c r="A221" s="862"/>
      <c r="B221" s="862" t="s">
        <v>3034</v>
      </c>
      <c r="C221" s="863">
        <v>2291</v>
      </c>
      <c r="D221" s="862" t="s">
        <v>2764</v>
      </c>
      <c r="E221" s="862" t="s">
        <v>2796</v>
      </c>
      <c r="F221" s="864">
        <v>4195.0600000000004</v>
      </c>
      <c r="G221" s="862" t="s">
        <v>3034</v>
      </c>
    </row>
    <row r="222" spans="1:7">
      <c r="A222" s="862"/>
      <c r="B222" s="862" t="s">
        <v>3035</v>
      </c>
      <c r="C222" s="863">
        <v>1412</v>
      </c>
      <c r="D222" s="862" t="s">
        <v>2764</v>
      </c>
      <c r="E222" s="862" t="s">
        <v>2796</v>
      </c>
      <c r="F222" s="864">
        <v>2585.56</v>
      </c>
      <c r="G222" s="862" t="s">
        <v>3035</v>
      </c>
    </row>
    <row r="223" spans="1:7">
      <c r="A223" s="862"/>
      <c r="B223" s="862" t="s">
        <v>3036</v>
      </c>
      <c r="C223" s="863">
        <v>1062</v>
      </c>
      <c r="D223" s="862" t="s">
        <v>2764</v>
      </c>
      <c r="E223" s="862" t="s">
        <v>2796</v>
      </c>
      <c r="F223" s="864">
        <v>1944.65</v>
      </c>
      <c r="G223" s="862" t="s">
        <v>3036</v>
      </c>
    </row>
    <row r="224" spans="1:7">
      <c r="A224" s="862"/>
      <c r="B224" s="862" t="s">
        <v>2869</v>
      </c>
      <c r="C224" s="863">
        <v>1414</v>
      </c>
      <c r="D224" s="862" t="s">
        <v>2764</v>
      </c>
      <c r="E224" s="862" t="s">
        <v>2796</v>
      </c>
      <c r="F224" s="864">
        <v>2589.2199999999998</v>
      </c>
      <c r="G224" s="862" t="s">
        <v>2869</v>
      </c>
    </row>
    <row r="225" spans="1:7">
      <c r="A225" s="862"/>
      <c r="B225" s="862" t="s">
        <v>2850</v>
      </c>
      <c r="C225" s="863">
        <v>1414</v>
      </c>
      <c r="D225" s="862" t="s">
        <v>2764</v>
      </c>
      <c r="E225" s="862" t="s">
        <v>2796</v>
      </c>
      <c r="F225" s="864">
        <v>2589.2199999999998</v>
      </c>
      <c r="G225" s="862" t="s">
        <v>2850</v>
      </c>
    </row>
    <row r="226" spans="1:7">
      <c r="A226" s="862"/>
      <c r="B226" s="862" t="s">
        <v>3037</v>
      </c>
      <c r="C226" s="863">
        <v>764</v>
      </c>
      <c r="D226" s="862" t="s">
        <v>2764</v>
      </c>
      <c r="E226" s="862" t="s">
        <v>2796</v>
      </c>
      <c r="F226" s="864">
        <v>1398.97</v>
      </c>
      <c r="G226" s="862" t="s">
        <v>3037</v>
      </c>
    </row>
    <row r="227" spans="1:7">
      <c r="A227" s="862"/>
      <c r="B227" s="862" t="s">
        <v>3038</v>
      </c>
      <c r="C227" s="863">
        <v>764</v>
      </c>
      <c r="D227" s="862" t="s">
        <v>2764</v>
      </c>
      <c r="E227" s="862" t="s">
        <v>2796</v>
      </c>
      <c r="F227" s="864">
        <v>1398.95</v>
      </c>
      <c r="G227" s="862" t="s">
        <v>3038</v>
      </c>
    </row>
    <row r="228" spans="1:7">
      <c r="A228" s="862"/>
      <c r="B228" s="862" t="s">
        <v>3039</v>
      </c>
      <c r="C228" s="863">
        <v>1064</v>
      </c>
      <c r="D228" s="862" t="s">
        <v>2764</v>
      </c>
      <c r="E228" s="862" t="s">
        <v>2796</v>
      </c>
      <c r="F228" s="864">
        <v>1948.3</v>
      </c>
      <c r="G228" s="862" t="s">
        <v>3039</v>
      </c>
    </row>
    <row r="229" spans="1:7">
      <c r="A229" s="862"/>
      <c r="B229" s="862" t="s">
        <v>3040</v>
      </c>
      <c r="C229" s="863">
        <v>1334</v>
      </c>
      <c r="D229" s="862" t="s">
        <v>2764</v>
      </c>
      <c r="E229" s="862" t="s">
        <v>2796</v>
      </c>
      <c r="F229" s="864">
        <v>2442.7199999999998</v>
      </c>
      <c r="G229" s="862" t="s">
        <v>3040</v>
      </c>
    </row>
    <row r="230" spans="1:7">
      <c r="A230" s="862"/>
      <c r="B230" s="862" t="s">
        <v>3041</v>
      </c>
      <c r="C230" s="863">
        <v>2293</v>
      </c>
      <c r="D230" s="862" t="s">
        <v>2764</v>
      </c>
      <c r="E230" s="862" t="s">
        <v>2796</v>
      </c>
      <c r="F230" s="864">
        <v>4198.7299999999996</v>
      </c>
      <c r="G230" s="862" t="s">
        <v>3041</v>
      </c>
    </row>
    <row r="231" spans="1:7">
      <c r="A231" s="862"/>
      <c r="B231" s="862" t="s">
        <v>2871</v>
      </c>
      <c r="C231" s="863">
        <v>1414</v>
      </c>
      <c r="D231" s="862" t="s">
        <v>2764</v>
      </c>
      <c r="E231" s="862" t="s">
        <v>2796</v>
      </c>
      <c r="F231" s="864">
        <v>2589.2199999999998</v>
      </c>
      <c r="G231" s="862" t="s">
        <v>2871</v>
      </c>
    </row>
    <row r="232" spans="1:7">
      <c r="A232" s="862"/>
      <c r="B232" s="862" t="s">
        <v>2873</v>
      </c>
      <c r="C232" s="863">
        <v>1064</v>
      </c>
      <c r="D232" s="862" t="s">
        <v>2764</v>
      </c>
      <c r="E232" s="862" t="s">
        <v>2796</v>
      </c>
      <c r="F232" s="864">
        <v>1948.3</v>
      </c>
      <c r="G232" s="862" t="s">
        <v>2873</v>
      </c>
    </row>
    <row r="233" spans="1:7">
      <c r="A233" s="862"/>
      <c r="B233" s="862" t="s">
        <v>3042</v>
      </c>
      <c r="C233" s="863">
        <v>1416</v>
      </c>
      <c r="D233" s="862" t="s">
        <v>2764</v>
      </c>
      <c r="E233" s="862" t="s">
        <v>2796</v>
      </c>
      <c r="F233" s="864">
        <v>2592.86</v>
      </c>
      <c r="G233" s="862" t="s">
        <v>3042</v>
      </c>
    </row>
    <row r="234" spans="1:7">
      <c r="A234" s="862"/>
      <c r="B234" s="862" t="s">
        <v>3043</v>
      </c>
      <c r="C234" s="863">
        <v>1416</v>
      </c>
      <c r="D234" s="862" t="s">
        <v>2764</v>
      </c>
      <c r="E234" s="862" t="s">
        <v>2796</v>
      </c>
      <c r="F234" s="864">
        <v>2592.87</v>
      </c>
      <c r="G234" s="862" t="s">
        <v>3043</v>
      </c>
    </row>
    <row r="235" spans="1:7">
      <c r="A235" s="862"/>
      <c r="B235" s="862" t="s">
        <v>3044</v>
      </c>
      <c r="C235" s="863">
        <v>766</v>
      </c>
      <c r="D235" s="862" t="s">
        <v>2764</v>
      </c>
      <c r="E235" s="862" t="s">
        <v>2796</v>
      </c>
      <c r="F235" s="864">
        <v>1402.62</v>
      </c>
      <c r="G235" s="862" t="s">
        <v>3044</v>
      </c>
    </row>
    <row r="236" spans="1:7">
      <c r="A236" s="862"/>
      <c r="B236" s="862" t="s">
        <v>3045</v>
      </c>
      <c r="C236" s="863">
        <v>766</v>
      </c>
      <c r="D236" s="862" t="s">
        <v>2764</v>
      </c>
      <c r="E236" s="862" t="s">
        <v>2796</v>
      </c>
      <c r="F236" s="864">
        <v>1402.62</v>
      </c>
      <c r="G236" s="862" t="s">
        <v>3045</v>
      </c>
    </row>
    <row r="237" spans="1:7">
      <c r="A237" s="862"/>
      <c r="B237" s="862" t="s">
        <v>3046</v>
      </c>
      <c r="C237" s="863">
        <v>1066</v>
      </c>
      <c r="D237" s="862" t="s">
        <v>2764</v>
      </c>
      <c r="E237" s="862" t="s">
        <v>2796</v>
      </c>
      <c r="F237" s="864">
        <v>1951.99</v>
      </c>
      <c r="G237" s="862" t="s">
        <v>3046</v>
      </c>
    </row>
    <row r="238" spans="1:7">
      <c r="A238" s="862"/>
      <c r="B238" s="862" t="s">
        <v>3047</v>
      </c>
      <c r="C238" s="863">
        <v>1336</v>
      </c>
      <c r="D238" s="862" t="s">
        <v>2764</v>
      </c>
      <c r="E238" s="862" t="s">
        <v>2796</v>
      </c>
      <c r="F238" s="864">
        <v>2446.39</v>
      </c>
      <c r="G238" s="862" t="s">
        <v>3047</v>
      </c>
    </row>
    <row r="239" spans="1:7">
      <c r="A239" s="862"/>
      <c r="B239" s="862" t="s">
        <v>2874</v>
      </c>
      <c r="C239" s="863">
        <v>2295</v>
      </c>
      <c r="D239" s="862" t="s">
        <v>2764</v>
      </c>
      <c r="E239" s="862" t="s">
        <v>2796</v>
      </c>
      <c r="F239" s="864">
        <v>4202.42</v>
      </c>
      <c r="G239" s="862" t="s">
        <v>2874</v>
      </c>
    </row>
    <row r="240" spans="1:7">
      <c r="A240" s="862"/>
      <c r="B240" s="862" t="s">
        <v>3048</v>
      </c>
      <c r="C240" s="863">
        <v>1416</v>
      </c>
      <c r="D240" s="862" t="s">
        <v>2764</v>
      </c>
      <c r="E240" s="862" t="s">
        <v>2796</v>
      </c>
      <c r="F240" s="864">
        <v>2592.85</v>
      </c>
      <c r="G240" s="862" t="s">
        <v>3048</v>
      </c>
    </row>
    <row r="241" spans="1:7">
      <c r="A241" s="862"/>
      <c r="B241" s="862" t="s">
        <v>3049</v>
      </c>
      <c r="C241" s="863">
        <v>1066</v>
      </c>
      <c r="D241" s="862" t="s">
        <v>2764</v>
      </c>
      <c r="E241" s="862" t="s">
        <v>2796</v>
      </c>
      <c r="F241" s="864">
        <v>1951.99</v>
      </c>
      <c r="G241" s="862" t="s">
        <v>3049</v>
      </c>
    </row>
    <row r="242" spans="1:7">
      <c r="A242" s="862"/>
      <c r="B242" s="862" t="s">
        <v>3050</v>
      </c>
      <c r="C242" s="863">
        <v>1418</v>
      </c>
      <c r="D242" s="862" t="s">
        <v>2764</v>
      </c>
      <c r="E242" s="862" t="s">
        <v>2796</v>
      </c>
      <c r="F242" s="864">
        <v>2596.5</v>
      </c>
      <c r="G242" s="862" t="s">
        <v>3050</v>
      </c>
    </row>
    <row r="243" spans="1:7">
      <c r="A243" s="862"/>
      <c r="B243" s="862" t="s">
        <v>3051</v>
      </c>
      <c r="C243" s="863">
        <v>1418</v>
      </c>
      <c r="D243" s="862" t="s">
        <v>2764</v>
      </c>
      <c r="E243" s="862" t="s">
        <v>2796</v>
      </c>
      <c r="F243" s="864">
        <v>2596.5</v>
      </c>
      <c r="G243" s="862" t="s">
        <v>3051</v>
      </c>
    </row>
    <row r="244" spans="1:7">
      <c r="A244" s="862"/>
      <c r="B244" s="862" t="s">
        <v>3052</v>
      </c>
      <c r="C244" s="863">
        <v>768</v>
      </c>
      <c r="D244" s="862" t="s">
        <v>2764</v>
      </c>
      <c r="E244" s="862" t="s">
        <v>2796</v>
      </c>
      <c r="F244" s="864">
        <v>1406.28</v>
      </c>
      <c r="G244" s="862" t="s">
        <v>3052</v>
      </c>
    </row>
    <row r="245" spans="1:7">
      <c r="A245" s="862"/>
      <c r="B245" s="862" t="s">
        <v>2876</v>
      </c>
      <c r="C245" s="863">
        <v>768</v>
      </c>
      <c r="D245" s="862" t="s">
        <v>2764</v>
      </c>
      <c r="E245" s="862" t="s">
        <v>2796</v>
      </c>
      <c r="F245" s="864">
        <v>1406.3</v>
      </c>
      <c r="G245" s="862" t="s">
        <v>2876</v>
      </c>
    </row>
    <row r="246" spans="1:7">
      <c r="A246" s="862"/>
      <c r="B246" s="862" t="s">
        <v>3053</v>
      </c>
      <c r="C246" s="863">
        <v>1068</v>
      </c>
      <c r="D246" s="862" t="s">
        <v>2764</v>
      </c>
      <c r="E246" s="862" t="s">
        <v>2796</v>
      </c>
      <c r="F246" s="864">
        <v>1955.64</v>
      </c>
      <c r="G246" s="862" t="s">
        <v>3053</v>
      </c>
    </row>
    <row r="247" spans="1:7">
      <c r="A247" s="862"/>
      <c r="B247" s="862" t="s">
        <v>3054</v>
      </c>
      <c r="C247" s="863">
        <v>1338</v>
      </c>
      <c r="D247" s="862" t="s">
        <v>2764</v>
      </c>
      <c r="E247" s="862" t="s">
        <v>2796</v>
      </c>
      <c r="F247" s="864">
        <v>2450.02</v>
      </c>
      <c r="G247" s="862" t="s">
        <v>3054</v>
      </c>
    </row>
    <row r="248" spans="1:7">
      <c r="A248" s="862"/>
      <c r="B248" s="862" t="s">
        <v>3055</v>
      </c>
      <c r="C248" s="863">
        <v>2297</v>
      </c>
      <c r="D248" s="862" t="s">
        <v>2764</v>
      </c>
      <c r="E248" s="862" t="s">
        <v>2796</v>
      </c>
      <c r="F248" s="864">
        <v>4206.04</v>
      </c>
      <c r="G248" s="862" t="s">
        <v>3055</v>
      </c>
    </row>
    <row r="249" spans="1:7">
      <c r="A249" s="862"/>
      <c r="B249" s="862" t="s">
        <v>3056</v>
      </c>
      <c r="C249" s="863">
        <v>1418</v>
      </c>
      <c r="D249" s="862" t="s">
        <v>2764</v>
      </c>
      <c r="E249" s="862" t="s">
        <v>2796</v>
      </c>
      <c r="F249" s="864">
        <v>2596.5</v>
      </c>
      <c r="G249" s="862" t="s">
        <v>3056</v>
      </c>
    </row>
    <row r="250" spans="1:7">
      <c r="A250" s="862"/>
      <c r="B250" s="862" t="s">
        <v>3057</v>
      </c>
      <c r="C250" s="863">
        <v>1068</v>
      </c>
      <c r="D250" s="862" t="s">
        <v>2764</v>
      </c>
      <c r="E250" s="862" t="s">
        <v>2796</v>
      </c>
      <c r="F250" s="864">
        <v>1955.62</v>
      </c>
      <c r="G250" s="862" t="s">
        <v>3057</v>
      </c>
    </row>
    <row r="251" spans="1:7">
      <c r="A251" s="862"/>
      <c r="B251" s="862" t="s">
        <v>3058</v>
      </c>
      <c r="C251" s="863">
        <v>1420</v>
      </c>
      <c r="D251" s="862" t="s">
        <v>2764</v>
      </c>
      <c r="E251" s="862" t="s">
        <v>2796</v>
      </c>
      <c r="F251" s="864">
        <v>2600.17</v>
      </c>
      <c r="G251" s="862" t="s">
        <v>3058</v>
      </c>
    </row>
    <row r="252" spans="1:7">
      <c r="A252" s="862"/>
      <c r="B252" s="862" t="s">
        <v>2853</v>
      </c>
      <c r="C252" s="863">
        <v>1420</v>
      </c>
      <c r="D252" s="862" t="s">
        <v>2764</v>
      </c>
      <c r="E252" s="862" t="s">
        <v>2796</v>
      </c>
      <c r="F252" s="864">
        <v>2600.16</v>
      </c>
      <c r="G252" s="862" t="s">
        <v>2853</v>
      </c>
    </row>
    <row r="253" spans="1:7">
      <c r="A253" s="862"/>
      <c r="B253" s="862" t="s">
        <v>3059</v>
      </c>
      <c r="C253" s="863">
        <v>770</v>
      </c>
      <c r="D253" s="862" t="s">
        <v>2764</v>
      </c>
      <c r="E253" s="862" t="s">
        <v>2796</v>
      </c>
      <c r="F253" s="864">
        <v>1409.96</v>
      </c>
      <c r="G253" s="862" t="s">
        <v>3059</v>
      </c>
    </row>
    <row r="254" spans="1:7">
      <c r="A254" s="862"/>
      <c r="B254" s="862" t="s">
        <v>3060</v>
      </c>
      <c r="C254" s="863">
        <v>770</v>
      </c>
      <c r="D254" s="862" t="s">
        <v>2764</v>
      </c>
      <c r="E254" s="862" t="s">
        <v>2796</v>
      </c>
      <c r="F254" s="864">
        <v>1409.96</v>
      </c>
      <c r="G254" s="862" t="s">
        <v>3060</v>
      </c>
    </row>
    <row r="255" spans="1:7">
      <c r="A255" s="862"/>
      <c r="B255" s="862" t="s">
        <v>3061</v>
      </c>
      <c r="C255" s="863">
        <v>1070</v>
      </c>
      <c r="D255" s="862" t="s">
        <v>2764</v>
      </c>
      <c r="E255" s="862" t="s">
        <v>2796</v>
      </c>
      <c r="F255" s="864">
        <v>1959.29</v>
      </c>
      <c r="G255" s="862" t="s">
        <v>3061</v>
      </c>
    </row>
    <row r="256" spans="1:7">
      <c r="A256" s="862"/>
      <c r="B256" s="862" t="s">
        <v>3062</v>
      </c>
      <c r="C256" s="863">
        <v>1340</v>
      </c>
      <c r="D256" s="862" t="s">
        <v>2764</v>
      </c>
      <c r="E256" s="862" t="s">
        <v>2796</v>
      </c>
      <c r="F256" s="864">
        <v>2453.6799999999998</v>
      </c>
      <c r="G256" s="862" t="s">
        <v>3062</v>
      </c>
    </row>
    <row r="257" spans="1:7">
      <c r="A257" s="862"/>
      <c r="B257" s="862" t="s">
        <v>3063</v>
      </c>
      <c r="C257" s="863">
        <v>2299</v>
      </c>
      <c r="D257" s="862" t="s">
        <v>2764</v>
      </c>
      <c r="E257" s="862" t="s">
        <v>2796</v>
      </c>
      <c r="F257" s="864">
        <v>4209.7</v>
      </c>
      <c r="G257" s="862" t="s">
        <v>3063</v>
      </c>
    </row>
    <row r="258" spans="1:7">
      <c r="A258" s="862"/>
      <c r="B258" s="862" t="s">
        <v>3064</v>
      </c>
      <c r="C258" s="863">
        <v>1420</v>
      </c>
      <c r="D258" s="862" t="s">
        <v>2764</v>
      </c>
      <c r="E258" s="862" t="s">
        <v>2796</v>
      </c>
      <c r="F258" s="864">
        <v>2600.17</v>
      </c>
      <c r="G258" s="862" t="s">
        <v>3064</v>
      </c>
    </row>
    <row r="259" spans="1:7">
      <c r="A259" s="862"/>
      <c r="B259" s="862" t="s">
        <v>3065</v>
      </c>
      <c r="C259" s="863">
        <v>1070</v>
      </c>
      <c r="D259" s="862" t="s">
        <v>2764</v>
      </c>
      <c r="E259" s="862" t="s">
        <v>2796</v>
      </c>
      <c r="F259" s="864">
        <v>1959.29</v>
      </c>
      <c r="G259" s="862" t="s">
        <v>3065</v>
      </c>
    </row>
    <row r="260" spans="1:7">
      <c r="A260" s="862"/>
      <c r="B260" s="862" t="s">
        <v>3066</v>
      </c>
      <c r="C260" s="863">
        <v>1422</v>
      </c>
      <c r="D260" s="862" t="s">
        <v>2764</v>
      </c>
      <c r="E260" s="862" t="s">
        <v>2796</v>
      </c>
      <c r="F260" s="864">
        <v>2603.83</v>
      </c>
      <c r="G260" s="862" t="s">
        <v>3066</v>
      </c>
    </row>
    <row r="261" spans="1:7">
      <c r="A261" s="862"/>
      <c r="B261" s="862" t="s">
        <v>3067</v>
      </c>
      <c r="C261" s="863">
        <v>1422</v>
      </c>
      <c r="D261" s="862" t="s">
        <v>2764</v>
      </c>
      <c r="E261" s="862" t="s">
        <v>2796</v>
      </c>
      <c r="F261" s="864">
        <v>2603.83</v>
      </c>
      <c r="G261" s="862" t="s">
        <v>3067</v>
      </c>
    </row>
    <row r="262" spans="1:7">
      <c r="A262" s="862"/>
      <c r="B262" s="862" t="s">
        <v>3068</v>
      </c>
      <c r="C262" s="863">
        <v>772</v>
      </c>
      <c r="D262" s="862" t="s">
        <v>2764</v>
      </c>
      <c r="E262" s="862" t="s">
        <v>2796</v>
      </c>
      <c r="F262" s="864">
        <v>1413.63</v>
      </c>
      <c r="G262" s="862" t="s">
        <v>3068</v>
      </c>
    </row>
    <row r="263" spans="1:7">
      <c r="A263" s="862"/>
      <c r="B263" s="862" t="s">
        <v>2878</v>
      </c>
      <c r="C263" s="863">
        <v>772</v>
      </c>
      <c r="D263" s="862" t="s">
        <v>2764</v>
      </c>
      <c r="E263" s="862" t="s">
        <v>2796</v>
      </c>
      <c r="F263" s="864">
        <v>1413.63</v>
      </c>
      <c r="G263" s="862" t="s">
        <v>2878</v>
      </c>
    </row>
    <row r="264" spans="1:7">
      <c r="A264" s="862"/>
      <c r="B264" s="862" t="s">
        <v>2880</v>
      </c>
      <c r="C264" s="863">
        <v>1072</v>
      </c>
      <c r="D264" s="862" t="s">
        <v>2764</v>
      </c>
      <c r="E264" s="862" t="s">
        <v>2796</v>
      </c>
      <c r="F264" s="864">
        <v>1962.95</v>
      </c>
      <c r="G264" s="862" t="s">
        <v>2880</v>
      </c>
    </row>
    <row r="265" spans="1:7">
      <c r="A265" s="862"/>
      <c r="B265" s="862" t="s">
        <v>3069</v>
      </c>
      <c r="C265" s="863">
        <v>1342</v>
      </c>
      <c r="D265" s="862" t="s">
        <v>2764</v>
      </c>
      <c r="E265" s="862" t="s">
        <v>2796</v>
      </c>
      <c r="F265" s="864">
        <v>2457.36</v>
      </c>
      <c r="G265" s="862" t="s">
        <v>3069</v>
      </c>
    </row>
    <row r="266" spans="1:7">
      <c r="A266" s="862"/>
      <c r="B266" s="862" t="s">
        <v>3070</v>
      </c>
      <c r="C266" s="863">
        <v>2301</v>
      </c>
      <c r="D266" s="862" t="s">
        <v>2764</v>
      </c>
      <c r="E266" s="862" t="s">
        <v>2796</v>
      </c>
      <c r="F266" s="864">
        <v>4213.41</v>
      </c>
      <c r="G266" s="862" t="s">
        <v>3070</v>
      </c>
    </row>
    <row r="267" spans="1:7">
      <c r="A267" s="862"/>
      <c r="B267" s="862" t="s">
        <v>3071</v>
      </c>
      <c r="C267" s="863">
        <v>1422</v>
      </c>
      <c r="D267" s="862" t="s">
        <v>2764</v>
      </c>
      <c r="E267" s="862" t="s">
        <v>2796</v>
      </c>
      <c r="F267" s="864">
        <v>2603.83</v>
      </c>
      <c r="G267" s="862" t="s">
        <v>3071</v>
      </c>
    </row>
    <row r="268" spans="1:7">
      <c r="A268" s="862"/>
      <c r="B268" s="862" t="s">
        <v>3072</v>
      </c>
      <c r="C268" s="863">
        <v>1072</v>
      </c>
      <c r="D268" s="862" t="s">
        <v>2764</v>
      </c>
      <c r="E268" s="862" t="s">
        <v>2796</v>
      </c>
      <c r="F268" s="864">
        <v>1962.96</v>
      </c>
      <c r="G268" s="862" t="s">
        <v>3072</v>
      </c>
    </row>
    <row r="269" spans="1:7">
      <c r="A269" s="862"/>
      <c r="B269" s="862" t="s">
        <v>3073</v>
      </c>
      <c r="C269" s="863">
        <v>1424</v>
      </c>
      <c r="D269" s="862" t="s">
        <v>2764</v>
      </c>
      <c r="E269" s="862" t="s">
        <v>2796</v>
      </c>
      <c r="F269" s="864">
        <v>2607.5</v>
      </c>
      <c r="G269" s="862" t="s">
        <v>3073</v>
      </c>
    </row>
    <row r="270" spans="1:7">
      <c r="A270" s="862"/>
      <c r="B270" s="862" t="s">
        <v>3074</v>
      </c>
      <c r="C270" s="863">
        <v>1424</v>
      </c>
      <c r="D270" s="862" t="s">
        <v>2764</v>
      </c>
      <c r="E270" s="862" t="s">
        <v>2796</v>
      </c>
      <c r="F270" s="864">
        <v>2607.5100000000002</v>
      </c>
      <c r="G270" s="862" t="s">
        <v>3074</v>
      </c>
    </row>
    <row r="271" spans="1:7">
      <c r="A271" s="862"/>
      <c r="B271" s="862" t="s">
        <v>3075</v>
      </c>
      <c r="C271" s="863">
        <v>774</v>
      </c>
      <c r="D271" s="862" t="s">
        <v>2764</v>
      </c>
      <c r="E271" s="862" t="s">
        <v>2796</v>
      </c>
      <c r="F271" s="864">
        <v>1417.3</v>
      </c>
      <c r="G271" s="862" t="s">
        <v>3075</v>
      </c>
    </row>
    <row r="272" spans="1:7">
      <c r="A272" s="862"/>
      <c r="B272" s="862" t="s">
        <v>3076</v>
      </c>
      <c r="C272" s="863">
        <v>774</v>
      </c>
      <c r="D272" s="862" t="s">
        <v>2764</v>
      </c>
      <c r="E272" s="862" t="s">
        <v>2796</v>
      </c>
      <c r="F272" s="864">
        <v>1417.28</v>
      </c>
      <c r="G272" s="862" t="s">
        <v>3076</v>
      </c>
    </row>
    <row r="273" spans="1:7">
      <c r="A273" s="862"/>
      <c r="B273" s="862" t="s">
        <v>3077</v>
      </c>
      <c r="C273" s="863">
        <v>1074</v>
      </c>
      <c r="D273" s="862" t="s">
        <v>2764</v>
      </c>
      <c r="E273" s="862" t="s">
        <v>2796</v>
      </c>
      <c r="F273" s="864">
        <v>1966.61</v>
      </c>
      <c r="G273" s="862" t="s">
        <v>3077</v>
      </c>
    </row>
    <row r="274" spans="1:7">
      <c r="A274" s="862"/>
      <c r="B274" s="862" t="s">
        <v>3078</v>
      </c>
      <c r="C274" s="863">
        <v>1344</v>
      </c>
      <c r="D274" s="862" t="s">
        <v>2764</v>
      </c>
      <c r="E274" s="862" t="s">
        <v>2796</v>
      </c>
      <c r="F274" s="864">
        <v>2461.0300000000002</v>
      </c>
      <c r="G274" s="862" t="s">
        <v>3078</v>
      </c>
    </row>
    <row r="275" spans="1:7">
      <c r="A275" s="862"/>
      <c r="B275" s="862" t="s">
        <v>3079</v>
      </c>
      <c r="C275" s="863">
        <v>2303</v>
      </c>
      <c r="D275" s="862" t="s">
        <v>2764</v>
      </c>
      <c r="E275" s="862" t="s">
        <v>2796</v>
      </c>
      <c r="F275" s="864">
        <v>4217.07</v>
      </c>
      <c r="G275" s="862" t="s">
        <v>3079</v>
      </c>
    </row>
    <row r="276" spans="1:7">
      <c r="A276" s="862"/>
      <c r="B276" s="862" t="s">
        <v>3080</v>
      </c>
      <c r="C276" s="863">
        <v>1424</v>
      </c>
      <c r="D276" s="862" t="s">
        <v>2764</v>
      </c>
      <c r="E276" s="862" t="s">
        <v>2796</v>
      </c>
      <c r="F276" s="864">
        <v>2607.5</v>
      </c>
      <c r="G276" s="862" t="s">
        <v>3080</v>
      </c>
    </row>
    <row r="277" spans="1:7">
      <c r="A277" s="862"/>
      <c r="B277" s="862" t="s">
        <v>3081</v>
      </c>
      <c r="C277" s="863">
        <v>1074</v>
      </c>
      <c r="D277" s="862" t="s">
        <v>2764</v>
      </c>
      <c r="E277" s="862" t="s">
        <v>2796</v>
      </c>
      <c r="F277" s="864">
        <v>1966.61</v>
      </c>
      <c r="G277" s="862" t="s">
        <v>3081</v>
      </c>
    </row>
    <row r="278" spans="1:7">
      <c r="A278" s="862"/>
      <c r="B278" s="862" t="s">
        <v>3082</v>
      </c>
      <c r="C278" s="863">
        <v>1426</v>
      </c>
      <c r="D278" s="862" t="s">
        <v>2764</v>
      </c>
      <c r="E278" s="862" t="s">
        <v>2796</v>
      </c>
      <c r="F278" s="864">
        <v>2611.16</v>
      </c>
      <c r="G278" s="862" t="s">
        <v>3082</v>
      </c>
    </row>
    <row r="279" spans="1:7">
      <c r="A279" s="862"/>
      <c r="B279" s="862" t="s">
        <v>3083</v>
      </c>
      <c r="C279" s="863">
        <v>1426</v>
      </c>
      <c r="D279" s="862" t="s">
        <v>2764</v>
      </c>
      <c r="E279" s="862" t="s">
        <v>2796</v>
      </c>
      <c r="F279" s="864">
        <v>2611.14</v>
      </c>
      <c r="G279" s="862" t="s">
        <v>3083</v>
      </c>
    </row>
    <row r="280" spans="1:7">
      <c r="A280" s="862"/>
      <c r="B280" s="862" t="s">
        <v>3084</v>
      </c>
      <c r="C280" s="863">
        <v>776</v>
      </c>
      <c r="D280" s="862" t="s">
        <v>2764</v>
      </c>
      <c r="E280" s="862" t="s">
        <v>2796</v>
      </c>
      <c r="F280" s="864">
        <v>1420.96</v>
      </c>
      <c r="G280" s="862" t="s">
        <v>3084</v>
      </c>
    </row>
    <row r="281" spans="1:7">
      <c r="A281" s="862"/>
      <c r="B281" s="862" t="s">
        <v>3085</v>
      </c>
      <c r="C281" s="863">
        <v>776</v>
      </c>
      <c r="D281" s="862" t="s">
        <v>2764</v>
      </c>
      <c r="E281" s="862" t="s">
        <v>2796</v>
      </c>
      <c r="F281" s="864">
        <v>1420.95</v>
      </c>
      <c r="G281" s="862" t="s">
        <v>3085</v>
      </c>
    </row>
    <row r="282" spans="1:7">
      <c r="A282" s="862"/>
      <c r="B282" s="862" t="s">
        <v>2882</v>
      </c>
      <c r="C282" s="863">
        <v>1076</v>
      </c>
      <c r="D282" s="862" t="s">
        <v>2764</v>
      </c>
      <c r="E282" s="862" t="s">
        <v>2796</v>
      </c>
      <c r="F282" s="864">
        <v>1970.28</v>
      </c>
      <c r="G282" s="862" t="s">
        <v>2882</v>
      </c>
    </row>
    <row r="283" spans="1:7">
      <c r="A283" s="862"/>
      <c r="B283" s="862" t="s">
        <v>3086</v>
      </c>
      <c r="C283" s="863">
        <v>1346</v>
      </c>
      <c r="D283" s="862" t="s">
        <v>2764</v>
      </c>
      <c r="E283" s="862" t="s">
        <v>2796</v>
      </c>
      <c r="F283" s="864">
        <v>2464.6799999999998</v>
      </c>
      <c r="G283" s="862" t="s">
        <v>3086</v>
      </c>
    </row>
    <row r="284" spans="1:7">
      <c r="A284" s="862"/>
      <c r="B284" s="862" t="s">
        <v>2883</v>
      </c>
      <c r="C284" s="863">
        <v>2305</v>
      </c>
      <c r="D284" s="862" t="s">
        <v>2764</v>
      </c>
      <c r="E284" s="862" t="s">
        <v>2796</v>
      </c>
      <c r="F284" s="864">
        <v>4220.72</v>
      </c>
      <c r="G284" s="862" t="s">
        <v>2883</v>
      </c>
    </row>
    <row r="285" spans="1:7">
      <c r="A285" s="862"/>
      <c r="B285" s="862" t="s">
        <v>3087</v>
      </c>
      <c r="C285" s="863">
        <v>1426</v>
      </c>
      <c r="D285" s="862" t="s">
        <v>2764</v>
      </c>
      <c r="E285" s="862" t="s">
        <v>2796</v>
      </c>
      <c r="F285" s="864">
        <v>2611.15</v>
      </c>
      <c r="G285" s="862" t="s">
        <v>3087</v>
      </c>
    </row>
    <row r="286" spans="1:7">
      <c r="A286" s="862"/>
      <c r="B286" s="862" t="s">
        <v>3088</v>
      </c>
      <c r="C286" s="863">
        <v>1076</v>
      </c>
      <c r="D286" s="862" t="s">
        <v>2764</v>
      </c>
      <c r="E286" s="862" t="s">
        <v>2796</v>
      </c>
      <c r="F286" s="864">
        <v>1970.28</v>
      </c>
      <c r="G286" s="862" t="s">
        <v>3088</v>
      </c>
    </row>
    <row r="287" spans="1:7">
      <c r="A287" s="862"/>
      <c r="B287" s="862" t="s">
        <v>2885</v>
      </c>
      <c r="C287" s="863">
        <v>1428</v>
      </c>
      <c r="D287" s="862" t="s">
        <v>2764</v>
      </c>
      <c r="E287" s="862" t="s">
        <v>2796</v>
      </c>
      <c r="F287" s="864">
        <v>2614.83</v>
      </c>
      <c r="G287" s="862" t="s">
        <v>2885</v>
      </c>
    </row>
    <row r="288" spans="1:7">
      <c r="A288" s="862"/>
      <c r="B288" s="862" t="s">
        <v>3089</v>
      </c>
      <c r="C288" s="863">
        <v>1428</v>
      </c>
      <c r="D288" s="862" t="s">
        <v>2764</v>
      </c>
      <c r="E288" s="862" t="s">
        <v>2796</v>
      </c>
      <c r="F288" s="864">
        <v>2614.83</v>
      </c>
      <c r="G288" s="862" t="s">
        <v>3089</v>
      </c>
    </row>
    <row r="289" spans="1:7">
      <c r="A289" s="862"/>
      <c r="B289" s="862" t="s">
        <v>3090</v>
      </c>
      <c r="C289" s="863">
        <v>778</v>
      </c>
      <c r="D289" s="862" t="s">
        <v>2764</v>
      </c>
      <c r="E289" s="862" t="s">
        <v>2796</v>
      </c>
      <c r="F289" s="864">
        <v>1424.6</v>
      </c>
      <c r="G289" s="862" t="s">
        <v>3090</v>
      </c>
    </row>
    <row r="290" spans="1:7">
      <c r="A290" s="862"/>
      <c r="B290" s="862" t="s">
        <v>3091</v>
      </c>
      <c r="C290" s="863">
        <v>778</v>
      </c>
      <c r="D290" s="862" t="s">
        <v>2764</v>
      </c>
      <c r="E290" s="862" t="s">
        <v>2796</v>
      </c>
      <c r="F290" s="864">
        <v>1424.6</v>
      </c>
      <c r="G290" s="862" t="s">
        <v>3091</v>
      </c>
    </row>
    <row r="291" spans="1:7">
      <c r="A291" s="862"/>
      <c r="B291" s="862" t="s">
        <v>3092</v>
      </c>
      <c r="C291" s="863">
        <v>1078</v>
      </c>
      <c r="D291" s="862" t="s">
        <v>2764</v>
      </c>
      <c r="E291" s="862" t="s">
        <v>2796</v>
      </c>
      <c r="F291" s="864">
        <v>1973.94</v>
      </c>
      <c r="G291" s="862" t="s">
        <v>3092</v>
      </c>
    </row>
    <row r="292" spans="1:7">
      <c r="A292" s="862"/>
      <c r="B292" s="862" t="s">
        <v>3093</v>
      </c>
      <c r="C292" s="863">
        <v>1348</v>
      </c>
      <c r="D292" s="862" t="s">
        <v>2764</v>
      </c>
      <c r="E292" s="862" t="s">
        <v>2796</v>
      </c>
      <c r="F292" s="864">
        <v>2468.34</v>
      </c>
      <c r="G292" s="862" t="s">
        <v>3093</v>
      </c>
    </row>
    <row r="293" spans="1:7">
      <c r="A293" s="862"/>
      <c r="B293" s="862" t="s">
        <v>3094</v>
      </c>
      <c r="C293" s="863">
        <v>2307</v>
      </c>
      <c r="D293" s="862" t="s">
        <v>2764</v>
      </c>
      <c r="E293" s="862" t="s">
        <v>2796</v>
      </c>
      <c r="F293" s="864">
        <v>4224.3599999999997</v>
      </c>
      <c r="G293" s="862" t="s">
        <v>3094</v>
      </c>
    </row>
    <row r="294" spans="1:7">
      <c r="A294" s="862"/>
      <c r="B294" s="862" t="s">
        <v>2887</v>
      </c>
      <c r="C294" s="863">
        <v>1428</v>
      </c>
      <c r="D294" s="862" t="s">
        <v>2764</v>
      </c>
      <c r="E294" s="862" t="s">
        <v>2796</v>
      </c>
      <c r="F294" s="864">
        <v>2614.83</v>
      </c>
      <c r="G294" s="862" t="s">
        <v>2887</v>
      </c>
    </row>
    <row r="295" spans="1:7">
      <c r="A295" s="862"/>
      <c r="B295" s="862" t="s">
        <v>3095</v>
      </c>
      <c r="C295" s="863">
        <v>1078</v>
      </c>
      <c r="D295" s="862" t="s">
        <v>2764</v>
      </c>
      <c r="E295" s="862" t="s">
        <v>2796</v>
      </c>
      <c r="F295" s="864">
        <v>1973.94</v>
      </c>
      <c r="G295" s="862" t="s">
        <v>3095</v>
      </c>
    </row>
    <row r="296" spans="1:7">
      <c r="A296" s="862"/>
      <c r="B296" s="862" t="s">
        <v>3096</v>
      </c>
      <c r="C296" s="863">
        <v>1430</v>
      </c>
      <c r="D296" s="862" t="s">
        <v>2764</v>
      </c>
      <c r="E296" s="862" t="s">
        <v>2796</v>
      </c>
      <c r="F296" s="864">
        <v>2618.4899999999998</v>
      </c>
      <c r="G296" s="862" t="s">
        <v>3096</v>
      </c>
    </row>
    <row r="297" spans="1:7">
      <c r="A297" s="862"/>
      <c r="B297" s="862" t="s">
        <v>3097</v>
      </c>
      <c r="C297" s="863">
        <v>1430</v>
      </c>
      <c r="D297" s="862" t="s">
        <v>2764</v>
      </c>
      <c r="E297" s="862" t="s">
        <v>2796</v>
      </c>
      <c r="F297" s="864">
        <v>2618.5</v>
      </c>
      <c r="G297" s="862" t="s">
        <v>3097</v>
      </c>
    </row>
    <row r="298" spans="1:7">
      <c r="A298" s="862"/>
      <c r="B298" s="862" t="s">
        <v>3098</v>
      </c>
      <c r="C298" s="863">
        <v>780</v>
      </c>
      <c r="D298" s="862" t="s">
        <v>2764</v>
      </c>
      <c r="E298" s="862" t="s">
        <v>2796</v>
      </c>
      <c r="F298" s="864">
        <v>1428.28</v>
      </c>
      <c r="G298" s="862" t="s">
        <v>3098</v>
      </c>
    </row>
    <row r="299" spans="1:7">
      <c r="A299" s="862"/>
      <c r="B299" s="862" t="s">
        <v>3099</v>
      </c>
      <c r="C299" s="863">
        <v>780</v>
      </c>
      <c r="D299" s="862" t="s">
        <v>2764</v>
      </c>
      <c r="E299" s="862" t="s">
        <v>2796</v>
      </c>
      <c r="F299" s="864">
        <v>1428.27</v>
      </c>
      <c r="G299" s="862" t="s">
        <v>3099</v>
      </c>
    </row>
    <row r="300" spans="1:7">
      <c r="A300" s="862"/>
      <c r="B300" s="862" t="s">
        <v>3100</v>
      </c>
      <c r="C300" s="863">
        <v>1080</v>
      </c>
      <c r="D300" s="862" t="s">
        <v>2764</v>
      </c>
      <c r="E300" s="862" t="s">
        <v>2796</v>
      </c>
      <c r="F300" s="864">
        <v>1977.61</v>
      </c>
      <c r="G300" s="862" t="s">
        <v>3100</v>
      </c>
    </row>
    <row r="301" spans="1:7">
      <c r="A301" s="862"/>
      <c r="B301" s="862" t="s">
        <v>3101</v>
      </c>
      <c r="C301" s="863">
        <v>1350</v>
      </c>
      <c r="D301" s="862" t="s">
        <v>2764</v>
      </c>
      <c r="E301" s="862" t="s">
        <v>2796</v>
      </c>
      <c r="F301" s="864">
        <v>2472.0100000000002</v>
      </c>
      <c r="G301" s="862" t="s">
        <v>3101</v>
      </c>
    </row>
    <row r="302" spans="1:7">
      <c r="A302" s="862"/>
      <c r="B302" s="862" t="s">
        <v>2855</v>
      </c>
      <c r="C302" s="863">
        <v>2309</v>
      </c>
      <c r="D302" s="862" t="s">
        <v>2764</v>
      </c>
      <c r="E302" s="862" t="s">
        <v>2796</v>
      </c>
      <c r="F302" s="864">
        <v>4228.04</v>
      </c>
      <c r="G302" s="862" t="s">
        <v>2855</v>
      </c>
    </row>
    <row r="303" spans="1:7">
      <c r="A303" s="862"/>
      <c r="B303" s="862" t="s">
        <v>2857</v>
      </c>
      <c r="C303" s="863">
        <v>1430</v>
      </c>
      <c r="D303" s="862" t="s">
        <v>2764</v>
      </c>
      <c r="E303" s="862" t="s">
        <v>2796</v>
      </c>
      <c r="F303" s="864">
        <v>2618.4899999999998</v>
      </c>
      <c r="G303" s="862" t="s">
        <v>2857</v>
      </c>
    </row>
    <row r="304" spans="1:7">
      <c r="A304" s="862"/>
      <c r="B304" s="862" t="s">
        <v>3102</v>
      </c>
      <c r="C304" s="863">
        <v>1080</v>
      </c>
      <c r="D304" s="862" t="s">
        <v>2764</v>
      </c>
      <c r="E304" s="862" t="s">
        <v>2796</v>
      </c>
      <c r="F304" s="864">
        <v>1977.61</v>
      </c>
      <c r="G304" s="862" t="s">
        <v>3102</v>
      </c>
    </row>
    <row r="305" spans="1:7">
      <c r="A305" s="862"/>
      <c r="B305" s="862" t="s">
        <v>3103</v>
      </c>
      <c r="C305" s="863">
        <v>1432</v>
      </c>
      <c r="D305" s="862" t="s">
        <v>2764</v>
      </c>
      <c r="E305" s="862" t="s">
        <v>2796</v>
      </c>
      <c r="F305" s="864">
        <v>2622.15</v>
      </c>
      <c r="G305" s="862" t="s">
        <v>3103</v>
      </c>
    </row>
    <row r="306" spans="1:7">
      <c r="A306" s="862"/>
      <c r="B306" s="862" t="s">
        <v>2888</v>
      </c>
      <c r="C306" s="863">
        <v>1432</v>
      </c>
      <c r="D306" s="862" t="s">
        <v>2764</v>
      </c>
      <c r="E306" s="862" t="s">
        <v>2796</v>
      </c>
      <c r="F306" s="864">
        <v>2622.14</v>
      </c>
      <c r="G306" s="862" t="s">
        <v>2888</v>
      </c>
    </row>
    <row r="307" spans="1:7">
      <c r="A307" s="862"/>
      <c r="B307" s="862" t="s">
        <v>3104</v>
      </c>
      <c r="C307" s="863">
        <v>782</v>
      </c>
      <c r="D307" s="862" t="s">
        <v>2764</v>
      </c>
      <c r="E307" s="862" t="s">
        <v>2796</v>
      </c>
      <c r="F307" s="864">
        <v>1431.93</v>
      </c>
      <c r="G307" s="862" t="s">
        <v>3104</v>
      </c>
    </row>
    <row r="308" spans="1:7">
      <c r="A308" s="862"/>
      <c r="B308" s="862" t="s">
        <v>3105</v>
      </c>
      <c r="C308" s="863">
        <v>782</v>
      </c>
      <c r="D308" s="862" t="s">
        <v>2764</v>
      </c>
      <c r="E308" s="862" t="s">
        <v>2796</v>
      </c>
      <c r="F308" s="864">
        <v>1431.93</v>
      </c>
      <c r="G308" s="862" t="s">
        <v>3105</v>
      </c>
    </row>
    <row r="309" spans="1:7">
      <c r="A309" s="862"/>
      <c r="B309" s="862" t="s">
        <v>3106</v>
      </c>
      <c r="C309" s="863">
        <v>670</v>
      </c>
      <c r="D309" s="862" t="s">
        <v>2764</v>
      </c>
      <c r="E309" s="862" t="s">
        <v>2796</v>
      </c>
      <c r="F309" s="864">
        <v>1226.8399999999999</v>
      </c>
      <c r="G309" s="862" t="s">
        <v>3106</v>
      </c>
    </row>
    <row r="310" spans="1:7">
      <c r="A310" s="862"/>
      <c r="B310" s="862" t="s">
        <v>3107</v>
      </c>
      <c r="C310" s="863">
        <v>1764</v>
      </c>
      <c r="D310" s="862" t="s">
        <v>2764</v>
      </c>
      <c r="E310" s="862" t="s">
        <v>2796</v>
      </c>
      <c r="F310" s="864">
        <v>3230.07</v>
      </c>
      <c r="G310" s="862" t="s">
        <v>3107</v>
      </c>
    </row>
    <row r="311" spans="1:7">
      <c r="A311" s="862"/>
      <c r="B311" s="862" t="s">
        <v>3108</v>
      </c>
      <c r="C311" s="863">
        <v>2310</v>
      </c>
      <c r="D311" s="862" t="s">
        <v>2764</v>
      </c>
      <c r="E311" s="862" t="s">
        <v>2796</v>
      </c>
      <c r="F311" s="864">
        <v>4229.8599999999997</v>
      </c>
      <c r="G311" s="862" t="s">
        <v>3108</v>
      </c>
    </row>
    <row r="312" spans="1:7">
      <c r="A312" s="862"/>
      <c r="B312" s="862" t="s">
        <v>3109</v>
      </c>
      <c r="C312" s="863">
        <v>1432</v>
      </c>
      <c r="D312" s="862" t="s">
        <v>2764</v>
      </c>
      <c r="E312" s="862" t="s">
        <v>2796</v>
      </c>
      <c r="F312" s="864">
        <v>2622.15</v>
      </c>
      <c r="G312" s="862" t="s">
        <v>3109</v>
      </c>
    </row>
    <row r="313" spans="1:7">
      <c r="A313" s="862"/>
      <c r="B313" s="862" t="s">
        <v>3110</v>
      </c>
      <c r="C313" s="863">
        <v>1082</v>
      </c>
      <c r="D313" s="862" t="s">
        <v>2764</v>
      </c>
      <c r="E313" s="862" t="s">
        <v>2796</v>
      </c>
      <c r="F313" s="864">
        <v>1981.25</v>
      </c>
      <c r="G313" s="862" t="s">
        <v>3110</v>
      </c>
    </row>
    <row r="314" spans="1:7">
      <c r="A314" s="862"/>
      <c r="B314" s="862" t="s">
        <v>3111</v>
      </c>
      <c r="C314" s="863">
        <v>1434</v>
      </c>
      <c r="D314" s="862" t="s">
        <v>2764</v>
      </c>
      <c r="E314" s="862" t="s">
        <v>2796</v>
      </c>
      <c r="F314" s="864">
        <v>2625.82</v>
      </c>
      <c r="G314" s="862" t="s">
        <v>3111</v>
      </c>
    </row>
    <row r="315" spans="1:7">
      <c r="A315" s="862"/>
      <c r="B315" s="862" t="s">
        <v>3112</v>
      </c>
      <c r="C315" s="863">
        <v>1434</v>
      </c>
      <c r="D315" s="862" t="s">
        <v>2764</v>
      </c>
      <c r="E315" s="862" t="s">
        <v>2796</v>
      </c>
      <c r="F315" s="864">
        <v>2625.81</v>
      </c>
      <c r="G315" s="862" t="s">
        <v>3112</v>
      </c>
    </row>
    <row r="316" spans="1:7">
      <c r="A316" s="862"/>
      <c r="B316" s="862" t="s">
        <v>3113</v>
      </c>
      <c r="C316" s="863">
        <v>784</v>
      </c>
      <c r="D316" s="862" t="s">
        <v>2764</v>
      </c>
      <c r="E316" s="862" t="s">
        <v>2796</v>
      </c>
      <c r="F316" s="864">
        <v>1435.58</v>
      </c>
      <c r="G316" s="862" t="s">
        <v>3113</v>
      </c>
    </row>
    <row r="317" spans="1:7">
      <c r="A317" s="862"/>
      <c r="B317" s="862" t="s">
        <v>3114</v>
      </c>
      <c r="C317" s="863">
        <v>784</v>
      </c>
      <c r="D317" s="862" t="s">
        <v>2764</v>
      </c>
      <c r="E317" s="862" t="s">
        <v>2796</v>
      </c>
      <c r="F317" s="864">
        <v>1435.58</v>
      </c>
      <c r="G317" s="862" t="s">
        <v>3114</v>
      </c>
    </row>
    <row r="318" spans="1:7">
      <c r="A318" s="862"/>
      <c r="B318" s="862" t="s">
        <v>2890</v>
      </c>
      <c r="C318" s="863">
        <v>1084</v>
      </c>
      <c r="D318" s="862" t="s">
        <v>2764</v>
      </c>
      <c r="E318" s="862" t="s">
        <v>2796</v>
      </c>
      <c r="F318" s="864">
        <v>1984.91</v>
      </c>
      <c r="G318" s="862" t="s">
        <v>2890</v>
      </c>
    </row>
    <row r="319" spans="1:7">
      <c r="A319" s="862"/>
      <c r="B319" s="862" t="s">
        <v>3115</v>
      </c>
      <c r="C319" s="863">
        <v>1354</v>
      </c>
      <c r="D319" s="862" t="s">
        <v>2764</v>
      </c>
      <c r="E319" s="862" t="s">
        <v>2796</v>
      </c>
      <c r="F319" s="864">
        <v>2479.3200000000002</v>
      </c>
      <c r="G319" s="862" t="s">
        <v>3115</v>
      </c>
    </row>
    <row r="320" spans="1:7">
      <c r="A320" s="862"/>
      <c r="B320" s="862" t="s">
        <v>3116</v>
      </c>
      <c r="C320" s="863">
        <v>2312</v>
      </c>
      <c r="D320" s="862" t="s">
        <v>2764</v>
      </c>
      <c r="E320" s="862" t="s">
        <v>2796</v>
      </c>
      <c r="F320" s="864">
        <v>4233.5200000000004</v>
      </c>
      <c r="G320" s="862" t="s">
        <v>3116</v>
      </c>
    </row>
    <row r="321" spans="1:7">
      <c r="A321" s="862"/>
      <c r="B321" s="862" t="s">
        <v>3117</v>
      </c>
      <c r="C321" s="863">
        <v>1434</v>
      </c>
      <c r="D321" s="862" t="s">
        <v>2764</v>
      </c>
      <c r="E321" s="862" t="s">
        <v>2796</v>
      </c>
      <c r="F321" s="864">
        <v>2625.82</v>
      </c>
      <c r="G321" s="862" t="s">
        <v>3117</v>
      </c>
    </row>
    <row r="322" spans="1:7">
      <c r="A322" s="862"/>
      <c r="B322" s="862" t="s">
        <v>3118</v>
      </c>
      <c r="C322" s="863">
        <v>1084</v>
      </c>
      <c r="D322" s="862" t="s">
        <v>2764</v>
      </c>
      <c r="E322" s="862" t="s">
        <v>2796</v>
      </c>
      <c r="F322" s="864">
        <v>1984.93</v>
      </c>
      <c r="G322" s="862" t="s">
        <v>3118</v>
      </c>
    </row>
    <row r="323" spans="1:7">
      <c r="C323" s="715">
        <f>SUM(C8:C322)</f>
        <v>398682</v>
      </c>
      <c r="F323" s="716">
        <f>SUM(F8:F322)</f>
        <v>730031.63999999966</v>
      </c>
    </row>
  </sheetData>
  <mergeCells count="12">
    <mergeCell ref="Q2:W2"/>
    <mergeCell ref="R4:T4"/>
    <mergeCell ref="V4:X4"/>
    <mergeCell ref="R5:T5"/>
    <mergeCell ref="A2:G2"/>
    <mergeCell ref="B4:D4"/>
    <mergeCell ref="F4:H4"/>
    <mergeCell ref="B5:D5"/>
    <mergeCell ref="I2:O2"/>
    <mergeCell ref="J4:L4"/>
    <mergeCell ref="N4:P4"/>
    <mergeCell ref="J5:L5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36"/>
  <sheetViews>
    <sheetView showRowColHeaders="0" zoomScaleNormal="100" workbookViewId="0">
      <selection activeCell="L35" sqref="L35"/>
    </sheetView>
  </sheetViews>
  <sheetFormatPr baseColWidth="10" defaultColWidth="8.85546875" defaultRowHeight="13"/>
  <cols>
    <col min="1" max="1" width="6.85546875" style="204" customWidth="1"/>
    <col min="2" max="2" width="8.85546875" style="204"/>
    <col min="3" max="3" width="7.140625" style="204" customWidth="1"/>
    <col min="4" max="4" width="10" style="204" bestFit="1" customWidth="1"/>
    <col min="5" max="5" width="13.140625" style="204" customWidth="1"/>
    <col min="6" max="6" width="8.85546875" style="204"/>
    <col min="7" max="7" width="9" style="204" bestFit="1" customWidth="1"/>
    <col min="8" max="8" width="12.140625" style="204" bestFit="1" customWidth="1"/>
    <col min="9" max="9" width="11.85546875" style="204" customWidth="1"/>
    <col min="10" max="11" width="8.85546875" style="204"/>
    <col min="12" max="12" width="10.85546875" style="204" bestFit="1" customWidth="1"/>
    <col min="13" max="15" width="8.85546875" style="204"/>
    <col min="16" max="16" width="9.85546875" style="204" bestFit="1" customWidth="1"/>
    <col min="17" max="20" width="8.85546875" style="204"/>
    <col min="21" max="21" width="13" style="204" customWidth="1"/>
    <col min="22" max="16384" width="8.85546875" style="204"/>
  </cols>
  <sheetData>
    <row r="1" spans="1:17">
      <c r="B1" s="205"/>
      <c r="C1" s="205"/>
      <c r="D1" s="205"/>
      <c r="E1" s="205"/>
      <c r="F1" s="205"/>
      <c r="G1" s="205"/>
      <c r="H1" s="205"/>
      <c r="M1" s="206"/>
      <c r="N1" s="207"/>
    </row>
    <row r="2" spans="1:17">
      <c r="M2" s="206"/>
      <c r="N2" s="207"/>
    </row>
    <row r="3" spans="1:17">
      <c r="M3" s="206"/>
      <c r="N3" s="207"/>
    </row>
    <row r="4" spans="1:17" s="210" customFormat="1" ht="20">
      <c r="A4" s="208" t="str">
        <f>+yrlycomp!H1</f>
        <v>444 East 86th Street Owners Corp.</v>
      </c>
      <c r="B4" s="209"/>
      <c r="C4" s="209"/>
      <c r="D4" s="209"/>
      <c r="E4" s="209"/>
      <c r="F4" s="209"/>
      <c r="G4" s="209"/>
      <c r="H4" s="209"/>
      <c r="I4" s="209"/>
      <c r="M4" s="211"/>
      <c r="N4" s="212"/>
    </row>
    <row r="5" spans="1:17" s="210" customFormat="1" ht="20">
      <c r="A5" s="234" t="s">
        <v>3119</v>
      </c>
      <c r="B5" s="209"/>
      <c r="C5" s="209"/>
      <c r="D5" s="209"/>
      <c r="E5" s="209"/>
      <c r="F5" s="209"/>
      <c r="G5" s="209"/>
      <c r="H5" s="209"/>
      <c r="I5" s="209"/>
      <c r="M5" s="213"/>
      <c r="N5" s="214"/>
    </row>
    <row r="10" spans="1:17">
      <c r="O10" s="215" t="s">
        <v>3120</v>
      </c>
      <c r="P10" s="216">
        <f>+yrlycomp!L31+yrlycomp!L32+yrlycomp!L33</f>
        <v>4293089.1811543638</v>
      </c>
      <c r="Q10" s="204">
        <f t="shared" ref="Q10:Q18" si="0">+P10/$P$19</f>
        <v>0.45504500293700795</v>
      </c>
    </row>
    <row r="11" spans="1:17">
      <c r="O11" s="215" t="s">
        <v>2453</v>
      </c>
      <c r="P11" s="216">
        <f>+yrlycomp!L23</f>
        <v>1540644.6985656805</v>
      </c>
      <c r="Q11" s="204">
        <f>+P11/$P$19</f>
        <v>0.16330028140603359</v>
      </c>
    </row>
    <row r="12" spans="1:17">
      <c r="O12" s="215" t="s">
        <v>3121</v>
      </c>
      <c r="P12" s="216">
        <f>+yrlycomp!L36</f>
        <v>890420.12000000011</v>
      </c>
      <c r="Q12" s="204">
        <f>+P12/$P$19</f>
        <v>9.4379876360179013E-2</v>
      </c>
    </row>
    <row r="13" spans="1:17">
      <c r="O13" s="215" t="s">
        <v>3122</v>
      </c>
      <c r="P13" s="216">
        <f>+yrlycomp!L24+yrlycomp!L25+yrlycomp!L27</f>
        <v>1037347.6637157905</v>
      </c>
      <c r="Q13" s="204">
        <f>+P13/$P$19</f>
        <v>0.10995342765167622</v>
      </c>
    </row>
    <row r="14" spans="1:17">
      <c r="O14" s="215" t="s">
        <v>2217</v>
      </c>
      <c r="P14" s="216">
        <f>+yrlycomp!L30</f>
        <v>641578.18050000002</v>
      </c>
      <c r="Q14" s="204">
        <f t="shared" si="0"/>
        <v>6.8003932066335843E-2</v>
      </c>
    </row>
    <row r="15" spans="1:17">
      <c r="O15" s="206" t="s">
        <v>3123</v>
      </c>
      <c r="P15" s="217">
        <f>+yrlycomp!L34</f>
        <v>178772.59999999998</v>
      </c>
      <c r="Q15" s="204">
        <f t="shared" si="0"/>
        <v>1.8948960727198903E-2</v>
      </c>
    </row>
    <row r="16" spans="1:17">
      <c r="O16" s="206" t="s">
        <v>3124</v>
      </c>
      <c r="P16" s="217">
        <f>+'Repairs &amp; Supplies'!J36+'Repairs &amp; Supplies'!J55</f>
        <v>675000.25760000001</v>
      </c>
      <c r="Q16" s="204">
        <f t="shared" si="0"/>
        <v>7.1546497461644265E-2</v>
      </c>
    </row>
    <row r="17" spans="1:17">
      <c r="O17" s="206" t="s">
        <v>2215</v>
      </c>
      <c r="P17" s="217">
        <f>+'Repairs &amp; Supplies'!J9</f>
        <v>90000</v>
      </c>
      <c r="Q17" s="204">
        <f t="shared" si="0"/>
        <v>9.5395293543188483E-3</v>
      </c>
    </row>
    <row r="18" spans="1:17">
      <c r="O18" s="206" t="s">
        <v>3125</v>
      </c>
      <c r="P18" s="217">
        <f>+'Gen &amp; Admin'!J47</f>
        <v>87575</v>
      </c>
      <c r="Q18" s="204">
        <f t="shared" si="0"/>
        <v>9.2824920356052564E-3</v>
      </c>
    </row>
    <row r="19" spans="1:17">
      <c r="P19" s="218">
        <f>SUM(P10:P18)</f>
        <v>9434427.7015358359</v>
      </c>
      <c r="Q19" s="218">
        <f>SUM(Q10:Q18)</f>
        <v>0.99999999999999978</v>
      </c>
    </row>
    <row r="29" spans="1:17" ht="16">
      <c r="A29" s="219" t="s">
        <v>3126</v>
      </c>
      <c r="C29" s="220"/>
      <c r="D29" s="220"/>
      <c r="E29" s="221"/>
      <c r="F29" s="222" t="s">
        <v>3127</v>
      </c>
      <c r="G29" s="223"/>
      <c r="H29" s="223"/>
    </row>
    <row r="30" spans="1:17" ht="16">
      <c r="A30" s="219" t="s">
        <v>3120</v>
      </c>
      <c r="C30" s="224">
        <f>+Q10</f>
        <v>0.45504500293700795</v>
      </c>
      <c r="D30" s="225">
        <f>P10</f>
        <v>4293089.1811543638</v>
      </c>
      <c r="F30" s="222" t="s">
        <v>3123</v>
      </c>
      <c r="H30" s="226">
        <f>+Q15</f>
        <v>1.8948960727198903E-2</v>
      </c>
      <c r="I30" s="227">
        <f>+P15</f>
        <v>178772.59999999998</v>
      </c>
    </row>
    <row r="31" spans="1:17" ht="16">
      <c r="A31" s="219" t="s">
        <v>2453</v>
      </c>
      <c r="C31" s="224">
        <f>+Q11</f>
        <v>0.16330028140603359</v>
      </c>
      <c r="D31" s="228">
        <f>P11</f>
        <v>1540644.6985656805</v>
      </c>
      <c r="F31" s="222" t="s">
        <v>3128</v>
      </c>
      <c r="H31" s="226">
        <f>+Q16</f>
        <v>7.1546497461644265E-2</v>
      </c>
      <c r="I31" s="229">
        <f>+P16</f>
        <v>675000.25760000001</v>
      </c>
    </row>
    <row r="32" spans="1:17" ht="16">
      <c r="A32" s="219" t="s">
        <v>3121</v>
      </c>
      <c r="C32" s="224">
        <f>+Q12</f>
        <v>9.4379876360179013E-2</v>
      </c>
      <c r="D32" s="228">
        <f>P12</f>
        <v>890420.12000000011</v>
      </c>
      <c r="F32" s="222" t="s">
        <v>2215</v>
      </c>
      <c r="H32" s="226">
        <f>+Q17</f>
        <v>9.5395293543188483E-3</v>
      </c>
      <c r="I32" s="229">
        <f>P17</f>
        <v>90000</v>
      </c>
    </row>
    <row r="33" spans="1:13" ht="16">
      <c r="A33" s="219" t="s">
        <v>3122</v>
      </c>
      <c r="C33" s="224">
        <f>+Q13</f>
        <v>0.10995342765167622</v>
      </c>
      <c r="D33" s="228">
        <f>P13</f>
        <v>1037347.6637157905</v>
      </c>
      <c r="F33" s="222" t="s">
        <v>3125</v>
      </c>
      <c r="H33" s="232">
        <f>+Q18</f>
        <v>9.2824920356052564E-3</v>
      </c>
      <c r="I33" s="233">
        <f>P18</f>
        <v>87575</v>
      </c>
      <c r="L33" s="235">
        <f>+C35+H34</f>
        <v>0.99999999999999978</v>
      </c>
    </row>
    <row r="34" spans="1:13" ht="16">
      <c r="A34" s="219" t="s">
        <v>2217</v>
      </c>
      <c r="C34" s="230">
        <f>+Q14</f>
        <v>6.8003932066335843E-2</v>
      </c>
      <c r="D34" s="231">
        <f>P14</f>
        <v>641578.18050000002</v>
      </c>
      <c r="F34" s="223"/>
      <c r="H34" s="226">
        <f>SUM(H30:H33)</f>
        <v>0.10931747957876727</v>
      </c>
      <c r="I34" s="227">
        <f>SUM(I30:I33)</f>
        <v>1031347.8576</v>
      </c>
    </row>
    <row r="35" spans="1:13" ht="16">
      <c r="A35" s="220"/>
      <c r="C35" s="224">
        <f>SUM(C30:C34)</f>
        <v>0.89068252042123253</v>
      </c>
      <c r="D35" s="225">
        <f>SUM(D30:D34)</f>
        <v>8403079.8439358361</v>
      </c>
      <c r="L35" s="261">
        <f>+D35+I34</f>
        <v>9434427.7015358359</v>
      </c>
      <c r="M35" s="204" t="s">
        <v>3129</v>
      </c>
    </row>
    <row r="36" spans="1:13">
      <c r="L36" s="261">
        <f>+yrlycomp!L37</f>
        <v>9434427.7015358359</v>
      </c>
    </row>
  </sheetData>
  <printOptions horizontalCentered="1" verticalCentered="1"/>
  <pageMargins left="0.25" right="0.25" top="0.25" bottom="0.25" header="0.3" footer="0.3"/>
  <pageSetup scale="110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transitionEvaluation="1" transitionEntry="1">
    <tabColor indexed="62"/>
    <pageSetUpPr autoPageBreaks="0" fitToPage="1"/>
  </sheetPr>
  <dimension ref="A1:X43"/>
  <sheetViews>
    <sheetView topLeftCell="B1" zoomScale="75" zoomScaleNormal="75" workbookViewId="0">
      <selection activeCell="V9" sqref="V9"/>
    </sheetView>
  </sheetViews>
  <sheetFormatPr baseColWidth="10" defaultColWidth="9.7109375" defaultRowHeight="16"/>
  <cols>
    <col min="1" max="1" width="1.7109375" style="236" customWidth="1"/>
    <col min="2" max="2" width="4.7109375" style="236" customWidth="1"/>
    <col min="3" max="3" width="2.7109375" style="236" customWidth="1"/>
    <col min="4" max="6" width="9.7109375" style="236"/>
    <col min="7" max="8" width="8.7109375" style="236" customWidth="1"/>
    <col min="9" max="9" width="10.7109375" style="236" customWidth="1"/>
    <col min="10" max="10" width="7.7109375" style="236" customWidth="1"/>
    <col min="11" max="11" width="8.7109375" style="236" customWidth="1"/>
    <col min="12" max="12" width="9.7109375" style="236"/>
    <col min="13" max="13" width="13.7109375" style="236" customWidth="1"/>
    <col min="14" max="14" width="4.7109375" style="236" customWidth="1"/>
    <col min="15" max="15" width="1.7109375" style="236" customWidth="1"/>
    <col min="16" max="17" width="9.7109375" style="236"/>
    <col min="18" max="18" width="16.42578125" style="236" customWidth="1"/>
    <col min="19" max="19" width="13.85546875" style="236" customWidth="1"/>
    <col min="20" max="20" width="18.140625" style="236" customWidth="1"/>
    <col min="21" max="21" width="17.7109375" style="236" customWidth="1"/>
    <col min="22" max="22" width="11.5703125" style="236" customWidth="1"/>
    <col min="23" max="16384" width="9.7109375" style="236"/>
  </cols>
  <sheetData>
    <row r="1" spans="1:24" ht="5.75" customHeight="1" thickBot="1">
      <c r="A1" s="260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59"/>
      <c r="P1" s="237"/>
      <c r="Q1" s="237"/>
      <c r="R1" s="237"/>
      <c r="S1" s="237"/>
      <c r="T1" s="237"/>
      <c r="U1" s="237"/>
      <c r="V1" s="237"/>
    </row>
    <row r="2" spans="1:24">
      <c r="A2" s="253"/>
      <c r="B2" s="258" t="str">
        <f>yrlycomp!H1</f>
        <v>444 East 86th Street Owners Corp.</v>
      </c>
      <c r="C2" s="254"/>
      <c r="D2" s="257"/>
      <c r="E2" s="257"/>
      <c r="F2" s="255"/>
      <c r="G2" s="255"/>
      <c r="H2" s="256"/>
      <c r="I2" s="255"/>
      <c r="J2" s="255"/>
      <c r="K2" s="255"/>
      <c r="L2" s="255"/>
      <c r="M2" s="255"/>
      <c r="N2" s="254"/>
      <c r="O2" s="253"/>
      <c r="P2" s="237"/>
      <c r="Q2" s="237"/>
      <c r="R2" s="237"/>
      <c r="S2" s="237"/>
      <c r="T2" s="237"/>
      <c r="U2" s="237"/>
      <c r="V2" s="237"/>
    </row>
    <row r="3" spans="1:24" s="247" customFormat="1" ht="17" thickBot="1">
      <c r="A3" s="249"/>
      <c r="B3" s="262" t="s">
        <v>3130</v>
      </c>
      <c r="C3" s="250"/>
      <c r="D3" s="252"/>
      <c r="E3" s="252"/>
      <c r="F3" s="251"/>
      <c r="G3" s="251"/>
      <c r="H3" s="251"/>
      <c r="I3" s="251"/>
      <c r="J3" s="251"/>
      <c r="K3" s="251"/>
      <c r="L3" s="251"/>
      <c r="M3" s="251"/>
      <c r="N3" s="250"/>
      <c r="O3" s="249"/>
      <c r="P3" s="248"/>
      <c r="Q3" s="248"/>
      <c r="R3" s="248"/>
      <c r="S3" s="248"/>
      <c r="T3" s="248"/>
      <c r="U3" s="248"/>
      <c r="V3" s="248"/>
    </row>
    <row r="4" spans="1:24" ht="5.75" customHeight="1" thickBot="1">
      <c r="A4" s="246"/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4"/>
      <c r="P4" s="237"/>
      <c r="Q4" s="237"/>
      <c r="R4" s="237"/>
      <c r="S4" s="237"/>
      <c r="T4" s="237"/>
      <c r="U4" s="237"/>
      <c r="V4" s="237"/>
    </row>
    <row r="5" spans="1:24">
      <c r="B5" s="243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43"/>
      <c r="Q5" s="237"/>
      <c r="R5" s="237"/>
      <c r="S5" s="237"/>
      <c r="T5" s="237" t="s">
        <v>3131</v>
      </c>
      <c r="U5" s="237"/>
      <c r="V5" s="237"/>
    </row>
    <row r="6" spans="1:24">
      <c r="B6" s="238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8"/>
      <c r="Q6" s="237"/>
      <c r="R6" s="237"/>
      <c r="S6" s="242"/>
      <c r="T6" s="242"/>
      <c r="U6" s="242"/>
      <c r="V6" s="242"/>
    </row>
    <row r="7" spans="1:24">
      <c r="B7" s="237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8"/>
      <c r="Q7" s="237"/>
      <c r="R7" s="237"/>
      <c r="S7" s="242"/>
      <c r="T7" s="242"/>
      <c r="U7" s="242"/>
      <c r="V7" s="242" t="s">
        <v>3132</v>
      </c>
    </row>
    <row r="8" spans="1:24">
      <c r="B8" s="238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8"/>
      <c r="Q8" s="237"/>
      <c r="R8" s="237"/>
      <c r="S8" s="654">
        <f>yrlycomp!D7</f>
        <v>2021</v>
      </c>
      <c r="T8" s="654">
        <f>yrlycomp!E7</f>
        <v>2022</v>
      </c>
      <c r="U8" s="273">
        <v>2023</v>
      </c>
      <c r="V8" s="654">
        <f>yrlycomp!L7</f>
        <v>2026</v>
      </c>
    </row>
    <row r="9" spans="1:24">
      <c r="B9" s="237"/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8"/>
      <c r="Q9" s="237"/>
      <c r="R9" s="237" t="s">
        <v>3120</v>
      </c>
      <c r="S9" s="240">
        <f>yrlycomp!D31+yrlycomp!D32+yrlycomp!D33</f>
        <v>3837960</v>
      </c>
      <c r="T9" s="240">
        <f>yrlycomp!E31+yrlycomp!E32+yrlycomp!E33</f>
        <v>3979788</v>
      </c>
      <c r="U9" s="274">
        <v>3979788</v>
      </c>
      <c r="V9" s="240">
        <f>yrlycomp!L31+yrlycomp!L32+yrlycomp!L33</f>
        <v>4293089.1811543638</v>
      </c>
    </row>
    <row r="10" spans="1:24"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8"/>
      <c r="Q10" s="237"/>
      <c r="R10" s="237" t="s">
        <v>2453</v>
      </c>
      <c r="S10" s="240">
        <f>yrlycomp!D23</f>
        <v>1273581</v>
      </c>
      <c r="T10" s="240">
        <f>yrlycomp!E23</f>
        <v>1321667</v>
      </c>
      <c r="U10" s="274">
        <v>1321667</v>
      </c>
      <c r="V10" s="240">
        <f>yrlycomp!L23</f>
        <v>1540644.6985656805</v>
      </c>
    </row>
    <row r="11" spans="1:24">
      <c r="B11" s="237"/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8"/>
      <c r="Q11" s="237"/>
      <c r="R11" s="237" t="s">
        <v>3121</v>
      </c>
      <c r="S11" s="240">
        <f>yrlycomp!D36</f>
        <v>755552</v>
      </c>
      <c r="T11" s="240">
        <f>yrlycomp!E36</f>
        <v>799714</v>
      </c>
      <c r="U11" s="274">
        <v>799714</v>
      </c>
      <c r="V11" s="240">
        <f>yrlycomp!L36</f>
        <v>890420.12000000011</v>
      </c>
    </row>
    <row r="12" spans="1:24">
      <c r="B12" s="237"/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8"/>
      <c r="Q12" s="237"/>
      <c r="R12" s="237" t="s">
        <v>3122</v>
      </c>
      <c r="S12" s="240">
        <f>yrlycomp!D24+yrlycomp!D25+yrlycomp!D27</f>
        <v>829208</v>
      </c>
      <c r="T12" s="240">
        <f>yrlycomp!E24+yrlycomp!E25+yrlycomp!E27</f>
        <v>983989</v>
      </c>
      <c r="U12" s="274">
        <v>983989</v>
      </c>
      <c r="V12" s="240">
        <f>yrlycomp!L24+yrlycomp!L25++yrlycomp!L27</f>
        <v>1037347.6637157905</v>
      </c>
      <c r="X12" s="271" t="s">
        <v>3133</v>
      </c>
    </row>
    <row r="13" spans="1:24">
      <c r="B13" s="237"/>
      <c r="C13" s="237"/>
      <c r="D13" s="237"/>
      <c r="E13" s="241"/>
      <c r="F13" s="237"/>
      <c r="G13" s="237"/>
      <c r="H13" s="237"/>
      <c r="I13" s="237"/>
      <c r="J13" s="237"/>
      <c r="K13" s="237"/>
      <c r="L13" s="237"/>
      <c r="M13" s="237"/>
      <c r="N13" s="238"/>
      <c r="Q13" s="237"/>
      <c r="R13" s="237" t="s">
        <v>3124</v>
      </c>
      <c r="S13" s="240">
        <f>yrlycomp!D29</f>
        <v>527444</v>
      </c>
      <c r="T13" s="240">
        <f>yrlycomp!E29</f>
        <v>494781</v>
      </c>
      <c r="U13" s="275">
        <v>494781</v>
      </c>
      <c r="V13" s="240">
        <f>yrlycomp!L29</f>
        <v>675000.25760000001</v>
      </c>
    </row>
    <row r="14" spans="1:24">
      <c r="B14" s="237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Q14" s="237"/>
      <c r="R14" s="237" t="s">
        <v>2217</v>
      </c>
      <c r="S14" s="240">
        <f>yrlycomp!D30</f>
        <v>249055</v>
      </c>
      <c r="T14" s="240">
        <f>yrlycomp!E30</f>
        <v>277481</v>
      </c>
      <c r="U14" s="275">
        <v>277481</v>
      </c>
      <c r="V14" s="240">
        <f>yrlycomp!L30</f>
        <v>641578.18050000002</v>
      </c>
    </row>
    <row r="15" spans="1:24"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Q15" s="237"/>
      <c r="R15" s="237" t="s">
        <v>3134</v>
      </c>
      <c r="S15" s="240">
        <f>yrlycomp!D34</f>
        <v>208255</v>
      </c>
      <c r="T15" s="240">
        <f>yrlycomp!E34</f>
        <v>220126</v>
      </c>
      <c r="U15" s="275">
        <v>220126</v>
      </c>
      <c r="V15" s="240">
        <f>yrlycomp!L34</f>
        <v>178772.59999999998</v>
      </c>
    </row>
    <row r="16" spans="1:24"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8"/>
      <c r="Q16" s="237"/>
      <c r="R16" s="237" t="s">
        <v>2215</v>
      </c>
      <c r="S16" s="240">
        <f>yrlycomp!D28</f>
        <v>87755</v>
      </c>
      <c r="T16" s="240">
        <f>yrlycomp!E28</f>
        <v>78804</v>
      </c>
      <c r="U16" s="275">
        <v>78804</v>
      </c>
      <c r="V16" s="240">
        <f>yrlycomp!L28</f>
        <v>90000</v>
      </c>
    </row>
    <row r="17" spans="2:22"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8"/>
      <c r="Q17" s="237"/>
      <c r="R17" s="237" t="s">
        <v>3125</v>
      </c>
      <c r="S17" s="240">
        <f>yrlycomp!D35</f>
        <v>73664</v>
      </c>
      <c r="T17" s="240">
        <f>yrlycomp!E35</f>
        <v>72526</v>
      </c>
      <c r="U17" s="275">
        <v>72526</v>
      </c>
      <c r="V17" s="240">
        <f>yrlycomp!L35</f>
        <v>87575</v>
      </c>
    </row>
    <row r="18" spans="2:22">
      <c r="B18" s="237"/>
      <c r="C18" s="237"/>
      <c r="D18" s="237"/>
      <c r="E18" s="237"/>
      <c r="F18" s="237"/>
      <c r="G18" s="237"/>
      <c r="H18" s="237"/>
      <c r="I18" s="237"/>
      <c r="J18" s="237"/>
      <c r="K18" s="237"/>
      <c r="L18" s="237"/>
      <c r="M18" s="237"/>
      <c r="N18" s="238"/>
      <c r="Q18" s="237"/>
      <c r="R18" s="237"/>
      <c r="S18" s="237"/>
      <c r="T18" s="237"/>
      <c r="U18" s="272"/>
      <c r="V18" s="237"/>
    </row>
    <row r="19" spans="2:22">
      <c r="B19" s="237"/>
      <c r="C19" s="237"/>
      <c r="D19" s="237"/>
      <c r="E19" s="237"/>
      <c r="F19" s="237"/>
      <c r="G19" s="237"/>
      <c r="H19" s="237"/>
      <c r="I19" s="237"/>
      <c r="J19" s="237"/>
      <c r="K19" s="237"/>
      <c r="L19" s="237"/>
      <c r="M19" s="237"/>
      <c r="N19" s="238"/>
      <c r="Q19" s="237"/>
      <c r="R19" s="237"/>
      <c r="S19" s="240">
        <f>SUM(S9:S17)</f>
        <v>7842474</v>
      </c>
      <c r="T19" s="240">
        <f>SUM(T9:T17)</f>
        <v>8228876</v>
      </c>
      <c r="U19" s="275">
        <f>SUM(U9:U17)</f>
        <v>8228876</v>
      </c>
      <c r="V19" s="240">
        <f>SUM(V9:V17)</f>
        <v>9434427.7015358359</v>
      </c>
    </row>
    <row r="20" spans="2:22"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M20" s="865"/>
      <c r="N20" s="238"/>
      <c r="Q20" s="237"/>
      <c r="R20" s="237"/>
      <c r="S20" s="237">
        <f>S19-yrlycomp!D37</f>
        <v>0</v>
      </c>
      <c r="T20" s="237">
        <f>T19-yrlycomp!E37</f>
        <v>0</v>
      </c>
      <c r="U20" s="237"/>
      <c r="V20" s="237"/>
    </row>
    <row r="21" spans="2:22"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9"/>
      <c r="N21" s="238"/>
      <c r="Q21" s="237"/>
      <c r="R21" s="237"/>
      <c r="S21" s="237"/>
      <c r="T21" s="237"/>
      <c r="U21" s="237"/>
      <c r="V21" s="237"/>
    </row>
    <row r="22" spans="2:22"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8"/>
      <c r="Q22" s="237"/>
      <c r="R22" s="237"/>
      <c r="S22" s="237"/>
      <c r="T22" s="237"/>
      <c r="U22" s="272" t="s">
        <v>3135</v>
      </c>
      <c r="V22" s="237"/>
    </row>
    <row r="23" spans="2:22"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8"/>
      <c r="Q23" s="237"/>
      <c r="R23" s="237"/>
      <c r="S23" s="237"/>
      <c r="T23" s="237"/>
      <c r="U23" s="237"/>
      <c r="V23" s="237"/>
    </row>
    <row r="24" spans="2:22"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8"/>
      <c r="Q24" s="237"/>
      <c r="R24" s="237"/>
      <c r="S24" s="237"/>
      <c r="T24" s="237"/>
      <c r="U24" s="237"/>
      <c r="V24" s="237"/>
    </row>
    <row r="25" spans="2:22"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8"/>
      <c r="Q25" s="237"/>
      <c r="R25" s="237"/>
      <c r="S25" s="237"/>
      <c r="T25" s="237"/>
      <c r="U25" s="237"/>
      <c r="V25" s="237"/>
    </row>
    <row r="26" spans="2:22"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8"/>
      <c r="Q26" s="237"/>
      <c r="R26" s="237"/>
      <c r="S26" s="237"/>
      <c r="T26" s="237"/>
      <c r="U26" s="237"/>
      <c r="V26" s="237"/>
    </row>
    <row r="27" spans="2:22">
      <c r="B27" s="237"/>
      <c r="C27" s="237"/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8"/>
      <c r="Q27" s="237"/>
      <c r="R27" s="237"/>
      <c r="S27" s="237"/>
      <c r="T27" s="237"/>
      <c r="U27" s="237"/>
      <c r="V27" s="237"/>
    </row>
    <row r="28" spans="2:22"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8"/>
      <c r="Q28" s="237"/>
      <c r="R28" s="237"/>
      <c r="S28" s="237"/>
      <c r="T28" s="237"/>
      <c r="U28" s="237"/>
      <c r="V28" s="237"/>
    </row>
    <row r="29" spans="2:22"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8"/>
      <c r="Q29" s="237"/>
      <c r="R29" s="237"/>
      <c r="S29" s="237"/>
      <c r="T29" s="237"/>
      <c r="U29" s="237"/>
      <c r="V29" s="237"/>
    </row>
    <row r="30" spans="2:22">
      <c r="B30" s="237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8"/>
      <c r="Q30" s="237"/>
      <c r="R30" s="237"/>
      <c r="S30" s="237"/>
      <c r="T30" s="237"/>
      <c r="U30" s="237"/>
      <c r="V30" s="237"/>
    </row>
    <row r="31" spans="2:22">
      <c r="B31" s="237"/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8"/>
      <c r="Q31" s="237"/>
      <c r="R31" s="237"/>
      <c r="S31" s="237"/>
      <c r="T31" s="237"/>
      <c r="U31" s="237"/>
      <c r="V31" s="237"/>
    </row>
    <row r="32" spans="2:22"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8"/>
      <c r="Q32" s="237"/>
      <c r="R32" s="237"/>
      <c r="S32" s="237"/>
      <c r="T32" s="237"/>
      <c r="U32" s="237"/>
      <c r="V32" s="237"/>
    </row>
    <row r="33" spans="1:22">
      <c r="B33" s="237"/>
      <c r="C33" s="237"/>
      <c r="D33" s="237"/>
      <c r="E33" s="237"/>
      <c r="F33" s="237"/>
      <c r="G33" s="237"/>
      <c r="H33" s="237"/>
      <c r="I33" s="237"/>
      <c r="J33" s="237"/>
      <c r="K33" s="237"/>
      <c r="L33" s="237"/>
      <c r="M33" s="237"/>
      <c r="N33" s="238"/>
      <c r="Q33" s="237"/>
      <c r="R33" s="237"/>
      <c r="S33" s="237"/>
      <c r="T33" s="237"/>
      <c r="U33" s="237"/>
      <c r="V33" s="237"/>
    </row>
    <row r="34" spans="1:22"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8"/>
      <c r="Q34" s="237"/>
      <c r="R34" s="237"/>
      <c r="S34" s="237"/>
      <c r="T34" s="237"/>
      <c r="U34" s="237"/>
      <c r="V34" s="237"/>
    </row>
    <row r="35" spans="1:22">
      <c r="B35" s="237"/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8"/>
      <c r="Q35" s="237"/>
      <c r="R35" s="237"/>
      <c r="S35" s="237"/>
      <c r="T35" s="237"/>
      <c r="U35" s="237"/>
      <c r="V35" s="237"/>
    </row>
    <row r="36" spans="1:22">
      <c r="B36" s="237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8"/>
      <c r="Q36" s="237"/>
      <c r="R36" s="237"/>
      <c r="S36" s="237"/>
      <c r="T36" s="237"/>
      <c r="U36" s="237"/>
      <c r="V36" s="237"/>
    </row>
    <row r="37" spans="1:22"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8"/>
      <c r="Q37" s="237"/>
      <c r="R37" s="237"/>
      <c r="S37" s="237"/>
      <c r="T37" s="237"/>
      <c r="U37" s="237"/>
      <c r="V37" s="237"/>
    </row>
    <row r="38" spans="1:22"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8"/>
      <c r="Q38" s="237"/>
      <c r="R38" s="237"/>
      <c r="S38" s="237"/>
      <c r="T38" s="237"/>
      <c r="U38" s="237"/>
      <c r="V38" s="237"/>
    </row>
    <row r="39" spans="1:22">
      <c r="B39" s="238"/>
      <c r="C39" s="238"/>
      <c r="D39" s="238"/>
      <c r="E39" s="238"/>
      <c r="F39" s="238"/>
      <c r="G39" s="238"/>
      <c r="H39" s="238"/>
      <c r="I39" s="237"/>
      <c r="J39" s="238"/>
      <c r="K39" s="237"/>
      <c r="L39" s="238"/>
      <c r="M39" s="238"/>
      <c r="N39" s="238"/>
      <c r="Q39" s="237"/>
    </row>
    <row r="40" spans="1:22" ht="5.75" customHeight="1">
      <c r="R40" s="237"/>
      <c r="S40" s="237"/>
      <c r="T40" s="237"/>
      <c r="U40" s="237"/>
      <c r="V40" s="237"/>
    </row>
    <row r="41" spans="1:22">
      <c r="A41" s="237"/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Q41" s="237"/>
    </row>
    <row r="43" spans="1:22" ht="21" customHeight="1"/>
  </sheetData>
  <autoFilter ref="R8:V8" xr:uid="{00000000-0009-0000-0000-00001B000000}">
    <sortState xmlns:xlrd2="http://schemas.microsoft.com/office/spreadsheetml/2017/richdata2" ref="R9:V17">
      <sortCondition descending="1" ref="S8"/>
    </sortState>
  </autoFilter>
  <pageMargins left="0.7" right="0.5" top="0.25800000000000001" bottom="0.3" header="0.5" footer="0.5"/>
  <pageSetup scale="93" orientation="landscape" horizontalDpi="4294967293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42A8-E30D-40DB-A1FF-84F4EB40FCE3}">
  <dimension ref="B1:L18"/>
  <sheetViews>
    <sheetView topLeftCell="A6" zoomScaleNormal="100" workbookViewId="0">
      <selection activeCell="C18" sqref="C18"/>
    </sheetView>
  </sheetViews>
  <sheetFormatPr baseColWidth="10" defaultColWidth="8.7109375" defaultRowHeight="16"/>
  <cols>
    <col min="1" max="1" width="14.7109375" customWidth="1"/>
    <col min="2" max="2" width="15.140625" customWidth="1"/>
    <col min="3" max="3" width="16" customWidth="1"/>
    <col min="4" max="4" width="13.140625" customWidth="1"/>
    <col min="5" max="5" width="16" customWidth="1"/>
    <col min="6" max="7" width="13.140625" customWidth="1"/>
    <col min="8" max="8" width="16" customWidth="1"/>
    <col min="9" max="10" width="13.140625" customWidth="1"/>
  </cols>
  <sheetData>
    <row r="1" spans="2:12" ht="25">
      <c r="E1" s="277" t="s">
        <v>2130</v>
      </c>
    </row>
    <row r="5" spans="2:12" ht="51">
      <c r="B5" s="278" t="s">
        <v>2211</v>
      </c>
      <c r="C5" s="279" t="s">
        <v>3136</v>
      </c>
      <c r="D5" s="280" t="s">
        <v>3137</v>
      </c>
      <c r="E5" s="279" t="s">
        <v>3138</v>
      </c>
      <c r="F5" s="279" t="s">
        <v>3139</v>
      </c>
      <c r="G5" s="281" t="s">
        <v>3140</v>
      </c>
      <c r="H5" s="279" t="s">
        <v>3141</v>
      </c>
      <c r="I5" s="279" t="s">
        <v>3142</v>
      </c>
      <c r="J5" s="281" t="s">
        <v>3143</v>
      </c>
      <c r="L5" s="655" t="s">
        <v>3144</v>
      </c>
    </row>
    <row r="6" spans="2:12">
      <c r="B6" s="282"/>
      <c r="D6" s="282"/>
      <c r="G6" s="866"/>
      <c r="J6" s="282"/>
    </row>
    <row r="7" spans="2:12">
      <c r="B7" s="282" t="s">
        <v>3120</v>
      </c>
      <c r="C7" s="276">
        <f>'Pie Chart for Annual'!T9</f>
        <v>3979788</v>
      </c>
      <c r="D7" s="283">
        <f t="shared" ref="D7:D15" si="0">+C7/$C$17</f>
        <v>0.48363689038454338</v>
      </c>
      <c r="E7" s="276">
        <f>'Pie Chart for Annual'!U9</f>
        <v>3979788</v>
      </c>
      <c r="F7" s="284">
        <f>+E7/$E$17</f>
        <v>0.48363689038454338</v>
      </c>
      <c r="G7" s="283">
        <f>+(E7-C7)/C7</f>
        <v>0</v>
      </c>
      <c r="H7" s="276">
        <f>yrlycomp!L31+yrlycomp!L32+yrlycomp!L33</f>
        <v>4293089.1811543638</v>
      </c>
      <c r="I7" s="284">
        <f>+H7/$H$17</f>
        <v>0.45504500293700795</v>
      </c>
      <c r="J7" s="283">
        <f>+(H7-E7)/E7</f>
        <v>7.8723083027127022E-2</v>
      </c>
    </row>
    <row r="8" spans="2:12">
      <c r="B8" s="282" t="s">
        <v>2453</v>
      </c>
      <c r="C8" s="276">
        <f>'Pie Chart for Annual'!T10</f>
        <v>1321667</v>
      </c>
      <c r="D8" s="283">
        <f t="shared" si="0"/>
        <v>0.1606133085490655</v>
      </c>
      <c r="E8" s="276">
        <f>'Pie Chart for Annual'!U10</f>
        <v>1321667</v>
      </c>
      <c r="F8" s="284">
        <f>+E8/$E$17</f>
        <v>0.1606133085490655</v>
      </c>
      <c r="G8" s="283">
        <f t="shared" ref="G8:G17" si="1">+(E8-C8)/C8</f>
        <v>0</v>
      </c>
      <c r="H8" s="276">
        <f>yrlycomp!L23</f>
        <v>1540644.6985656805</v>
      </c>
      <c r="I8" s="284">
        <f t="shared" ref="I8:I15" si="2">+H8/$H$17</f>
        <v>0.16330028140603359</v>
      </c>
      <c r="J8" s="283">
        <f t="shared" ref="J8:J17" si="3">+(H8-E8)/E8</f>
        <v>0.16568295838942831</v>
      </c>
    </row>
    <row r="9" spans="2:12">
      <c r="B9" s="282" t="s">
        <v>3121</v>
      </c>
      <c r="C9" s="276">
        <f>'Pie Chart for Annual'!T11</f>
        <v>799714</v>
      </c>
      <c r="D9" s="283">
        <f t="shared" si="0"/>
        <v>9.7183868124881209E-2</v>
      </c>
      <c r="E9" s="276">
        <f>'Pie Chart for Annual'!U11</f>
        <v>799714</v>
      </c>
      <c r="F9" s="284">
        <f t="shared" ref="F9:F15" si="4">+E9/$E$17</f>
        <v>9.7183868124881209E-2</v>
      </c>
      <c r="G9" s="283">
        <f t="shared" si="1"/>
        <v>0</v>
      </c>
      <c r="H9" s="276">
        <f>yrlycomp!L36</f>
        <v>890420.12000000011</v>
      </c>
      <c r="I9" s="284">
        <f t="shared" si="2"/>
        <v>9.4379876360179013E-2</v>
      </c>
      <c r="J9" s="283">
        <f t="shared" si="3"/>
        <v>0.11342319879356884</v>
      </c>
    </row>
    <row r="10" spans="2:12">
      <c r="B10" s="282" t="s">
        <v>3122</v>
      </c>
      <c r="C10" s="276">
        <f>'Pie Chart for Annual'!T12</f>
        <v>983989</v>
      </c>
      <c r="D10" s="283">
        <f t="shared" si="0"/>
        <v>0.1195775704968698</v>
      </c>
      <c r="E10" s="276">
        <f>'Pie Chart for Annual'!U12</f>
        <v>983989</v>
      </c>
      <c r="F10" s="284">
        <f t="shared" si="4"/>
        <v>0.1195775704968698</v>
      </c>
      <c r="G10" s="283">
        <f t="shared" si="1"/>
        <v>0</v>
      </c>
      <c r="H10" s="276">
        <f>yrlycomp!L24+yrlycomp!L25+yrlycomp!L27</f>
        <v>1037347.6637157905</v>
      </c>
      <c r="I10" s="284">
        <f t="shared" si="2"/>
        <v>0.10995342765167622</v>
      </c>
      <c r="J10" s="283">
        <f t="shared" si="3"/>
        <v>5.4226890458928395E-2</v>
      </c>
    </row>
    <row r="11" spans="2:12">
      <c r="B11" s="282" t="s">
        <v>2217</v>
      </c>
      <c r="C11" s="276">
        <f>'Pie Chart for Annual'!T14</f>
        <v>277481</v>
      </c>
      <c r="D11" s="283">
        <f t="shared" si="0"/>
        <v>3.3720401182372906E-2</v>
      </c>
      <c r="E11" s="276">
        <f>'Pie Chart for Annual'!U14</f>
        <v>277481</v>
      </c>
      <c r="F11" s="284">
        <f t="shared" si="4"/>
        <v>3.3720401182372906E-2</v>
      </c>
      <c r="G11" s="283">
        <f t="shared" si="1"/>
        <v>0</v>
      </c>
      <c r="H11" s="276">
        <f>yrlycomp!L30</f>
        <v>641578.18050000002</v>
      </c>
      <c r="I11" s="284">
        <f t="shared" si="2"/>
        <v>6.8003932066335843E-2</v>
      </c>
      <c r="J11" s="283">
        <f t="shared" si="3"/>
        <v>1.3121517527326196</v>
      </c>
    </row>
    <row r="12" spans="2:12">
      <c r="B12" s="282" t="s">
        <v>3123</v>
      </c>
      <c r="C12" s="276">
        <f>'Pie Chart for Annual'!T15</f>
        <v>220126</v>
      </c>
      <c r="D12" s="283">
        <f t="shared" si="0"/>
        <v>2.6750433473538792E-2</v>
      </c>
      <c r="E12" s="276">
        <f>'Pie Chart for Annual'!U15</f>
        <v>220126</v>
      </c>
      <c r="F12" s="284">
        <f t="shared" si="4"/>
        <v>2.6750433473538792E-2</v>
      </c>
      <c r="G12" s="283">
        <f t="shared" si="1"/>
        <v>0</v>
      </c>
      <c r="H12" s="276">
        <f>yrlycomp!L34</f>
        <v>178772.59999999998</v>
      </c>
      <c r="I12" s="284">
        <f t="shared" si="2"/>
        <v>1.8948960727198903E-2</v>
      </c>
      <c r="J12" s="283">
        <f t="shared" si="3"/>
        <v>-0.18786240607651991</v>
      </c>
    </row>
    <row r="13" spans="2:12">
      <c r="B13" s="282" t="s">
        <v>3124</v>
      </c>
      <c r="C13" s="276">
        <f>'Pie Chart for Annual'!T13</f>
        <v>494781</v>
      </c>
      <c r="D13" s="283">
        <f t="shared" si="0"/>
        <v>6.012740986739866E-2</v>
      </c>
      <c r="E13" s="276">
        <f>'Pie Chart for Annual'!U13</f>
        <v>494781</v>
      </c>
      <c r="F13" s="284">
        <f t="shared" si="4"/>
        <v>6.012740986739866E-2</v>
      </c>
      <c r="G13" s="283">
        <f t="shared" si="1"/>
        <v>0</v>
      </c>
      <c r="H13" s="276">
        <f>yrlycomp!L29</f>
        <v>675000.25760000001</v>
      </c>
      <c r="I13" s="284">
        <f t="shared" si="2"/>
        <v>7.1546497461644265E-2</v>
      </c>
      <c r="J13" s="283">
        <f t="shared" si="3"/>
        <v>0.36424045709111713</v>
      </c>
    </row>
    <row r="14" spans="2:12">
      <c r="B14" s="282" t="s">
        <v>2215</v>
      </c>
      <c r="C14" s="276">
        <f>'Pie Chart for Annual'!T16</f>
        <v>78804</v>
      </c>
      <c r="D14" s="283">
        <f t="shared" si="0"/>
        <v>9.5765205357329474E-3</v>
      </c>
      <c r="E14" s="276">
        <f>'Pie Chart for Annual'!U16</f>
        <v>78804</v>
      </c>
      <c r="F14" s="284">
        <f t="shared" si="4"/>
        <v>9.5765205357329474E-3</v>
      </c>
      <c r="G14" s="283">
        <f t="shared" si="1"/>
        <v>0</v>
      </c>
      <c r="H14" s="276">
        <f>yrlycomp!L28</f>
        <v>90000</v>
      </c>
      <c r="I14" s="284">
        <f t="shared" si="2"/>
        <v>9.5395293543188483E-3</v>
      </c>
      <c r="J14" s="283">
        <f t="shared" si="3"/>
        <v>0.14207400639561443</v>
      </c>
    </row>
    <row r="15" spans="2:12">
      <c r="B15" s="285" t="s">
        <v>3125</v>
      </c>
      <c r="C15" s="286">
        <f>'Pie Chart for Annual'!T17</f>
        <v>72526</v>
      </c>
      <c r="D15" s="287">
        <f t="shared" si="0"/>
        <v>8.8135973855967692E-3</v>
      </c>
      <c r="E15" s="286">
        <f>'Pie Chart for Annual'!U17</f>
        <v>72526</v>
      </c>
      <c r="F15" s="288">
        <f t="shared" si="4"/>
        <v>8.8135973855967692E-3</v>
      </c>
      <c r="G15" s="287">
        <f t="shared" si="1"/>
        <v>0</v>
      </c>
      <c r="H15" s="286">
        <f>yrlycomp!L35</f>
        <v>87575</v>
      </c>
      <c r="I15" s="288">
        <f t="shared" si="2"/>
        <v>9.2824920356052564E-3</v>
      </c>
      <c r="J15" s="287">
        <f t="shared" si="3"/>
        <v>0.20749800071698427</v>
      </c>
    </row>
    <row r="16" spans="2:12" ht="15" customHeight="1">
      <c r="D16" s="866"/>
      <c r="F16" s="289"/>
      <c r="G16" s="867"/>
      <c r="J16" s="867"/>
    </row>
    <row r="17" spans="2:10">
      <c r="B17" s="115" t="s">
        <v>3145</v>
      </c>
      <c r="C17" s="276">
        <f t="shared" ref="C17:I17" si="5">SUM(C7:C15)</f>
        <v>8228876</v>
      </c>
      <c r="D17" s="290">
        <f t="shared" si="5"/>
        <v>1</v>
      </c>
      <c r="E17" s="276">
        <f t="shared" si="5"/>
        <v>8228876</v>
      </c>
      <c r="F17" s="291">
        <f t="shared" si="5"/>
        <v>1</v>
      </c>
      <c r="G17" s="292">
        <f t="shared" si="1"/>
        <v>0</v>
      </c>
      <c r="H17" s="276">
        <f t="shared" si="5"/>
        <v>9434427.7015358359</v>
      </c>
      <c r="I17" s="291">
        <f t="shared" si="5"/>
        <v>0.99999999999999978</v>
      </c>
      <c r="J17" s="292">
        <f t="shared" si="3"/>
        <v>0.1465025966530345</v>
      </c>
    </row>
    <row r="18" spans="2:10">
      <c r="B18" s="115" t="s">
        <v>3146</v>
      </c>
      <c r="C18" s="293">
        <v>2.8000000000000001E-2</v>
      </c>
      <c r="D18" s="282"/>
      <c r="E18" s="293">
        <v>5.5E-2</v>
      </c>
      <c r="G18" s="290"/>
      <c r="H18" s="293">
        <v>5.5E-2</v>
      </c>
      <c r="J18" s="29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01E3B11C3FE642A1B4D406DB9D703D" ma:contentTypeVersion="32" ma:contentTypeDescription="Create a new document." ma:contentTypeScope="" ma:versionID="f739eb3081a93eb25cef0c47db362e5e">
  <xsd:schema xmlns:xsd="http://www.w3.org/2001/XMLSchema" xmlns:xs="http://www.w3.org/2001/XMLSchema" xmlns:p="http://schemas.microsoft.com/office/2006/metadata/properties" xmlns:ns2="4cd03b14-09fe-418a-8c4d-a00fd8cd78a9" xmlns:ns3="117aca3a-ceb0-4da9-bbc2-031967f34b6e" xmlns:ns4="f6ca63b2-9cdc-4a28-b23d-047ab7e715f4" targetNamespace="http://schemas.microsoft.com/office/2006/metadata/properties" ma:root="true" ma:fieldsID="ad682d32981696879938ed22a04457c1" ns2:_="" ns3:_="" ns4:_="">
    <xsd:import namespace="4cd03b14-09fe-418a-8c4d-a00fd8cd78a9"/>
    <xsd:import namespace="117aca3a-ceb0-4da9-bbc2-031967f34b6e"/>
    <xsd:import namespace="f6ca63b2-9cdc-4a28-b23d-047ab7e715f4"/>
    <xsd:element name="properties">
      <xsd:complexType>
        <xsd:sequence>
          <xsd:element name="documentManagement">
            <xsd:complexType>
              <xsd:all>
                <xsd:element ref="ns2:n4c8e034ea044023a9c816af453620c6" minOccurs="0"/>
                <xsd:element ref="ns3:TaxCatchAll" minOccurs="0"/>
                <xsd:element ref="ns2:MediaServiceMetadata" minOccurs="0"/>
                <xsd:element ref="ns2:MediaServiceFastMetadata" minOccurs="0"/>
                <xsd:element ref="ns2:Year" minOccurs="0"/>
                <xsd:element ref="ns2:Category" minOccurs="0"/>
                <xsd:element ref="ns2:DisplaytoClient" minOccurs="0"/>
                <xsd:element ref="ns2:Month" minOccurs="0"/>
                <xsd:element ref="ns2:_x0067_l90" minOccurs="0"/>
                <xsd:element ref="ns4:SharedWithUsers" minOccurs="0"/>
                <xsd:element ref="ns4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Formerly_x0020_Displayed_x0020_to_x0020_Client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f60bea53d2045fe8ede073efbfd0b9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03b14-09fe-418a-8c4d-a00fd8cd78a9" elementFormDefault="qualified">
    <xsd:import namespace="http://schemas.microsoft.com/office/2006/documentManagement/types"/>
    <xsd:import namespace="http://schemas.microsoft.com/office/infopath/2007/PartnerControls"/>
    <xsd:element name="n4c8e034ea044023a9c816af453620c6" ma:index="9" nillable="true" ma:taxonomy="true" ma:internalName="n4c8e034ea044023a9c816af453620c6" ma:taxonomyFieldName="Client" ma:displayName="Client" ma:readOnly="false" ma:default="" ma:fieldId="{74c8e034-ea04-4023-a9c8-16af453620c6}" ma:sspId="32df13b4-bb7b-4699-ba66-35c306bef95f" ma:termSetId="d17fe247-9d64-4ecb-8cac-7f17d2a94f1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Year" ma:index="13" nillable="true" ma:displayName="Year" ma:format="Dropdown" ma:indexed="true" ma:internalName="Year">
      <xsd:simpleType>
        <xsd:restriction base="dms:Choice"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</xsd:restriction>
      </xsd:simpleType>
    </xsd:element>
    <xsd:element name="Category" ma:index="14" nillable="true" ma:displayName="Category" ma:format="Dropdown" ma:internalName="Category">
      <xsd:simpleType>
        <xsd:restriction base="dms:Choice">
          <xsd:enumeration value="Audited Financials"/>
          <xsd:enumeration value="Budget"/>
          <xsd:enumeration value="Monthly Financials"/>
        </xsd:restriction>
      </xsd:simpleType>
    </xsd:element>
    <xsd:element name="DisplaytoClient" ma:index="15" nillable="true" ma:displayName="Display to Client" ma:default="0" ma:format="Dropdown" ma:indexed="true" ma:internalName="DisplaytoClient">
      <xsd:simpleType>
        <xsd:restriction base="dms:Boolean"/>
      </xsd:simpleType>
    </xsd:element>
    <xsd:element name="Month" ma:index="16" nillable="true" ma:displayName="Month" ma:format="Dropdown" ma:internalName="Month">
      <xsd:simpleType>
        <xsd:restriction base="dms:Choice">
          <xsd:enumeration value="01 - January"/>
          <xsd:enumeration value="02 - February"/>
          <xsd:enumeration value="03 - March"/>
          <xsd:enumeration value="04 - April"/>
          <xsd:enumeration value="05 - May"/>
          <xsd:enumeration value="06 - June"/>
          <xsd:enumeration value="07 - July"/>
          <xsd:enumeration value="08 - August"/>
          <xsd:enumeration value="09 - September"/>
          <xsd:enumeration value="10 - October"/>
          <xsd:enumeration value="11 - November"/>
          <xsd:enumeration value="12 - December"/>
        </xsd:restriction>
      </xsd:simpleType>
    </xsd:element>
    <xsd:element name="_x0067_l90" ma:index="17" nillable="true" ma:displayName="Number" ma:internalName="_x0067_l90">
      <xsd:simpleType>
        <xsd:restriction base="dms:Number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Formerly_x0020_Displayed_x0020_to_x0020_Client" ma:index="28" nillable="true" ma:displayName="Formerly Displayed to Client" ma:default="0" ma:indexed="true" ma:internalName="Formerly_x0020_Displayed_x0020_to_x0020_Client">
      <xsd:simpleType>
        <xsd:restriction base="dms:Boolea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32df13b4-bb7b-4699-ba66-35c306bef9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f60bea53d2045fe8ede073efbfd0b96" ma:index="35" nillable="true" ma:taxonomy="true" ma:internalName="nf60bea53d2045fe8ede073efbfd0b96" ma:taxonomyFieldName="Building" ma:displayName="Building" ma:default="" ma:fieldId="{7f60bea5-3d20-45fe-8ede-073efbfd0b96}" ma:sspId="32df13b4-bb7b-4699-ba66-35c306bef95f" ma:termSetId="adfe6930-946a-41a6-93f1-40f9dea64a1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aca3a-ceb0-4da9-bbc2-031967f34b6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2c1573-c684-4ace-ae93-e66259642b9c}" ma:internalName="TaxCatchAll" ma:showField="CatchAllData" ma:web="117aca3a-ceb0-4da9-bbc2-031967f34b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a63b2-9cdc-4a28-b23d-047ab7e715f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4cd03b14-09fe-418a-8c4d-a00fd8cd78a9" xsi:nil="true"/>
    <TaxCatchAll xmlns="117aca3a-ceb0-4da9-bbc2-031967f34b6e" xsi:nil="true"/>
    <_x0067_l90 xmlns="4cd03b14-09fe-418a-8c4d-a00fd8cd78a9" xsi:nil="true"/>
    <Formerly_x0020_Displayed_x0020_to_x0020_Client xmlns="4cd03b14-09fe-418a-8c4d-a00fd8cd78a9">false</Formerly_x0020_Displayed_x0020_to_x0020_Client>
    <lcf76f155ced4ddcb4097134ff3c332f xmlns="4cd03b14-09fe-418a-8c4d-a00fd8cd78a9">
      <Terms xmlns="http://schemas.microsoft.com/office/infopath/2007/PartnerControls"/>
    </lcf76f155ced4ddcb4097134ff3c332f>
    <Month xmlns="4cd03b14-09fe-418a-8c4d-a00fd8cd78a9" xsi:nil="true"/>
    <n4c8e034ea044023a9c816af453620c6 xmlns="4cd03b14-09fe-418a-8c4d-a00fd8cd78a9">
      <Terms xmlns="http://schemas.microsoft.com/office/infopath/2007/PartnerControls"/>
    </n4c8e034ea044023a9c816af453620c6>
    <DisplaytoClient xmlns="4cd03b14-09fe-418a-8c4d-a00fd8cd78a9">false</DisplaytoClient>
    <Category xmlns="4cd03b14-09fe-418a-8c4d-a00fd8cd78a9" xsi:nil="true"/>
    <nf60bea53d2045fe8ede073efbfd0b96 xmlns="4cd03b14-09fe-418a-8c4d-a00fd8cd78a9">
      <Terms xmlns="http://schemas.microsoft.com/office/infopath/2007/PartnerControls"/>
    </nf60bea53d2045fe8ede073efbfd0b96>
  </documentManagement>
</p:properties>
</file>

<file path=customXml/itemProps1.xml><?xml version="1.0" encoding="utf-8"?>
<ds:datastoreItem xmlns:ds="http://schemas.openxmlformats.org/officeDocument/2006/customXml" ds:itemID="{FFC60EA3-21A4-4D0A-91A3-E16CC4D72E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d03b14-09fe-418a-8c4d-a00fd8cd78a9"/>
    <ds:schemaRef ds:uri="117aca3a-ceb0-4da9-bbc2-031967f34b6e"/>
    <ds:schemaRef ds:uri="f6ca63b2-9cdc-4a28-b23d-047ab7e71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82765A-B92C-4382-A744-1E2E52FF6D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78FB75-AE73-4A26-ADDC-9033147DCF4C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117aca3a-ceb0-4da9-bbc2-031967f34b6e"/>
    <ds:schemaRef ds:uri="http://purl.org/dc/dcmitype/"/>
    <ds:schemaRef ds:uri="f6ca63b2-9cdc-4a28-b23d-047ab7e715f4"/>
    <ds:schemaRef ds:uri="http://purl.org/dc/terms/"/>
    <ds:schemaRef ds:uri="http://www.w3.org/XML/1998/namespace"/>
    <ds:schemaRef ds:uri="http://schemas.openxmlformats.org/package/2006/metadata/core-properties"/>
    <ds:schemaRef ds:uri="4cd03b14-09fe-418a-8c4d-a00fd8cd78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28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35</vt:i4>
      </vt:variant>
    </vt:vector>
  </HeadingPairs>
  <TitlesOfParts>
    <vt:vector size="65" baseType="lpstr">
      <vt:lpstr>VLookup Data</vt:lpstr>
      <vt:lpstr>yardi_data (2)</vt:lpstr>
      <vt:lpstr>COV</vt:lpstr>
      <vt:lpstr>contents</vt:lpstr>
      <vt:lpstr> bud</vt:lpstr>
      <vt:lpstr>yrlycomp</vt:lpstr>
      <vt:lpstr>Income</vt:lpstr>
      <vt:lpstr>Comm Rent &amp; Escalations</vt:lpstr>
      <vt:lpstr>pyrl</vt:lpstr>
      <vt:lpstr>Payroll</vt:lpstr>
      <vt:lpstr>Gas</vt:lpstr>
      <vt:lpstr>Electric</vt:lpstr>
      <vt:lpstr>Electric 2</vt:lpstr>
      <vt:lpstr>elect</vt:lpstr>
      <vt:lpstr>Gas Cooking</vt:lpstr>
      <vt:lpstr>Gas-Heat</vt:lpstr>
      <vt:lpstr>Repairs &amp; Supplies</vt:lpstr>
      <vt:lpstr>Gen &amp; Admin</vt:lpstr>
      <vt:lpstr>Mortgage Info and Amort(NO PDF)</vt:lpstr>
      <vt:lpstr> Insurance-Sched(No PDF)</vt:lpstr>
      <vt:lpstr>Water</vt:lpstr>
      <vt:lpstr>RE Taxes</vt:lpstr>
      <vt:lpstr>wtrswr</vt:lpstr>
      <vt:lpstr>CAP</vt:lpstr>
      <vt:lpstr>maint proof</vt:lpstr>
      <vt:lpstr>Chart for Annual Meeting</vt:lpstr>
      <vt:lpstr>Pie Chart for Annual</vt:lpstr>
      <vt:lpstr>Annual</vt:lpstr>
      <vt:lpstr>Chart1</vt:lpstr>
      <vt:lpstr>EXP-Pie</vt:lpstr>
      <vt:lpstr>BUDGET</vt:lpstr>
      <vt:lpstr>COMP</vt:lpstr>
      <vt:lpstr>CONTENTS</vt:lpstr>
      <vt:lpstr>GRAPH2</vt:lpstr>
      <vt:lpstr>Income!INCOME</vt:lpstr>
      <vt:lpstr>INS</vt:lpstr>
      <vt:lpstr>' bud'!Print_Area</vt:lpstr>
      <vt:lpstr>' Insurance-Sched(No PDF)'!Print_Area</vt:lpstr>
      <vt:lpstr>CAP!Print_Area</vt:lpstr>
      <vt:lpstr>'Chart for Annual Meeting'!Print_Area</vt:lpstr>
      <vt:lpstr>'Comm Rent &amp; Escalations'!Print_Area</vt:lpstr>
      <vt:lpstr>contents!Print_Area</vt:lpstr>
      <vt:lpstr>COV!Print_Area</vt:lpstr>
      <vt:lpstr>elect!Print_Area</vt:lpstr>
      <vt:lpstr>Electric!Print_Area</vt:lpstr>
      <vt:lpstr>'Electric 2'!Print_Area</vt:lpstr>
      <vt:lpstr>Gas!Print_Area</vt:lpstr>
      <vt:lpstr>'Gas Cooking'!Print_Area</vt:lpstr>
      <vt:lpstr>'Gas-Heat'!Print_Area</vt:lpstr>
      <vt:lpstr>'Gen &amp; Admin'!Print_Area</vt:lpstr>
      <vt:lpstr>Income!Print_Area</vt:lpstr>
      <vt:lpstr>Payroll!Print_Area</vt:lpstr>
      <vt:lpstr>'Pie Chart for Annual'!Print_Area</vt:lpstr>
      <vt:lpstr>pyrl!Print_Area</vt:lpstr>
      <vt:lpstr>'RE Taxes'!Print_Area</vt:lpstr>
      <vt:lpstr>'Repairs &amp; Supplies'!Print_Area</vt:lpstr>
      <vt:lpstr>Water!Print_Area</vt:lpstr>
      <vt:lpstr>wtrswr!Print_Area</vt:lpstr>
      <vt:lpstr>'yardi_data (2)'!Print_Area</vt:lpstr>
      <vt:lpstr>yrlycomp!Print_Area</vt:lpstr>
      <vt:lpstr>'Repairs &amp; Supplies'!Print_Titles</vt:lpstr>
      <vt:lpstr>'yardi_data (2)'!Print_Titles</vt:lpstr>
      <vt:lpstr>'yardi_data (2)'!Print_Zone</vt:lpstr>
      <vt:lpstr>RPRS</vt:lpstr>
      <vt:lpstr>WTRSWR</vt:lpstr>
    </vt:vector>
  </TitlesOfParts>
  <Manager/>
  <Company>IESG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AleGri</dc:creator>
  <cp:keywords/>
  <dc:description/>
  <cp:lastModifiedBy>Jacob Sirotkin</cp:lastModifiedBy>
  <cp:revision/>
  <cp:lastPrinted>2025-09-21T19:14:56Z</cp:lastPrinted>
  <dcterms:created xsi:type="dcterms:W3CDTF">2000-10-20T19:28:43Z</dcterms:created>
  <dcterms:modified xsi:type="dcterms:W3CDTF">2026-03-24T11:23:10Z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0x0101003501E3B11C3FE642A1B4D406DB9D703D</vt:lpwstr>
  </property>
  <property fmtid="{D5CDD505-2E9C-101B-9397-08002B2CF9AE}" pid="3" name="MediaServiceImageTags">
    <vt:lpwstr/>
  </property>
  <property fmtid="{D5CDD505-2E9C-101B-9397-08002B2CF9AE}" pid="4" name="Client">
    <vt:lpwstr/>
  </property>
  <property fmtid="{D5CDD505-2E9C-101B-9397-08002B2CF9AE}" pid="5" name="Building">
    <vt:lpwstr/>
  </property>
</Properties>
</file>